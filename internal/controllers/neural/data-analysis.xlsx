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 activeTab="5"/>
  </bookViews>
  <sheets>
    <sheet name="lr" sheetId="1" r:id="rId1"/>
    <sheet name="ridge" sheetId="2" r:id="rId2"/>
    <sheet name="ridgecv" sheetId="3" r:id="rId3"/>
    <sheet name="sgd" sheetId="5" r:id="rId4"/>
    <sheet name="pid" sheetId="6" r:id="rId5"/>
    <sheet name="Analysis" sheetId="4" r:id="rId6"/>
  </sheets>
  <calcPr calcId="125725"/>
</workbook>
</file>

<file path=xl/calcChain.xml><?xml version="1.0" encoding="utf-8"?>
<calcChain xmlns="http://schemas.openxmlformats.org/spreadsheetml/2006/main">
  <c r="D4" i="4"/>
  <c r="D5"/>
  <c r="D2"/>
  <c r="D3"/>
  <c r="D6"/>
  <c r="E30" i="6"/>
  <c r="F30" s="1"/>
  <c r="F29"/>
  <c r="E29"/>
  <c r="F28"/>
  <c r="E28"/>
  <c r="E27"/>
  <c r="F27" s="1"/>
  <c r="F26"/>
  <c r="E26"/>
  <c r="F25"/>
  <c r="E25"/>
  <c r="E24"/>
  <c r="F24" s="1"/>
  <c r="F23"/>
  <c r="E23"/>
  <c r="F22"/>
  <c r="E22"/>
  <c r="E21"/>
  <c r="F21" s="1"/>
  <c r="F20"/>
  <c r="E20"/>
  <c r="F19"/>
  <c r="E19"/>
  <c r="E18"/>
  <c r="F18" s="1"/>
  <c r="F17"/>
  <c r="E17"/>
  <c r="F16"/>
  <c r="E16"/>
  <c r="E15"/>
  <c r="F15" s="1"/>
  <c r="F14"/>
  <c r="E14"/>
  <c r="F13"/>
  <c r="E13"/>
  <c r="E12"/>
  <c r="F12" s="1"/>
  <c r="F11"/>
  <c r="E11"/>
  <c r="F10"/>
  <c r="E10"/>
  <c r="E9"/>
  <c r="F9" s="1"/>
  <c r="F8"/>
  <c r="E8"/>
  <c r="F7"/>
  <c r="E7"/>
  <c r="E6"/>
  <c r="F6" s="1"/>
  <c r="F5"/>
  <c r="E5"/>
  <c r="F4"/>
  <c r="E4"/>
  <c r="E3"/>
  <c r="F3" s="1"/>
  <c r="F2"/>
  <c r="E2"/>
  <c r="F1"/>
  <c r="E1"/>
  <c r="E30" i="5"/>
  <c r="F30" s="1"/>
  <c r="E29"/>
  <c r="F29" s="1"/>
  <c r="E28"/>
  <c r="F28" s="1"/>
  <c r="E27"/>
  <c r="F27" s="1"/>
  <c r="F26"/>
  <c r="E26"/>
  <c r="E25"/>
  <c r="F25" s="1"/>
  <c r="E24"/>
  <c r="F24" s="1"/>
  <c r="F23"/>
  <c r="E23"/>
  <c r="E22"/>
  <c r="F22" s="1"/>
  <c r="E21"/>
  <c r="F21" s="1"/>
  <c r="F20"/>
  <c r="E20"/>
  <c r="E19"/>
  <c r="F19" s="1"/>
  <c r="E18"/>
  <c r="F18" s="1"/>
  <c r="F17"/>
  <c r="E17"/>
  <c r="E16"/>
  <c r="F16" s="1"/>
  <c r="E15"/>
  <c r="F15" s="1"/>
  <c r="F14"/>
  <c r="E14"/>
  <c r="E13"/>
  <c r="F13" s="1"/>
  <c r="E12"/>
  <c r="F12" s="1"/>
  <c r="F11"/>
  <c r="E11"/>
  <c r="E10"/>
  <c r="F10" s="1"/>
  <c r="E9"/>
  <c r="F9" s="1"/>
  <c r="F8"/>
  <c r="E8"/>
  <c r="E7"/>
  <c r="F7" s="1"/>
  <c r="E6"/>
  <c r="F6" s="1"/>
  <c r="F5"/>
  <c r="E5"/>
  <c r="E4"/>
  <c r="F4" s="1"/>
  <c r="E3"/>
  <c r="F3" s="1"/>
  <c r="F2"/>
  <c r="E2"/>
  <c r="E1"/>
  <c r="F1" s="1"/>
  <c r="E30" i="3"/>
  <c r="F30" s="1"/>
  <c r="F29"/>
  <c r="E29"/>
  <c r="E28"/>
  <c r="F28" s="1"/>
  <c r="E27"/>
  <c r="F27" s="1"/>
  <c r="F26"/>
  <c r="E26"/>
  <c r="E25"/>
  <c r="F25" s="1"/>
  <c r="E24"/>
  <c r="F24" s="1"/>
  <c r="F23"/>
  <c r="E23"/>
  <c r="E22"/>
  <c r="F22" s="1"/>
  <c r="E21"/>
  <c r="F21" s="1"/>
  <c r="F20"/>
  <c r="E20"/>
  <c r="F19"/>
  <c r="E19"/>
  <c r="E18"/>
  <c r="F18" s="1"/>
  <c r="F17"/>
  <c r="E17"/>
  <c r="F16"/>
  <c r="E16"/>
  <c r="E15"/>
  <c r="F15" s="1"/>
  <c r="F14"/>
  <c r="E14"/>
  <c r="F13"/>
  <c r="E13"/>
  <c r="E12"/>
  <c r="F12" s="1"/>
  <c r="F11"/>
  <c r="E11"/>
  <c r="F10"/>
  <c r="E10"/>
  <c r="E9"/>
  <c r="F9" s="1"/>
  <c r="F8"/>
  <c r="E8"/>
  <c r="F7"/>
  <c r="E7"/>
  <c r="E6"/>
  <c r="F6" s="1"/>
  <c r="F5"/>
  <c r="E5"/>
  <c r="F4"/>
  <c r="E4"/>
  <c r="E3"/>
  <c r="F3" s="1"/>
  <c r="F2"/>
  <c r="E2"/>
  <c r="F1"/>
  <c r="E1"/>
  <c r="E30" i="2"/>
  <c r="F30" s="1"/>
  <c r="F29"/>
  <c r="E29"/>
  <c r="E28"/>
  <c r="F28" s="1"/>
  <c r="E27"/>
  <c r="F27" s="1"/>
  <c r="F26"/>
  <c r="E26"/>
  <c r="E25"/>
  <c r="F25" s="1"/>
  <c r="E24"/>
  <c r="F24" s="1"/>
  <c r="F23"/>
  <c r="E23"/>
  <c r="E22"/>
  <c r="F22" s="1"/>
  <c r="E21"/>
  <c r="F21" s="1"/>
  <c r="F20"/>
  <c r="E20"/>
  <c r="E19"/>
  <c r="F19" s="1"/>
  <c r="E18"/>
  <c r="F18" s="1"/>
  <c r="F17"/>
  <c r="E17"/>
  <c r="E16"/>
  <c r="F16" s="1"/>
  <c r="E15"/>
  <c r="F15" s="1"/>
  <c r="F14"/>
  <c r="E14"/>
  <c r="E13"/>
  <c r="F13" s="1"/>
  <c r="E12"/>
  <c r="F12" s="1"/>
  <c r="F11"/>
  <c r="E11"/>
  <c r="E10"/>
  <c r="F10" s="1"/>
  <c r="E9"/>
  <c r="F9" s="1"/>
  <c r="F8"/>
  <c r="E8"/>
  <c r="E7"/>
  <c r="F7" s="1"/>
  <c r="E6"/>
  <c r="F6" s="1"/>
  <c r="F5"/>
  <c r="E5"/>
  <c r="E4"/>
  <c r="F4" s="1"/>
  <c r="E3"/>
  <c r="F3" s="1"/>
  <c r="F2"/>
  <c r="E2"/>
  <c r="E1"/>
  <c r="F1" s="1"/>
  <c r="E2" i="1"/>
  <c r="F2"/>
  <c r="E3"/>
  <c r="F3" s="1"/>
  <c r="E4"/>
  <c r="F4" s="1"/>
  <c r="E5"/>
  <c r="F5"/>
  <c r="E6"/>
  <c r="F6" s="1"/>
  <c r="E7"/>
  <c r="F7" s="1"/>
  <c r="E8"/>
  <c r="F8"/>
  <c r="E9"/>
  <c r="F9" s="1"/>
  <c r="E10"/>
  <c r="F10" s="1"/>
  <c r="E11"/>
  <c r="F11"/>
  <c r="E12"/>
  <c r="F12" s="1"/>
  <c r="E13"/>
  <c r="F13" s="1"/>
  <c r="E14"/>
  <c r="F14"/>
  <c r="E15"/>
  <c r="F15" s="1"/>
  <c r="E16"/>
  <c r="F16" s="1"/>
  <c r="E17"/>
  <c r="F17"/>
  <c r="E18"/>
  <c r="F18" s="1"/>
  <c r="E19"/>
  <c r="F19" s="1"/>
  <c r="E20"/>
  <c r="F20"/>
  <c r="E21"/>
  <c r="F21" s="1"/>
  <c r="E22"/>
  <c r="F22" s="1"/>
  <c r="E23"/>
  <c r="F23"/>
  <c r="E24"/>
  <c r="F24" s="1"/>
  <c r="E25"/>
  <c r="F25" s="1"/>
  <c r="E26"/>
  <c r="F26"/>
  <c r="E27"/>
  <c r="F27" s="1"/>
  <c r="E28"/>
  <c r="F28" s="1"/>
  <c r="E29"/>
  <c r="F29"/>
  <c r="E30"/>
  <c r="F30" s="1"/>
  <c r="F1"/>
  <c r="E1"/>
  <c r="C6" i="4"/>
  <c r="C5"/>
  <c r="C4"/>
  <c r="C3"/>
  <c r="C2"/>
  <c r="D30" i="6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B6" i="4" s="1"/>
  <c r="D3" i="6"/>
  <c r="D2"/>
  <c r="D1"/>
  <c r="B5" i="4"/>
  <c r="B4"/>
  <c r="D30" i="5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  <c r="D30" i="3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  <c r="B3" i="4"/>
  <c r="B2"/>
  <c r="D30" i="2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  <c r="D30" i="1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</calcChain>
</file>

<file path=xl/sharedStrings.xml><?xml version="1.0" encoding="utf-8"?>
<sst xmlns="http://schemas.openxmlformats.org/spreadsheetml/2006/main" count="8" uniqueCount="8">
  <si>
    <t>RMSE</t>
  </si>
  <si>
    <t>NRMSE</t>
  </si>
  <si>
    <t>LR</t>
  </si>
  <si>
    <t>Ridge</t>
  </si>
  <si>
    <t>RidgeCV</t>
  </si>
  <si>
    <t>Sgd</t>
  </si>
  <si>
    <t>PID</t>
  </si>
  <si>
    <t>Goal Range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</si>
</sst>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1" xfId="0" applyNumberFormat="1" applyBorder="1"/>
    <xf numFmtId="10" fontId="0" fillId="0" borderId="1" xfId="1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lr!$B$1:$B$30</c:f>
              <c:numCache>
                <c:formatCode>General</c:formatCode>
                <c:ptCount val="3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lr!$C$1:$C$30</c:f>
              <c:numCache>
                <c:formatCode>General</c:formatCode>
                <c:ptCount val="30"/>
                <c:pt idx="0">
                  <c:v>4426</c:v>
                </c:pt>
                <c:pt idx="1">
                  <c:v>4141</c:v>
                </c:pt>
                <c:pt idx="2">
                  <c:v>4173</c:v>
                </c:pt>
                <c:pt idx="3">
                  <c:v>4285</c:v>
                </c:pt>
                <c:pt idx="4">
                  <c:v>4214</c:v>
                </c:pt>
                <c:pt idx="5">
                  <c:v>4421</c:v>
                </c:pt>
                <c:pt idx="6">
                  <c:v>4908</c:v>
                </c:pt>
                <c:pt idx="7">
                  <c:v>4115</c:v>
                </c:pt>
                <c:pt idx="8">
                  <c:v>5320</c:v>
                </c:pt>
                <c:pt idx="9">
                  <c:v>5258</c:v>
                </c:pt>
                <c:pt idx="10">
                  <c:v>4016</c:v>
                </c:pt>
                <c:pt idx="11">
                  <c:v>4110</c:v>
                </c:pt>
                <c:pt idx="12">
                  <c:v>4135</c:v>
                </c:pt>
                <c:pt idx="13">
                  <c:v>3959</c:v>
                </c:pt>
                <c:pt idx="14">
                  <c:v>4069</c:v>
                </c:pt>
                <c:pt idx="15">
                  <c:v>4144</c:v>
                </c:pt>
                <c:pt idx="16">
                  <c:v>3956</c:v>
                </c:pt>
                <c:pt idx="17">
                  <c:v>4197</c:v>
                </c:pt>
                <c:pt idx="18">
                  <c:v>4033</c:v>
                </c:pt>
                <c:pt idx="19">
                  <c:v>3209</c:v>
                </c:pt>
                <c:pt idx="20">
                  <c:v>4004</c:v>
                </c:pt>
                <c:pt idx="21">
                  <c:v>4039</c:v>
                </c:pt>
                <c:pt idx="22">
                  <c:v>4127</c:v>
                </c:pt>
                <c:pt idx="23">
                  <c:v>4287</c:v>
                </c:pt>
                <c:pt idx="24">
                  <c:v>4049</c:v>
                </c:pt>
                <c:pt idx="25">
                  <c:v>4140</c:v>
                </c:pt>
                <c:pt idx="26">
                  <c:v>3880</c:v>
                </c:pt>
                <c:pt idx="27">
                  <c:v>4003</c:v>
                </c:pt>
                <c:pt idx="28">
                  <c:v>4014</c:v>
                </c:pt>
                <c:pt idx="29">
                  <c:v>4073</c:v>
                </c:pt>
              </c:numCache>
            </c:numRef>
          </c:val>
        </c:ser>
        <c:marker val="1"/>
        <c:axId val="99467648"/>
        <c:axId val="99469184"/>
      </c:lineChart>
      <c:catAx>
        <c:axId val="99467648"/>
        <c:scaling>
          <c:orientation val="minMax"/>
        </c:scaling>
        <c:axPos val="b"/>
        <c:tickLblPos val="nextTo"/>
        <c:crossAx val="99469184"/>
        <c:crosses val="autoZero"/>
        <c:auto val="1"/>
        <c:lblAlgn val="ctr"/>
        <c:lblOffset val="100"/>
      </c:catAx>
      <c:valAx>
        <c:axId val="99469184"/>
        <c:scaling>
          <c:orientation val="minMax"/>
        </c:scaling>
        <c:axPos val="l"/>
        <c:majorGridlines/>
        <c:numFmt formatCode="General" sourceLinked="1"/>
        <c:tickLblPos val="nextTo"/>
        <c:crossAx val="994676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pid!$B$1:$B$30</c:f>
              <c:numCache>
                <c:formatCode>General</c:formatCode>
                <c:ptCount val="3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5000</c:v>
                </c:pt>
                <c:pt idx="5">
                  <c:v>5000</c:v>
                </c:pt>
                <c:pt idx="6">
                  <c:v>5000</c:v>
                </c:pt>
                <c:pt idx="7">
                  <c:v>5000</c:v>
                </c:pt>
                <c:pt idx="8">
                  <c:v>5000</c:v>
                </c:pt>
                <c:pt idx="9">
                  <c:v>5000</c:v>
                </c:pt>
                <c:pt idx="10">
                  <c:v>5000</c:v>
                </c:pt>
                <c:pt idx="11">
                  <c:v>5000</c:v>
                </c:pt>
                <c:pt idx="12">
                  <c:v>5000</c:v>
                </c:pt>
                <c:pt idx="13">
                  <c:v>5000</c:v>
                </c:pt>
                <c:pt idx="14">
                  <c:v>5000</c:v>
                </c:pt>
                <c:pt idx="15">
                  <c:v>5000</c:v>
                </c:pt>
                <c:pt idx="16">
                  <c:v>5000</c:v>
                </c:pt>
                <c:pt idx="17">
                  <c:v>5000</c:v>
                </c:pt>
                <c:pt idx="18">
                  <c:v>5000</c:v>
                </c:pt>
                <c:pt idx="19">
                  <c:v>5000</c:v>
                </c:pt>
                <c:pt idx="20">
                  <c:v>5000</c:v>
                </c:pt>
                <c:pt idx="21">
                  <c:v>5000</c:v>
                </c:pt>
                <c:pt idx="22">
                  <c:v>5000</c:v>
                </c:pt>
                <c:pt idx="23">
                  <c:v>5000</c:v>
                </c:pt>
                <c:pt idx="24">
                  <c:v>5000</c:v>
                </c:pt>
                <c:pt idx="25">
                  <c:v>5000</c:v>
                </c:pt>
                <c:pt idx="26">
                  <c:v>5000</c:v>
                </c:pt>
                <c:pt idx="27">
                  <c:v>5000</c:v>
                </c:pt>
                <c:pt idx="28">
                  <c:v>5000</c:v>
                </c:pt>
                <c:pt idx="29">
                  <c:v>5000</c:v>
                </c:pt>
              </c:numCache>
            </c:numRef>
          </c:val>
        </c:ser>
        <c:ser>
          <c:idx val="1"/>
          <c:order val="1"/>
          <c:marker>
            <c:symbol val="none"/>
          </c:marker>
          <c:val>
            <c:numRef>
              <c:f>pid!$C$1:$C$30</c:f>
              <c:numCache>
                <c:formatCode>General</c:formatCode>
                <c:ptCount val="30"/>
                <c:pt idx="0">
                  <c:v>1096</c:v>
                </c:pt>
                <c:pt idx="1">
                  <c:v>8943</c:v>
                </c:pt>
                <c:pt idx="2">
                  <c:v>642</c:v>
                </c:pt>
                <c:pt idx="3">
                  <c:v>10152</c:v>
                </c:pt>
                <c:pt idx="4">
                  <c:v>698</c:v>
                </c:pt>
                <c:pt idx="5">
                  <c:v>9133</c:v>
                </c:pt>
                <c:pt idx="6">
                  <c:v>571</c:v>
                </c:pt>
                <c:pt idx="7">
                  <c:v>8488</c:v>
                </c:pt>
                <c:pt idx="8">
                  <c:v>702</c:v>
                </c:pt>
                <c:pt idx="9">
                  <c:v>13487</c:v>
                </c:pt>
                <c:pt idx="10">
                  <c:v>2258</c:v>
                </c:pt>
                <c:pt idx="11">
                  <c:v>10724</c:v>
                </c:pt>
                <c:pt idx="12">
                  <c:v>2220</c:v>
                </c:pt>
                <c:pt idx="13">
                  <c:v>6681</c:v>
                </c:pt>
                <c:pt idx="14">
                  <c:v>622</c:v>
                </c:pt>
                <c:pt idx="15">
                  <c:v>7549</c:v>
                </c:pt>
                <c:pt idx="16">
                  <c:v>604</c:v>
                </c:pt>
                <c:pt idx="17">
                  <c:v>8338</c:v>
                </c:pt>
                <c:pt idx="18">
                  <c:v>740</c:v>
                </c:pt>
                <c:pt idx="19">
                  <c:v>6598</c:v>
                </c:pt>
                <c:pt idx="20">
                  <c:v>607</c:v>
                </c:pt>
                <c:pt idx="21">
                  <c:v>8920</c:v>
                </c:pt>
                <c:pt idx="22">
                  <c:v>1506</c:v>
                </c:pt>
                <c:pt idx="23">
                  <c:v>12621</c:v>
                </c:pt>
                <c:pt idx="24">
                  <c:v>2076</c:v>
                </c:pt>
                <c:pt idx="25">
                  <c:v>9017</c:v>
                </c:pt>
                <c:pt idx="26">
                  <c:v>1811</c:v>
                </c:pt>
                <c:pt idx="27">
                  <c:v>8852</c:v>
                </c:pt>
                <c:pt idx="28">
                  <c:v>1071</c:v>
                </c:pt>
                <c:pt idx="29">
                  <c:v>6795</c:v>
                </c:pt>
              </c:numCache>
            </c:numRef>
          </c:val>
        </c:ser>
        <c:marker val="1"/>
        <c:axId val="80488704"/>
        <c:axId val="81589376"/>
      </c:lineChart>
      <c:catAx>
        <c:axId val="80488704"/>
        <c:scaling>
          <c:orientation val="minMax"/>
        </c:scaling>
        <c:axPos val="b"/>
        <c:tickLblPos val="nextTo"/>
        <c:crossAx val="81589376"/>
        <c:crosses val="autoZero"/>
        <c:auto val="1"/>
        <c:lblAlgn val="ctr"/>
        <c:lblOffset val="100"/>
      </c:catAx>
      <c:valAx>
        <c:axId val="81589376"/>
        <c:scaling>
          <c:orientation val="minMax"/>
        </c:scaling>
        <c:axPos val="l"/>
        <c:majorGridlines/>
        <c:numFmt formatCode="General" sourceLinked="1"/>
        <c:tickLblPos val="nextTo"/>
        <c:crossAx val="80488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11</xdr:row>
      <xdr:rowOff>152400</xdr:rowOff>
    </xdr:from>
    <xdr:to>
      <xdr:col>13</xdr:col>
      <xdr:colOff>361950</xdr:colOff>
      <xdr:row>26</xdr:row>
      <xdr:rowOff>133350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12</xdr:row>
      <xdr:rowOff>177800</xdr:rowOff>
    </xdr:from>
    <xdr:to>
      <xdr:col>15</xdr:col>
      <xdr:colOff>285750</xdr:colOff>
      <xdr:row>27</xdr:row>
      <xdr:rowOff>158750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opLeftCell="A8" workbookViewId="0">
      <selection activeCell="B1" sqref="B1:C30"/>
    </sheetView>
  </sheetViews>
  <sheetFormatPr defaultRowHeight="14.5"/>
  <sheetData>
    <row r="1" spans="1:6">
      <c r="A1">
        <v>3</v>
      </c>
      <c r="B1">
        <v>5000</v>
      </c>
      <c r="C1">
        <v>4426</v>
      </c>
      <c r="D1">
        <f>POWER(C1-B1,2)</f>
        <v>329476</v>
      </c>
      <c r="E1">
        <f>ABS(B1-C1)</f>
        <v>574</v>
      </c>
      <c r="F1">
        <f>IF(E1/B1&lt;=0.2,1,0)</f>
        <v>1</v>
      </c>
    </row>
    <row r="2" spans="1:6">
      <c r="A2">
        <v>3</v>
      </c>
      <c r="B2">
        <v>5000</v>
      </c>
      <c r="C2">
        <v>4141</v>
      </c>
      <c r="D2">
        <f t="shared" ref="D2:D30" si="0">POWER(C2-B2,2)</f>
        <v>737881</v>
      </c>
      <c r="E2">
        <f t="shared" ref="E2:E30" si="1">ABS(B2-C2)</f>
        <v>859</v>
      </c>
      <c r="F2">
        <f t="shared" ref="F2:F30" si="2">IF(E2/B2&lt;=0.2,1,0)</f>
        <v>1</v>
      </c>
    </row>
    <row r="3" spans="1:6">
      <c r="A3">
        <v>3</v>
      </c>
      <c r="B3">
        <v>5000</v>
      </c>
      <c r="C3">
        <v>4173</v>
      </c>
      <c r="D3">
        <f t="shared" si="0"/>
        <v>683929</v>
      </c>
      <c r="E3">
        <f t="shared" si="1"/>
        <v>827</v>
      </c>
      <c r="F3">
        <f t="shared" si="2"/>
        <v>1</v>
      </c>
    </row>
    <row r="4" spans="1:6">
      <c r="A4">
        <v>3</v>
      </c>
      <c r="B4">
        <v>5000</v>
      </c>
      <c r="C4">
        <v>4285</v>
      </c>
      <c r="D4">
        <f t="shared" si="0"/>
        <v>511225</v>
      </c>
      <c r="E4">
        <f t="shared" si="1"/>
        <v>715</v>
      </c>
      <c r="F4">
        <f t="shared" si="2"/>
        <v>1</v>
      </c>
    </row>
    <row r="5" spans="1:6">
      <c r="A5">
        <v>3</v>
      </c>
      <c r="B5">
        <v>5000</v>
      </c>
      <c r="C5">
        <v>4214</v>
      </c>
      <c r="D5">
        <f t="shared" si="0"/>
        <v>617796</v>
      </c>
      <c r="E5">
        <f t="shared" si="1"/>
        <v>786</v>
      </c>
      <c r="F5">
        <f t="shared" si="2"/>
        <v>1</v>
      </c>
    </row>
    <row r="6" spans="1:6">
      <c r="A6">
        <v>3</v>
      </c>
      <c r="B6">
        <v>5000</v>
      </c>
      <c r="C6">
        <v>4421</v>
      </c>
      <c r="D6">
        <f t="shared" si="0"/>
        <v>335241</v>
      </c>
      <c r="E6">
        <f t="shared" si="1"/>
        <v>579</v>
      </c>
      <c r="F6">
        <f t="shared" si="2"/>
        <v>1</v>
      </c>
    </row>
    <row r="7" spans="1:6">
      <c r="A7">
        <v>3</v>
      </c>
      <c r="B7">
        <v>5000</v>
      </c>
      <c r="C7">
        <v>4908</v>
      </c>
      <c r="D7">
        <f t="shared" si="0"/>
        <v>8464</v>
      </c>
      <c r="E7">
        <f t="shared" si="1"/>
        <v>92</v>
      </c>
      <c r="F7">
        <f t="shared" si="2"/>
        <v>1</v>
      </c>
    </row>
    <row r="8" spans="1:6">
      <c r="A8">
        <v>3</v>
      </c>
      <c r="B8">
        <v>5000</v>
      </c>
      <c r="C8">
        <v>4115</v>
      </c>
      <c r="D8">
        <f t="shared" si="0"/>
        <v>783225</v>
      </c>
      <c r="E8">
        <f t="shared" si="1"/>
        <v>885</v>
      </c>
      <c r="F8">
        <f t="shared" si="2"/>
        <v>1</v>
      </c>
    </row>
    <row r="9" spans="1:6">
      <c r="A9">
        <v>3</v>
      </c>
      <c r="B9">
        <v>5000</v>
      </c>
      <c r="C9">
        <v>5320</v>
      </c>
      <c r="D9">
        <f t="shared" si="0"/>
        <v>102400</v>
      </c>
      <c r="E9">
        <f t="shared" si="1"/>
        <v>320</v>
      </c>
      <c r="F9">
        <f t="shared" si="2"/>
        <v>1</v>
      </c>
    </row>
    <row r="10" spans="1:6">
      <c r="A10">
        <v>3</v>
      </c>
      <c r="B10">
        <v>5000</v>
      </c>
      <c r="C10">
        <v>5258</v>
      </c>
      <c r="D10">
        <f t="shared" si="0"/>
        <v>66564</v>
      </c>
      <c r="E10">
        <f t="shared" si="1"/>
        <v>258</v>
      </c>
      <c r="F10">
        <f t="shared" si="2"/>
        <v>1</v>
      </c>
    </row>
    <row r="11" spans="1:6">
      <c r="A11">
        <v>3</v>
      </c>
      <c r="B11">
        <v>5000</v>
      </c>
      <c r="C11">
        <v>4016</v>
      </c>
      <c r="D11">
        <f t="shared" si="0"/>
        <v>968256</v>
      </c>
      <c r="E11">
        <f t="shared" si="1"/>
        <v>984</v>
      </c>
      <c r="F11">
        <f t="shared" si="2"/>
        <v>1</v>
      </c>
    </row>
    <row r="12" spans="1:6">
      <c r="A12">
        <v>3</v>
      </c>
      <c r="B12">
        <v>5000</v>
      </c>
      <c r="C12">
        <v>4110</v>
      </c>
      <c r="D12">
        <f t="shared" si="0"/>
        <v>792100</v>
      </c>
      <c r="E12">
        <f t="shared" si="1"/>
        <v>890</v>
      </c>
      <c r="F12">
        <f t="shared" si="2"/>
        <v>1</v>
      </c>
    </row>
    <row r="13" spans="1:6">
      <c r="A13">
        <v>3</v>
      </c>
      <c r="B13">
        <v>5000</v>
      </c>
      <c r="C13">
        <v>4135</v>
      </c>
      <c r="D13">
        <f t="shared" si="0"/>
        <v>748225</v>
      </c>
      <c r="E13">
        <f t="shared" si="1"/>
        <v>865</v>
      </c>
      <c r="F13">
        <f t="shared" si="2"/>
        <v>1</v>
      </c>
    </row>
    <row r="14" spans="1:6">
      <c r="A14">
        <v>3</v>
      </c>
      <c r="B14">
        <v>5000</v>
      </c>
      <c r="C14">
        <v>3959</v>
      </c>
      <c r="D14">
        <f t="shared" si="0"/>
        <v>1083681</v>
      </c>
      <c r="E14">
        <f t="shared" si="1"/>
        <v>1041</v>
      </c>
      <c r="F14">
        <f t="shared" si="2"/>
        <v>0</v>
      </c>
    </row>
    <row r="15" spans="1:6">
      <c r="A15">
        <v>3</v>
      </c>
      <c r="B15">
        <v>5000</v>
      </c>
      <c r="C15">
        <v>4069</v>
      </c>
      <c r="D15">
        <f t="shared" si="0"/>
        <v>866761</v>
      </c>
      <c r="E15">
        <f t="shared" si="1"/>
        <v>931</v>
      </c>
      <c r="F15">
        <f t="shared" si="2"/>
        <v>1</v>
      </c>
    </row>
    <row r="16" spans="1:6">
      <c r="A16">
        <v>3</v>
      </c>
      <c r="B16">
        <v>5000</v>
      </c>
      <c r="C16">
        <v>4144</v>
      </c>
      <c r="D16">
        <f t="shared" si="0"/>
        <v>732736</v>
      </c>
      <c r="E16">
        <f t="shared" si="1"/>
        <v>856</v>
      </c>
      <c r="F16">
        <f t="shared" si="2"/>
        <v>1</v>
      </c>
    </row>
    <row r="17" spans="1:6">
      <c r="A17">
        <v>3</v>
      </c>
      <c r="B17">
        <v>5000</v>
      </c>
      <c r="C17">
        <v>3956</v>
      </c>
      <c r="D17">
        <f t="shared" si="0"/>
        <v>1089936</v>
      </c>
      <c r="E17">
        <f t="shared" si="1"/>
        <v>1044</v>
      </c>
      <c r="F17">
        <f t="shared" si="2"/>
        <v>0</v>
      </c>
    </row>
    <row r="18" spans="1:6">
      <c r="A18">
        <v>3</v>
      </c>
      <c r="B18">
        <v>5000</v>
      </c>
      <c r="C18">
        <v>4197</v>
      </c>
      <c r="D18">
        <f t="shared" si="0"/>
        <v>644809</v>
      </c>
      <c r="E18">
        <f t="shared" si="1"/>
        <v>803</v>
      </c>
      <c r="F18">
        <f t="shared" si="2"/>
        <v>1</v>
      </c>
    </row>
    <row r="19" spans="1:6">
      <c r="A19">
        <v>3</v>
      </c>
      <c r="B19">
        <v>5000</v>
      </c>
      <c r="C19">
        <v>4033</v>
      </c>
      <c r="D19">
        <f t="shared" si="0"/>
        <v>935089</v>
      </c>
      <c r="E19">
        <f t="shared" si="1"/>
        <v>967</v>
      </c>
      <c r="F19">
        <f t="shared" si="2"/>
        <v>1</v>
      </c>
    </row>
    <row r="20" spans="1:6">
      <c r="A20">
        <v>3</v>
      </c>
      <c r="B20">
        <v>5000</v>
      </c>
      <c r="C20">
        <v>3209</v>
      </c>
      <c r="D20">
        <f t="shared" si="0"/>
        <v>3207681</v>
      </c>
      <c r="E20">
        <f t="shared" si="1"/>
        <v>1791</v>
      </c>
      <c r="F20">
        <f t="shared" si="2"/>
        <v>0</v>
      </c>
    </row>
    <row r="21" spans="1:6">
      <c r="A21">
        <v>3</v>
      </c>
      <c r="B21">
        <v>5000</v>
      </c>
      <c r="C21">
        <v>4004</v>
      </c>
      <c r="D21">
        <f t="shared" si="0"/>
        <v>992016</v>
      </c>
      <c r="E21">
        <f t="shared" si="1"/>
        <v>996</v>
      </c>
      <c r="F21">
        <f t="shared" si="2"/>
        <v>1</v>
      </c>
    </row>
    <row r="22" spans="1:6">
      <c r="A22">
        <v>3</v>
      </c>
      <c r="B22">
        <v>5000</v>
      </c>
      <c r="C22">
        <v>4039</v>
      </c>
      <c r="D22">
        <f t="shared" si="0"/>
        <v>923521</v>
      </c>
      <c r="E22">
        <f t="shared" si="1"/>
        <v>961</v>
      </c>
      <c r="F22">
        <f t="shared" si="2"/>
        <v>1</v>
      </c>
    </row>
    <row r="23" spans="1:6">
      <c r="A23">
        <v>3</v>
      </c>
      <c r="B23">
        <v>5000</v>
      </c>
      <c r="C23">
        <v>4127</v>
      </c>
      <c r="D23">
        <f t="shared" si="0"/>
        <v>762129</v>
      </c>
      <c r="E23">
        <f t="shared" si="1"/>
        <v>873</v>
      </c>
      <c r="F23">
        <f t="shared" si="2"/>
        <v>1</v>
      </c>
    </row>
    <row r="24" spans="1:6">
      <c r="A24">
        <v>3</v>
      </c>
      <c r="B24">
        <v>5000</v>
      </c>
      <c r="C24">
        <v>4287</v>
      </c>
      <c r="D24">
        <f t="shared" si="0"/>
        <v>508369</v>
      </c>
      <c r="E24">
        <f t="shared" si="1"/>
        <v>713</v>
      </c>
      <c r="F24">
        <f t="shared" si="2"/>
        <v>1</v>
      </c>
    </row>
    <row r="25" spans="1:6">
      <c r="A25">
        <v>3</v>
      </c>
      <c r="B25">
        <v>5000</v>
      </c>
      <c r="C25">
        <v>4049</v>
      </c>
      <c r="D25">
        <f t="shared" si="0"/>
        <v>904401</v>
      </c>
      <c r="E25">
        <f t="shared" si="1"/>
        <v>951</v>
      </c>
      <c r="F25">
        <f t="shared" si="2"/>
        <v>1</v>
      </c>
    </row>
    <row r="26" spans="1:6">
      <c r="A26">
        <v>3</v>
      </c>
      <c r="B26">
        <v>5000</v>
      </c>
      <c r="C26">
        <v>4140</v>
      </c>
      <c r="D26">
        <f t="shared" si="0"/>
        <v>739600</v>
      </c>
      <c r="E26">
        <f t="shared" si="1"/>
        <v>860</v>
      </c>
      <c r="F26">
        <f t="shared" si="2"/>
        <v>1</v>
      </c>
    </row>
    <row r="27" spans="1:6">
      <c r="A27">
        <v>3</v>
      </c>
      <c r="B27">
        <v>5000</v>
      </c>
      <c r="C27">
        <v>3880</v>
      </c>
      <c r="D27">
        <f t="shared" si="0"/>
        <v>1254400</v>
      </c>
      <c r="E27">
        <f t="shared" si="1"/>
        <v>1120</v>
      </c>
      <c r="F27">
        <f t="shared" si="2"/>
        <v>0</v>
      </c>
    </row>
    <row r="28" spans="1:6">
      <c r="A28">
        <v>3</v>
      </c>
      <c r="B28">
        <v>5000</v>
      </c>
      <c r="C28">
        <v>4003</v>
      </c>
      <c r="D28">
        <f t="shared" si="0"/>
        <v>994009</v>
      </c>
      <c r="E28">
        <f t="shared" si="1"/>
        <v>997</v>
      </c>
      <c r="F28">
        <f t="shared" si="2"/>
        <v>1</v>
      </c>
    </row>
    <row r="29" spans="1:6">
      <c r="A29">
        <v>3</v>
      </c>
      <c r="B29">
        <v>5000</v>
      </c>
      <c r="C29">
        <v>4014</v>
      </c>
      <c r="D29">
        <f t="shared" si="0"/>
        <v>972196</v>
      </c>
      <c r="E29">
        <f t="shared" si="1"/>
        <v>986</v>
      </c>
      <c r="F29">
        <f t="shared" si="2"/>
        <v>1</v>
      </c>
    </row>
    <row r="30" spans="1:6">
      <c r="A30">
        <v>3</v>
      </c>
      <c r="B30">
        <v>5000</v>
      </c>
      <c r="C30">
        <v>4073</v>
      </c>
      <c r="D30">
        <f t="shared" si="0"/>
        <v>859329</v>
      </c>
      <c r="E30">
        <f t="shared" si="1"/>
        <v>927</v>
      </c>
      <c r="F30">
        <f t="shared" si="2"/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topLeftCell="A9" workbookViewId="0">
      <selection activeCell="E1" sqref="E1:F30"/>
    </sheetView>
  </sheetViews>
  <sheetFormatPr defaultRowHeight="14.5"/>
  <sheetData>
    <row r="1" spans="1:6">
      <c r="A1">
        <v>3</v>
      </c>
      <c r="B1">
        <v>5000</v>
      </c>
      <c r="C1">
        <v>4134</v>
      </c>
      <c r="D1">
        <f>POWER(C1-B1,2)</f>
        <v>749956</v>
      </c>
      <c r="E1">
        <f>ABS(B1-C1)</f>
        <v>866</v>
      </c>
      <c r="F1">
        <f>IF(E1/B1&lt;=0.2,1,0)</f>
        <v>1</v>
      </c>
    </row>
    <row r="2" spans="1:6">
      <c r="A2">
        <v>3</v>
      </c>
      <c r="B2">
        <v>5000</v>
      </c>
      <c r="C2">
        <v>4009</v>
      </c>
      <c r="D2">
        <f t="shared" ref="D2:D30" si="0">POWER(C2-B2,2)</f>
        <v>982081</v>
      </c>
      <c r="E2">
        <f t="shared" ref="E2:E30" si="1">ABS(B2-C2)</f>
        <v>991</v>
      </c>
      <c r="F2">
        <f t="shared" ref="F2:F30" si="2">IF(E2/B2&lt;=0.2,1,0)</f>
        <v>1</v>
      </c>
    </row>
    <row r="3" spans="1:6">
      <c r="A3">
        <v>3</v>
      </c>
      <c r="B3">
        <v>5000</v>
      </c>
      <c r="C3">
        <v>3533</v>
      </c>
      <c r="D3">
        <f t="shared" si="0"/>
        <v>2152089</v>
      </c>
      <c r="E3">
        <f t="shared" si="1"/>
        <v>1467</v>
      </c>
      <c r="F3">
        <f t="shared" si="2"/>
        <v>0</v>
      </c>
    </row>
    <row r="4" spans="1:6">
      <c r="A4">
        <v>3</v>
      </c>
      <c r="B4">
        <v>5000</v>
      </c>
      <c r="C4">
        <v>4018</v>
      </c>
      <c r="D4">
        <f t="shared" si="0"/>
        <v>964324</v>
      </c>
      <c r="E4">
        <f t="shared" si="1"/>
        <v>982</v>
      </c>
      <c r="F4">
        <f t="shared" si="2"/>
        <v>1</v>
      </c>
    </row>
    <row r="5" spans="1:6">
      <c r="A5">
        <v>3</v>
      </c>
      <c r="B5">
        <v>5000</v>
      </c>
      <c r="C5">
        <v>3939</v>
      </c>
      <c r="D5">
        <f t="shared" si="0"/>
        <v>1125721</v>
      </c>
      <c r="E5">
        <f t="shared" si="1"/>
        <v>1061</v>
      </c>
      <c r="F5">
        <f t="shared" si="2"/>
        <v>0</v>
      </c>
    </row>
    <row r="6" spans="1:6">
      <c r="A6">
        <v>3</v>
      </c>
      <c r="B6">
        <v>5000</v>
      </c>
      <c r="C6">
        <v>4017</v>
      </c>
      <c r="D6">
        <f t="shared" si="0"/>
        <v>966289</v>
      </c>
      <c r="E6">
        <f t="shared" si="1"/>
        <v>983</v>
      </c>
      <c r="F6">
        <f t="shared" si="2"/>
        <v>1</v>
      </c>
    </row>
    <row r="7" spans="1:6">
      <c r="A7">
        <v>3</v>
      </c>
      <c r="B7">
        <v>5000</v>
      </c>
      <c r="C7">
        <v>3963</v>
      </c>
      <c r="D7">
        <f t="shared" si="0"/>
        <v>1075369</v>
      </c>
      <c r="E7">
        <f t="shared" si="1"/>
        <v>1037</v>
      </c>
      <c r="F7">
        <f t="shared" si="2"/>
        <v>0</v>
      </c>
    </row>
    <row r="8" spans="1:6">
      <c r="A8">
        <v>3</v>
      </c>
      <c r="B8">
        <v>5000</v>
      </c>
      <c r="C8">
        <v>4023</v>
      </c>
      <c r="D8">
        <f t="shared" si="0"/>
        <v>954529</v>
      </c>
      <c r="E8">
        <f t="shared" si="1"/>
        <v>977</v>
      </c>
      <c r="F8">
        <f t="shared" si="2"/>
        <v>1</v>
      </c>
    </row>
    <row r="9" spans="1:6">
      <c r="A9">
        <v>3</v>
      </c>
      <c r="B9">
        <v>5000</v>
      </c>
      <c r="C9">
        <v>4002</v>
      </c>
      <c r="D9">
        <f t="shared" si="0"/>
        <v>996004</v>
      </c>
      <c r="E9">
        <f t="shared" si="1"/>
        <v>998</v>
      </c>
      <c r="F9">
        <f t="shared" si="2"/>
        <v>1</v>
      </c>
    </row>
    <row r="10" spans="1:6">
      <c r="A10">
        <v>3</v>
      </c>
      <c r="B10">
        <v>5000</v>
      </c>
      <c r="C10">
        <v>3951</v>
      </c>
      <c r="D10">
        <f t="shared" si="0"/>
        <v>1100401</v>
      </c>
      <c r="E10">
        <f t="shared" si="1"/>
        <v>1049</v>
      </c>
      <c r="F10">
        <f t="shared" si="2"/>
        <v>0</v>
      </c>
    </row>
    <row r="11" spans="1:6">
      <c r="A11">
        <v>3</v>
      </c>
      <c r="B11">
        <v>5000</v>
      </c>
      <c r="C11">
        <v>4040</v>
      </c>
      <c r="D11">
        <f t="shared" si="0"/>
        <v>921600</v>
      </c>
      <c r="E11">
        <f t="shared" si="1"/>
        <v>960</v>
      </c>
      <c r="F11">
        <f t="shared" si="2"/>
        <v>1</v>
      </c>
    </row>
    <row r="12" spans="1:6">
      <c r="A12">
        <v>3</v>
      </c>
      <c r="B12">
        <v>5000</v>
      </c>
      <c r="C12">
        <v>4013</v>
      </c>
      <c r="D12">
        <f t="shared" si="0"/>
        <v>974169</v>
      </c>
      <c r="E12">
        <f t="shared" si="1"/>
        <v>987</v>
      </c>
      <c r="F12">
        <f t="shared" si="2"/>
        <v>1</v>
      </c>
    </row>
    <row r="13" spans="1:6">
      <c r="A13">
        <v>3</v>
      </c>
      <c r="B13">
        <v>5000</v>
      </c>
      <c r="C13">
        <v>4151</v>
      </c>
      <c r="D13">
        <f t="shared" si="0"/>
        <v>720801</v>
      </c>
      <c r="E13">
        <f t="shared" si="1"/>
        <v>849</v>
      </c>
      <c r="F13">
        <f t="shared" si="2"/>
        <v>1</v>
      </c>
    </row>
    <row r="14" spans="1:6">
      <c r="A14">
        <v>3</v>
      </c>
      <c r="B14">
        <v>5000</v>
      </c>
      <c r="C14">
        <v>3987</v>
      </c>
      <c r="D14">
        <f t="shared" si="0"/>
        <v>1026169</v>
      </c>
      <c r="E14">
        <f t="shared" si="1"/>
        <v>1013</v>
      </c>
      <c r="F14">
        <f t="shared" si="2"/>
        <v>0</v>
      </c>
    </row>
    <row r="15" spans="1:6">
      <c r="A15">
        <v>3</v>
      </c>
      <c r="B15">
        <v>5000</v>
      </c>
      <c r="C15">
        <v>2769</v>
      </c>
      <c r="D15">
        <f t="shared" si="0"/>
        <v>4977361</v>
      </c>
      <c r="E15">
        <f t="shared" si="1"/>
        <v>2231</v>
      </c>
      <c r="F15">
        <f t="shared" si="2"/>
        <v>0</v>
      </c>
    </row>
    <row r="16" spans="1:6">
      <c r="A16">
        <v>3</v>
      </c>
      <c r="B16">
        <v>5000</v>
      </c>
      <c r="C16">
        <v>4028</v>
      </c>
      <c r="D16">
        <f t="shared" si="0"/>
        <v>944784</v>
      </c>
      <c r="E16">
        <f t="shared" si="1"/>
        <v>972</v>
      </c>
      <c r="F16">
        <f t="shared" si="2"/>
        <v>1</v>
      </c>
    </row>
    <row r="17" spans="1:6">
      <c r="A17">
        <v>3</v>
      </c>
      <c r="B17">
        <v>5000</v>
      </c>
      <c r="C17">
        <v>4023</v>
      </c>
      <c r="D17">
        <f t="shared" si="0"/>
        <v>954529</v>
      </c>
      <c r="E17">
        <f t="shared" si="1"/>
        <v>977</v>
      </c>
      <c r="F17">
        <f t="shared" si="2"/>
        <v>1</v>
      </c>
    </row>
    <row r="18" spans="1:6">
      <c r="A18">
        <v>3</v>
      </c>
      <c r="B18">
        <v>5000</v>
      </c>
      <c r="C18">
        <v>4048</v>
      </c>
      <c r="D18">
        <f t="shared" si="0"/>
        <v>906304</v>
      </c>
      <c r="E18">
        <f t="shared" si="1"/>
        <v>952</v>
      </c>
      <c r="F18">
        <f t="shared" si="2"/>
        <v>1</v>
      </c>
    </row>
    <row r="19" spans="1:6">
      <c r="A19">
        <v>3</v>
      </c>
      <c r="B19">
        <v>5000</v>
      </c>
      <c r="C19">
        <v>3882</v>
      </c>
      <c r="D19">
        <f t="shared" si="0"/>
        <v>1249924</v>
      </c>
      <c r="E19">
        <f t="shared" si="1"/>
        <v>1118</v>
      </c>
      <c r="F19">
        <f t="shared" si="2"/>
        <v>0</v>
      </c>
    </row>
    <row r="20" spans="1:6">
      <c r="A20">
        <v>3</v>
      </c>
      <c r="B20">
        <v>5000</v>
      </c>
      <c r="C20">
        <v>3853</v>
      </c>
      <c r="D20">
        <f t="shared" si="0"/>
        <v>1315609</v>
      </c>
      <c r="E20">
        <f t="shared" si="1"/>
        <v>1147</v>
      </c>
      <c r="F20">
        <f t="shared" si="2"/>
        <v>0</v>
      </c>
    </row>
    <row r="21" spans="1:6">
      <c r="A21">
        <v>3</v>
      </c>
      <c r="B21">
        <v>5000</v>
      </c>
      <c r="C21">
        <v>4039</v>
      </c>
      <c r="D21">
        <f t="shared" si="0"/>
        <v>923521</v>
      </c>
      <c r="E21">
        <f t="shared" si="1"/>
        <v>961</v>
      </c>
      <c r="F21">
        <f t="shared" si="2"/>
        <v>1</v>
      </c>
    </row>
    <row r="22" spans="1:6">
      <c r="A22">
        <v>3</v>
      </c>
      <c r="B22">
        <v>5000</v>
      </c>
      <c r="C22">
        <v>3945</v>
      </c>
      <c r="D22">
        <f t="shared" si="0"/>
        <v>1113025</v>
      </c>
      <c r="E22">
        <f t="shared" si="1"/>
        <v>1055</v>
      </c>
      <c r="F22">
        <f t="shared" si="2"/>
        <v>0</v>
      </c>
    </row>
    <row r="23" spans="1:6">
      <c r="A23">
        <v>3</v>
      </c>
      <c r="B23">
        <v>5000</v>
      </c>
      <c r="C23">
        <v>3948</v>
      </c>
      <c r="D23">
        <f t="shared" si="0"/>
        <v>1106704</v>
      </c>
      <c r="E23">
        <f t="shared" si="1"/>
        <v>1052</v>
      </c>
      <c r="F23">
        <f t="shared" si="2"/>
        <v>0</v>
      </c>
    </row>
    <row r="24" spans="1:6">
      <c r="A24">
        <v>3</v>
      </c>
      <c r="B24">
        <v>5000</v>
      </c>
      <c r="C24">
        <v>3985</v>
      </c>
      <c r="D24">
        <f t="shared" si="0"/>
        <v>1030225</v>
      </c>
      <c r="E24">
        <f t="shared" si="1"/>
        <v>1015</v>
      </c>
      <c r="F24">
        <f t="shared" si="2"/>
        <v>0</v>
      </c>
    </row>
    <row r="25" spans="1:6">
      <c r="A25">
        <v>3</v>
      </c>
      <c r="B25">
        <v>5000</v>
      </c>
      <c r="C25">
        <v>4048</v>
      </c>
      <c r="D25">
        <f t="shared" si="0"/>
        <v>906304</v>
      </c>
      <c r="E25">
        <f t="shared" si="1"/>
        <v>952</v>
      </c>
      <c r="F25">
        <f t="shared" si="2"/>
        <v>1</v>
      </c>
    </row>
    <row r="26" spans="1:6">
      <c r="A26">
        <v>3</v>
      </c>
      <c r="B26">
        <v>5000</v>
      </c>
      <c r="C26">
        <v>4080</v>
      </c>
      <c r="D26">
        <f t="shared" si="0"/>
        <v>846400</v>
      </c>
      <c r="E26">
        <f t="shared" si="1"/>
        <v>920</v>
      </c>
      <c r="F26">
        <f t="shared" si="2"/>
        <v>1</v>
      </c>
    </row>
    <row r="27" spans="1:6">
      <c r="A27">
        <v>3</v>
      </c>
      <c r="B27">
        <v>5000</v>
      </c>
      <c r="C27">
        <v>3391</v>
      </c>
      <c r="D27">
        <f t="shared" si="0"/>
        <v>2588881</v>
      </c>
      <c r="E27">
        <f t="shared" si="1"/>
        <v>1609</v>
      </c>
      <c r="F27">
        <f t="shared" si="2"/>
        <v>0</v>
      </c>
    </row>
    <row r="28" spans="1:6">
      <c r="A28">
        <v>3</v>
      </c>
      <c r="B28">
        <v>5000</v>
      </c>
      <c r="C28">
        <v>3901</v>
      </c>
      <c r="D28">
        <f t="shared" si="0"/>
        <v>1207801</v>
      </c>
      <c r="E28">
        <f t="shared" si="1"/>
        <v>1099</v>
      </c>
      <c r="F28">
        <f t="shared" si="2"/>
        <v>0</v>
      </c>
    </row>
    <row r="29" spans="1:6">
      <c r="A29">
        <v>3</v>
      </c>
      <c r="B29">
        <v>5000</v>
      </c>
      <c r="C29">
        <v>3826</v>
      </c>
      <c r="D29">
        <f t="shared" si="0"/>
        <v>1378276</v>
      </c>
      <c r="E29">
        <f t="shared" si="1"/>
        <v>1174</v>
      </c>
      <c r="F29">
        <f t="shared" si="2"/>
        <v>0</v>
      </c>
    </row>
    <row r="30" spans="1:6">
      <c r="A30">
        <v>3</v>
      </c>
      <c r="B30">
        <v>5000</v>
      </c>
      <c r="C30">
        <v>3980</v>
      </c>
      <c r="D30">
        <f t="shared" si="0"/>
        <v>1040400</v>
      </c>
      <c r="E30">
        <f t="shared" si="1"/>
        <v>1020</v>
      </c>
      <c r="F30">
        <f t="shared" si="2"/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selection activeCell="E1" sqref="E1:F30"/>
    </sheetView>
  </sheetViews>
  <sheetFormatPr defaultRowHeight="14.5"/>
  <sheetData>
    <row r="1" spans="1:6">
      <c r="A1">
        <v>3</v>
      </c>
      <c r="B1">
        <v>5000</v>
      </c>
      <c r="C1">
        <v>4438</v>
      </c>
      <c r="D1">
        <f>POWER(C1-B1,2)</f>
        <v>315844</v>
      </c>
      <c r="E1">
        <f>ABS(B1-C1)</f>
        <v>562</v>
      </c>
      <c r="F1">
        <f>IF(E1/B1&lt;=0.2,1,0)</f>
        <v>1</v>
      </c>
    </row>
    <row r="2" spans="1:6">
      <c r="A2">
        <v>3</v>
      </c>
      <c r="B2">
        <v>5000</v>
      </c>
      <c r="C2">
        <v>4131</v>
      </c>
      <c r="D2">
        <f t="shared" ref="D2:D30" si="0">POWER(C2-B2,2)</f>
        <v>755161</v>
      </c>
      <c r="E2">
        <f t="shared" ref="E2:E30" si="1">ABS(B2-C2)</f>
        <v>869</v>
      </c>
      <c r="F2">
        <f t="shared" ref="F2:F30" si="2">IF(E2/B2&lt;=0.2,1,0)</f>
        <v>1</v>
      </c>
    </row>
    <row r="3" spans="1:6">
      <c r="A3">
        <v>3</v>
      </c>
      <c r="B3">
        <v>5000</v>
      </c>
      <c r="C3">
        <v>3992</v>
      </c>
      <c r="D3">
        <f t="shared" si="0"/>
        <v>1016064</v>
      </c>
      <c r="E3">
        <f t="shared" si="1"/>
        <v>1008</v>
      </c>
      <c r="F3">
        <f t="shared" si="2"/>
        <v>0</v>
      </c>
    </row>
    <row r="4" spans="1:6">
      <c r="A4">
        <v>3</v>
      </c>
      <c r="B4">
        <v>5000</v>
      </c>
      <c r="C4">
        <v>3982</v>
      </c>
      <c r="D4">
        <f t="shared" si="0"/>
        <v>1036324</v>
      </c>
      <c r="E4">
        <f t="shared" si="1"/>
        <v>1018</v>
      </c>
      <c r="F4">
        <f t="shared" si="2"/>
        <v>0</v>
      </c>
    </row>
    <row r="5" spans="1:6">
      <c r="A5">
        <v>3</v>
      </c>
      <c r="B5">
        <v>5000</v>
      </c>
      <c r="C5">
        <v>4099</v>
      </c>
      <c r="D5">
        <f t="shared" si="0"/>
        <v>811801</v>
      </c>
      <c r="E5">
        <f t="shared" si="1"/>
        <v>901</v>
      </c>
      <c r="F5">
        <f t="shared" si="2"/>
        <v>1</v>
      </c>
    </row>
    <row r="6" spans="1:6">
      <c r="A6">
        <v>3</v>
      </c>
      <c r="B6">
        <v>5000</v>
      </c>
      <c r="C6">
        <v>4173</v>
      </c>
      <c r="D6">
        <f t="shared" si="0"/>
        <v>683929</v>
      </c>
      <c r="E6">
        <f t="shared" si="1"/>
        <v>827</v>
      </c>
      <c r="F6">
        <f t="shared" si="2"/>
        <v>1</v>
      </c>
    </row>
    <row r="7" spans="1:6">
      <c r="A7">
        <v>3</v>
      </c>
      <c r="B7">
        <v>5000</v>
      </c>
      <c r="C7">
        <v>4131</v>
      </c>
      <c r="D7">
        <f t="shared" si="0"/>
        <v>755161</v>
      </c>
      <c r="E7">
        <f t="shared" si="1"/>
        <v>869</v>
      </c>
      <c r="F7">
        <f t="shared" si="2"/>
        <v>1</v>
      </c>
    </row>
    <row r="8" spans="1:6">
      <c r="A8">
        <v>3</v>
      </c>
      <c r="B8">
        <v>5000</v>
      </c>
      <c r="C8">
        <v>3509</v>
      </c>
      <c r="D8">
        <f t="shared" si="0"/>
        <v>2223081</v>
      </c>
      <c r="E8">
        <f t="shared" si="1"/>
        <v>1491</v>
      </c>
      <c r="F8">
        <f t="shared" si="2"/>
        <v>0</v>
      </c>
    </row>
    <row r="9" spans="1:6">
      <c r="A9">
        <v>3</v>
      </c>
      <c r="B9">
        <v>5000</v>
      </c>
      <c r="C9">
        <v>4112</v>
      </c>
      <c r="D9">
        <f t="shared" si="0"/>
        <v>788544</v>
      </c>
      <c r="E9">
        <f t="shared" si="1"/>
        <v>888</v>
      </c>
      <c r="F9">
        <f t="shared" si="2"/>
        <v>1</v>
      </c>
    </row>
    <row r="10" spans="1:6">
      <c r="A10">
        <v>3</v>
      </c>
      <c r="B10">
        <v>5000</v>
      </c>
      <c r="C10">
        <v>4118</v>
      </c>
      <c r="D10">
        <f t="shared" si="0"/>
        <v>777924</v>
      </c>
      <c r="E10">
        <f t="shared" si="1"/>
        <v>882</v>
      </c>
      <c r="F10">
        <f t="shared" si="2"/>
        <v>1</v>
      </c>
    </row>
    <row r="11" spans="1:6">
      <c r="A11">
        <v>3</v>
      </c>
      <c r="B11">
        <v>5000</v>
      </c>
      <c r="C11">
        <v>4007</v>
      </c>
      <c r="D11">
        <f t="shared" si="0"/>
        <v>986049</v>
      </c>
      <c r="E11">
        <f t="shared" si="1"/>
        <v>993</v>
      </c>
      <c r="F11">
        <f t="shared" si="2"/>
        <v>1</v>
      </c>
    </row>
    <row r="12" spans="1:6">
      <c r="A12">
        <v>3</v>
      </c>
      <c r="B12">
        <v>5000</v>
      </c>
      <c r="C12">
        <v>4095</v>
      </c>
      <c r="D12">
        <f t="shared" si="0"/>
        <v>819025</v>
      </c>
      <c r="E12">
        <f t="shared" si="1"/>
        <v>905</v>
      </c>
      <c r="F12">
        <f t="shared" si="2"/>
        <v>1</v>
      </c>
    </row>
    <row r="13" spans="1:6">
      <c r="A13">
        <v>3</v>
      </c>
      <c r="B13">
        <v>5000</v>
      </c>
      <c r="C13">
        <v>4052</v>
      </c>
      <c r="D13">
        <f t="shared" si="0"/>
        <v>898704</v>
      </c>
      <c r="E13">
        <f t="shared" si="1"/>
        <v>948</v>
      </c>
      <c r="F13">
        <f t="shared" si="2"/>
        <v>1</v>
      </c>
    </row>
    <row r="14" spans="1:6">
      <c r="A14">
        <v>3</v>
      </c>
      <c r="B14">
        <v>5000</v>
      </c>
      <c r="C14">
        <v>4037</v>
      </c>
      <c r="D14">
        <f t="shared" si="0"/>
        <v>927369</v>
      </c>
      <c r="E14">
        <f t="shared" si="1"/>
        <v>963</v>
      </c>
      <c r="F14">
        <f t="shared" si="2"/>
        <v>1</v>
      </c>
    </row>
    <row r="15" spans="1:6">
      <c r="A15">
        <v>3</v>
      </c>
      <c r="B15">
        <v>5000</v>
      </c>
      <c r="C15">
        <v>4082</v>
      </c>
      <c r="D15">
        <f t="shared" si="0"/>
        <v>842724</v>
      </c>
      <c r="E15">
        <f t="shared" si="1"/>
        <v>918</v>
      </c>
      <c r="F15">
        <f t="shared" si="2"/>
        <v>1</v>
      </c>
    </row>
    <row r="16" spans="1:6">
      <c r="A16">
        <v>3</v>
      </c>
      <c r="B16">
        <v>5000</v>
      </c>
      <c r="C16">
        <v>4123</v>
      </c>
      <c r="D16">
        <f t="shared" si="0"/>
        <v>769129</v>
      </c>
      <c r="E16">
        <f t="shared" si="1"/>
        <v>877</v>
      </c>
      <c r="F16">
        <f t="shared" si="2"/>
        <v>1</v>
      </c>
    </row>
    <row r="17" spans="1:6">
      <c r="A17">
        <v>3</v>
      </c>
      <c r="B17">
        <v>5000</v>
      </c>
      <c r="C17">
        <v>4173</v>
      </c>
      <c r="D17">
        <f t="shared" si="0"/>
        <v>683929</v>
      </c>
      <c r="E17">
        <f t="shared" si="1"/>
        <v>827</v>
      </c>
      <c r="F17">
        <f t="shared" si="2"/>
        <v>1</v>
      </c>
    </row>
    <row r="18" spans="1:6">
      <c r="A18">
        <v>3</v>
      </c>
      <c r="B18">
        <v>5000</v>
      </c>
      <c r="C18">
        <v>4084</v>
      </c>
      <c r="D18">
        <f t="shared" si="0"/>
        <v>839056</v>
      </c>
      <c r="E18">
        <f t="shared" si="1"/>
        <v>916</v>
      </c>
      <c r="F18">
        <f t="shared" si="2"/>
        <v>1</v>
      </c>
    </row>
    <row r="19" spans="1:6">
      <c r="A19">
        <v>3</v>
      </c>
      <c r="B19">
        <v>5000</v>
      </c>
      <c r="C19">
        <v>4010</v>
      </c>
      <c r="D19">
        <f t="shared" si="0"/>
        <v>980100</v>
      </c>
      <c r="E19">
        <f t="shared" si="1"/>
        <v>990</v>
      </c>
      <c r="F19">
        <f t="shared" si="2"/>
        <v>1</v>
      </c>
    </row>
    <row r="20" spans="1:6">
      <c r="A20">
        <v>3</v>
      </c>
      <c r="B20">
        <v>5000</v>
      </c>
      <c r="C20">
        <v>3516</v>
      </c>
      <c r="D20">
        <f t="shared" si="0"/>
        <v>2202256</v>
      </c>
      <c r="E20">
        <f t="shared" si="1"/>
        <v>1484</v>
      </c>
      <c r="F20">
        <f t="shared" si="2"/>
        <v>0</v>
      </c>
    </row>
    <row r="21" spans="1:6">
      <c r="A21">
        <v>3</v>
      </c>
      <c r="B21">
        <v>5000</v>
      </c>
      <c r="C21">
        <v>4043</v>
      </c>
      <c r="D21">
        <f t="shared" si="0"/>
        <v>915849</v>
      </c>
      <c r="E21">
        <f t="shared" si="1"/>
        <v>957</v>
      </c>
      <c r="F21">
        <f t="shared" si="2"/>
        <v>1</v>
      </c>
    </row>
    <row r="22" spans="1:6">
      <c r="A22">
        <v>3</v>
      </c>
      <c r="B22">
        <v>5000</v>
      </c>
      <c r="C22">
        <v>4029</v>
      </c>
      <c r="D22">
        <f t="shared" si="0"/>
        <v>942841</v>
      </c>
      <c r="E22">
        <f t="shared" si="1"/>
        <v>971</v>
      </c>
      <c r="F22">
        <f t="shared" si="2"/>
        <v>1</v>
      </c>
    </row>
    <row r="23" spans="1:6">
      <c r="A23">
        <v>3</v>
      </c>
      <c r="B23">
        <v>5000</v>
      </c>
      <c r="C23">
        <v>4175</v>
      </c>
      <c r="D23">
        <f t="shared" si="0"/>
        <v>680625</v>
      </c>
      <c r="E23">
        <f t="shared" si="1"/>
        <v>825</v>
      </c>
      <c r="F23">
        <f t="shared" si="2"/>
        <v>1</v>
      </c>
    </row>
    <row r="24" spans="1:6">
      <c r="A24">
        <v>3</v>
      </c>
      <c r="B24">
        <v>5000</v>
      </c>
      <c r="C24">
        <v>4209</v>
      </c>
      <c r="D24">
        <f t="shared" si="0"/>
        <v>625681</v>
      </c>
      <c r="E24">
        <f t="shared" si="1"/>
        <v>791</v>
      </c>
      <c r="F24">
        <f t="shared" si="2"/>
        <v>1</v>
      </c>
    </row>
    <row r="25" spans="1:6">
      <c r="A25">
        <v>3</v>
      </c>
      <c r="B25">
        <v>5000</v>
      </c>
      <c r="C25">
        <v>4114</v>
      </c>
      <c r="D25">
        <f t="shared" si="0"/>
        <v>784996</v>
      </c>
      <c r="E25">
        <f t="shared" si="1"/>
        <v>886</v>
      </c>
      <c r="F25">
        <f t="shared" si="2"/>
        <v>1</v>
      </c>
    </row>
    <row r="26" spans="1:6">
      <c r="A26">
        <v>3</v>
      </c>
      <c r="B26">
        <v>5000</v>
      </c>
      <c r="C26">
        <v>4125</v>
      </c>
      <c r="D26">
        <f t="shared" si="0"/>
        <v>765625</v>
      </c>
      <c r="E26">
        <f t="shared" si="1"/>
        <v>875</v>
      </c>
      <c r="F26">
        <f t="shared" si="2"/>
        <v>1</v>
      </c>
    </row>
    <row r="27" spans="1:6">
      <c r="A27">
        <v>3</v>
      </c>
      <c r="B27">
        <v>5000</v>
      </c>
      <c r="C27">
        <v>4134</v>
      </c>
      <c r="D27">
        <f t="shared" si="0"/>
        <v>749956</v>
      </c>
      <c r="E27">
        <f t="shared" si="1"/>
        <v>866</v>
      </c>
      <c r="F27">
        <f t="shared" si="2"/>
        <v>1</v>
      </c>
    </row>
    <row r="28" spans="1:6">
      <c r="A28">
        <v>3</v>
      </c>
      <c r="B28">
        <v>5000</v>
      </c>
      <c r="C28">
        <v>3971</v>
      </c>
      <c r="D28">
        <f t="shared" si="0"/>
        <v>1058841</v>
      </c>
      <c r="E28">
        <f t="shared" si="1"/>
        <v>1029</v>
      </c>
      <c r="F28">
        <f t="shared" si="2"/>
        <v>0</v>
      </c>
    </row>
    <row r="29" spans="1:6">
      <c r="A29">
        <v>3</v>
      </c>
      <c r="B29">
        <v>5000</v>
      </c>
      <c r="C29">
        <v>4124</v>
      </c>
      <c r="D29">
        <f t="shared" si="0"/>
        <v>767376</v>
      </c>
      <c r="E29">
        <f t="shared" si="1"/>
        <v>876</v>
      </c>
      <c r="F29">
        <f t="shared" si="2"/>
        <v>1</v>
      </c>
    </row>
    <row r="30" spans="1:6">
      <c r="A30">
        <v>3</v>
      </c>
      <c r="B30">
        <v>5000</v>
      </c>
      <c r="C30">
        <v>3957</v>
      </c>
      <c r="D30">
        <f t="shared" si="0"/>
        <v>1087849</v>
      </c>
      <c r="E30">
        <f t="shared" si="1"/>
        <v>1043</v>
      </c>
      <c r="F30">
        <f t="shared" si="2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selection activeCell="E1" sqref="E1:F30"/>
    </sheetView>
  </sheetViews>
  <sheetFormatPr defaultRowHeight="14.5"/>
  <sheetData>
    <row r="1" spans="1:6">
      <c r="A1">
        <v>3</v>
      </c>
      <c r="B1">
        <v>5000</v>
      </c>
      <c r="C1">
        <v>4149</v>
      </c>
      <c r="D1">
        <f>POWER(C1-B1,2)</f>
        <v>724201</v>
      </c>
      <c r="E1">
        <f>ABS(B1-C1)</f>
        <v>851</v>
      </c>
      <c r="F1">
        <f>IF(E1/B1&lt;=0.2,1,0)</f>
        <v>1</v>
      </c>
    </row>
    <row r="2" spans="1:6">
      <c r="A2">
        <v>3</v>
      </c>
      <c r="B2">
        <v>5000</v>
      </c>
      <c r="C2">
        <v>4063</v>
      </c>
      <c r="D2">
        <f t="shared" ref="D2:D30" si="0">POWER(C2-B2,2)</f>
        <v>877969</v>
      </c>
      <c r="E2">
        <f t="shared" ref="E2:E30" si="1">ABS(B2-C2)</f>
        <v>937</v>
      </c>
      <c r="F2">
        <f t="shared" ref="F2:F30" si="2">IF(E2/B2&lt;=0.2,1,0)</f>
        <v>1</v>
      </c>
    </row>
    <row r="3" spans="1:6">
      <c r="A3">
        <v>3</v>
      </c>
      <c r="B3">
        <v>5000</v>
      </c>
      <c r="C3">
        <v>4352</v>
      </c>
      <c r="D3">
        <f t="shared" si="0"/>
        <v>419904</v>
      </c>
      <c r="E3">
        <f t="shared" si="1"/>
        <v>648</v>
      </c>
      <c r="F3">
        <f t="shared" si="2"/>
        <v>1</v>
      </c>
    </row>
    <row r="4" spans="1:6">
      <c r="A4">
        <v>3</v>
      </c>
      <c r="B4">
        <v>5000</v>
      </c>
      <c r="C4">
        <v>5273</v>
      </c>
      <c r="D4">
        <f t="shared" si="0"/>
        <v>74529</v>
      </c>
      <c r="E4">
        <f t="shared" si="1"/>
        <v>273</v>
      </c>
      <c r="F4">
        <f t="shared" si="2"/>
        <v>1</v>
      </c>
    </row>
    <row r="5" spans="1:6">
      <c r="A5">
        <v>3</v>
      </c>
      <c r="B5">
        <v>5000</v>
      </c>
      <c r="C5">
        <v>5360</v>
      </c>
      <c r="D5">
        <f t="shared" si="0"/>
        <v>129600</v>
      </c>
      <c r="E5">
        <f t="shared" si="1"/>
        <v>360</v>
      </c>
      <c r="F5">
        <f t="shared" si="2"/>
        <v>1</v>
      </c>
    </row>
    <row r="6" spans="1:6">
      <c r="A6">
        <v>3</v>
      </c>
      <c r="B6">
        <v>5000</v>
      </c>
      <c r="C6">
        <v>5197</v>
      </c>
      <c r="D6">
        <f t="shared" si="0"/>
        <v>38809</v>
      </c>
      <c r="E6">
        <f t="shared" si="1"/>
        <v>197</v>
      </c>
      <c r="F6">
        <f t="shared" si="2"/>
        <v>1</v>
      </c>
    </row>
    <row r="7" spans="1:6">
      <c r="A7">
        <v>3</v>
      </c>
      <c r="B7">
        <v>5000</v>
      </c>
      <c r="C7">
        <v>4768</v>
      </c>
      <c r="D7">
        <f t="shared" si="0"/>
        <v>53824</v>
      </c>
      <c r="E7">
        <f t="shared" si="1"/>
        <v>232</v>
      </c>
      <c r="F7">
        <f t="shared" si="2"/>
        <v>1</v>
      </c>
    </row>
    <row r="8" spans="1:6">
      <c r="A8">
        <v>3</v>
      </c>
      <c r="B8">
        <v>5000</v>
      </c>
      <c r="C8">
        <v>4955</v>
      </c>
      <c r="D8">
        <f t="shared" si="0"/>
        <v>2025</v>
      </c>
      <c r="E8">
        <f t="shared" si="1"/>
        <v>45</v>
      </c>
      <c r="F8">
        <f t="shared" si="2"/>
        <v>1</v>
      </c>
    </row>
    <row r="9" spans="1:6">
      <c r="A9">
        <v>3</v>
      </c>
      <c r="B9">
        <v>5000</v>
      </c>
      <c r="C9">
        <v>5464</v>
      </c>
      <c r="D9">
        <f t="shared" si="0"/>
        <v>215296</v>
      </c>
      <c r="E9">
        <f t="shared" si="1"/>
        <v>464</v>
      </c>
      <c r="F9">
        <f t="shared" si="2"/>
        <v>1</v>
      </c>
    </row>
    <row r="10" spans="1:6">
      <c r="A10">
        <v>3</v>
      </c>
      <c r="B10">
        <v>5000</v>
      </c>
      <c r="C10">
        <v>5195</v>
      </c>
      <c r="D10">
        <f t="shared" si="0"/>
        <v>38025</v>
      </c>
      <c r="E10">
        <f t="shared" si="1"/>
        <v>195</v>
      </c>
      <c r="F10">
        <f t="shared" si="2"/>
        <v>1</v>
      </c>
    </row>
    <row r="11" spans="1:6">
      <c r="A11">
        <v>3</v>
      </c>
      <c r="B11">
        <v>5000</v>
      </c>
      <c r="C11">
        <v>3988</v>
      </c>
      <c r="D11">
        <f t="shared" si="0"/>
        <v>1024144</v>
      </c>
      <c r="E11">
        <f t="shared" si="1"/>
        <v>1012</v>
      </c>
      <c r="F11">
        <f t="shared" si="2"/>
        <v>0</v>
      </c>
    </row>
    <row r="12" spans="1:6">
      <c r="A12">
        <v>3</v>
      </c>
      <c r="B12">
        <v>5000</v>
      </c>
      <c r="C12">
        <v>4768</v>
      </c>
      <c r="D12">
        <f t="shared" si="0"/>
        <v>53824</v>
      </c>
      <c r="E12">
        <f t="shared" si="1"/>
        <v>232</v>
      </c>
      <c r="F12">
        <f t="shared" si="2"/>
        <v>1</v>
      </c>
    </row>
    <row r="13" spans="1:6">
      <c r="A13">
        <v>3</v>
      </c>
      <c r="B13">
        <v>5000</v>
      </c>
      <c r="C13">
        <v>5218</v>
      </c>
      <c r="D13">
        <f t="shared" si="0"/>
        <v>47524</v>
      </c>
      <c r="E13">
        <f t="shared" si="1"/>
        <v>218</v>
      </c>
      <c r="F13">
        <f t="shared" si="2"/>
        <v>1</v>
      </c>
    </row>
    <row r="14" spans="1:6">
      <c r="A14">
        <v>3</v>
      </c>
      <c r="B14">
        <v>5000</v>
      </c>
      <c r="C14">
        <v>3946</v>
      </c>
      <c r="D14">
        <f t="shared" si="0"/>
        <v>1110916</v>
      </c>
      <c r="E14">
        <f t="shared" si="1"/>
        <v>1054</v>
      </c>
      <c r="F14">
        <f t="shared" si="2"/>
        <v>0</v>
      </c>
    </row>
    <row r="15" spans="1:6">
      <c r="A15">
        <v>3</v>
      </c>
      <c r="B15">
        <v>5000</v>
      </c>
      <c r="C15">
        <v>3925</v>
      </c>
      <c r="D15">
        <f t="shared" si="0"/>
        <v>1155625</v>
      </c>
      <c r="E15">
        <f t="shared" si="1"/>
        <v>1075</v>
      </c>
      <c r="F15">
        <f t="shared" si="2"/>
        <v>0</v>
      </c>
    </row>
    <row r="16" spans="1:6">
      <c r="A16">
        <v>3</v>
      </c>
      <c r="B16">
        <v>5000</v>
      </c>
      <c r="C16">
        <v>4024</v>
      </c>
      <c r="D16">
        <f t="shared" si="0"/>
        <v>952576</v>
      </c>
      <c r="E16">
        <f t="shared" si="1"/>
        <v>976</v>
      </c>
      <c r="F16">
        <f t="shared" si="2"/>
        <v>1</v>
      </c>
    </row>
    <row r="17" spans="1:6">
      <c r="A17">
        <v>3</v>
      </c>
      <c r="B17">
        <v>5000</v>
      </c>
      <c r="C17">
        <v>3923</v>
      </c>
      <c r="D17">
        <f t="shared" si="0"/>
        <v>1159929</v>
      </c>
      <c r="E17">
        <f t="shared" si="1"/>
        <v>1077</v>
      </c>
      <c r="F17">
        <f t="shared" si="2"/>
        <v>0</v>
      </c>
    </row>
    <row r="18" spans="1:6">
      <c r="A18">
        <v>3</v>
      </c>
      <c r="B18">
        <v>5000</v>
      </c>
      <c r="C18">
        <v>3989</v>
      </c>
      <c r="D18">
        <f t="shared" si="0"/>
        <v>1022121</v>
      </c>
      <c r="E18">
        <f t="shared" si="1"/>
        <v>1011</v>
      </c>
      <c r="F18">
        <f t="shared" si="2"/>
        <v>0</v>
      </c>
    </row>
    <row r="19" spans="1:6">
      <c r="A19">
        <v>3</v>
      </c>
      <c r="B19">
        <v>5000</v>
      </c>
      <c r="C19">
        <v>4082</v>
      </c>
      <c r="D19">
        <f t="shared" si="0"/>
        <v>842724</v>
      </c>
      <c r="E19">
        <f t="shared" si="1"/>
        <v>918</v>
      </c>
      <c r="F19">
        <f t="shared" si="2"/>
        <v>1</v>
      </c>
    </row>
    <row r="20" spans="1:6">
      <c r="A20">
        <v>3</v>
      </c>
      <c r="B20">
        <v>5000</v>
      </c>
      <c r="C20">
        <v>4148</v>
      </c>
      <c r="D20">
        <f t="shared" si="0"/>
        <v>725904</v>
      </c>
      <c r="E20">
        <f t="shared" si="1"/>
        <v>852</v>
      </c>
      <c r="F20">
        <f t="shared" si="2"/>
        <v>1</v>
      </c>
    </row>
    <row r="21" spans="1:6">
      <c r="A21">
        <v>3</v>
      </c>
      <c r="B21">
        <v>5000</v>
      </c>
      <c r="C21">
        <v>4048</v>
      </c>
      <c r="D21">
        <f t="shared" si="0"/>
        <v>906304</v>
      </c>
      <c r="E21">
        <f t="shared" si="1"/>
        <v>952</v>
      </c>
      <c r="F21">
        <f t="shared" si="2"/>
        <v>1</v>
      </c>
    </row>
    <row r="22" spans="1:6">
      <c r="A22">
        <v>3</v>
      </c>
      <c r="B22">
        <v>5000</v>
      </c>
      <c r="C22">
        <v>4097</v>
      </c>
      <c r="D22">
        <f t="shared" si="0"/>
        <v>815409</v>
      </c>
      <c r="E22">
        <f t="shared" si="1"/>
        <v>903</v>
      </c>
      <c r="F22">
        <f t="shared" si="2"/>
        <v>1</v>
      </c>
    </row>
    <row r="23" spans="1:6">
      <c r="A23">
        <v>3</v>
      </c>
      <c r="B23">
        <v>5000</v>
      </c>
      <c r="C23">
        <v>3064</v>
      </c>
      <c r="D23">
        <f t="shared" si="0"/>
        <v>3748096</v>
      </c>
      <c r="E23">
        <f t="shared" si="1"/>
        <v>1936</v>
      </c>
      <c r="F23">
        <f t="shared" si="2"/>
        <v>0</v>
      </c>
    </row>
    <row r="24" spans="1:6">
      <c r="A24">
        <v>3</v>
      </c>
      <c r="B24">
        <v>5000</v>
      </c>
      <c r="C24">
        <v>3610</v>
      </c>
      <c r="D24">
        <f t="shared" si="0"/>
        <v>1932100</v>
      </c>
      <c r="E24">
        <f t="shared" si="1"/>
        <v>1390</v>
      </c>
      <c r="F24">
        <f t="shared" si="2"/>
        <v>0</v>
      </c>
    </row>
    <row r="25" spans="1:6">
      <c r="A25">
        <v>3</v>
      </c>
      <c r="B25">
        <v>5000</v>
      </c>
      <c r="C25">
        <v>3993</v>
      </c>
      <c r="D25">
        <f t="shared" si="0"/>
        <v>1014049</v>
      </c>
      <c r="E25">
        <f t="shared" si="1"/>
        <v>1007</v>
      </c>
      <c r="F25">
        <f t="shared" si="2"/>
        <v>0</v>
      </c>
    </row>
    <row r="26" spans="1:6">
      <c r="A26">
        <v>3</v>
      </c>
      <c r="B26">
        <v>5000</v>
      </c>
      <c r="C26">
        <v>4194</v>
      </c>
      <c r="D26">
        <f t="shared" si="0"/>
        <v>649636</v>
      </c>
      <c r="E26">
        <f t="shared" si="1"/>
        <v>806</v>
      </c>
      <c r="F26">
        <f t="shared" si="2"/>
        <v>1</v>
      </c>
    </row>
    <row r="27" spans="1:6">
      <c r="A27">
        <v>3</v>
      </c>
      <c r="B27">
        <v>5000</v>
      </c>
      <c r="C27">
        <v>3779</v>
      </c>
      <c r="D27">
        <f t="shared" si="0"/>
        <v>1490841</v>
      </c>
      <c r="E27">
        <f t="shared" si="1"/>
        <v>1221</v>
      </c>
      <c r="F27">
        <f t="shared" si="2"/>
        <v>0</v>
      </c>
    </row>
    <row r="28" spans="1:6">
      <c r="A28">
        <v>3</v>
      </c>
      <c r="B28">
        <v>5000</v>
      </c>
      <c r="C28">
        <v>3989</v>
      </c>
      <c r="D28">
        <f t="shared" si="0"/>
        <v>1022121</v>
      </c>
      <c r="E28">
        <f t="shared" si="1"/>
        <v>1011</v>
      </c>
      <c r="F28">
        <f t="shared" si="2"/>
        <v>0</v>
      </c>
    </row>
    <row r="29" spans="1:6">
      <c r="A29">
        <v>3</v>
      </c>
      <c r="B29">
        <v>5000</v>
      </c>
      <c r="C29">
        <v>4310</v>
      </c>
      <c r="D29">
        <f t="shared" si="0"/>
        <v>476100</v>
      </c>
      <c r="E29">
        <f t="shared" si="1"/>
        <v>690</v>
      </c>
      <c r="F29">
        <f t="shared" si="2"/>
        <v>1</v>
      </c>
    </row>
    <row r="30" spans="1:6">
      <c r="A30">
        <v>3</v>
      </c>
      <c r="B30">
        <v>5000</v>
      </c>
      <c r="C30">
        <v>5405</v>
      </c>
      <c r="D30">
        <f t="shared" si="0"/>
        <v>164025</v>
      </c>
      <c r="E30">
        <f t="shared" si="1"/>
        <v>405</v>
      </c>
      <c r="F30">
        <f t="shared" si="2"/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topLeftCell="A8" workbookViewId="0">
      <selection activeCell="B1" sqref="B1:C30"/>
    </sheetView>
  </sheetViews>
  <sheetFormatPr defaultRowHeight="14.5"/>
  <sheetData>
    <row r="1" spans="1:6">
      <c r="A1">
        <v>1</v>
      </c>
      <c r="B1">
        <v>5000</v>
      </c>
      <c r="C1">
        <v>1096</v>
      </c>
      <c r="D1">
        <f>POWER(C1-B1,2)</f>
        <v>15241216</v>
      </c>
      <c r="E1">
        <f>ABS(B1-C1)</f>
        <v>3904</v>
      </c>
      <c r="F1">
        <f>IF(E1/B1&lt;=0.2,1,0)</f>
        <v>0</v>
      </c>
    </row>
    <row r="2" spans="1:6">
      <c r="A2">
        <v>12</v>
      </c>
      <c r="B2">
        <v>5000</v>
      </c>
      <c r="C2">
        <v>8943</v>
      </c>
      <c r="D2">
        <f t="shared" ref="D2:D30" si="0">POWER(C2-B2,2)</f>
        <v>15547249</v>
      </c>
      <c r="E2">
        <f t="shared" ref="E2:E30" si="1">ABS(B2-C2)</f>
        <v>3943</v>
      </c>
      <c r="F2">
        <f t="shared" ref="F2:F30" si="2">IF(E2/B2&lt;=0.2,1,0)</f>
        <v>0</v>
      </c>
    </row>
    <row r="3" spans="1:6">
      <c r="A3">
        <v>1</v>
      </c>
      <c r="B3">
        <v>5000</v>
      </c>
      <c r="C3">
        <v>642</v>
      </c>
      <c r="D3">
        <f t="shared" si="0"/>
        <v>18992164</v>
      </c>
      <c r="E3">
        <f t="shared" si="1"/>
        <v>4358</v>
      </c>
      <c r="F3">
        <f t="shared" si="2"/>
        <v>0</v>
      </c>
    </row>
    <row r="4" spans="1:6">
      <c r="A4">
        <v>14</v>
      </c>
      <c r="B4">
        <v>5000</v>
      </c>
      <c r="C4">
        <v>10152</v>
      </c>
      <c r="D4">
        <f t="shared" si="0"/>
        <v>26543104</v>
      </c>
      <c r="E4">
        <f t="shared" si="1"/>
        <v>5152</v>
      </c>
      <c r="F4">
        <f t="shared" si="2"/>
        <v>0</v>
      </c>
    </row>
    <row r="5" spans="1:6">
      <c r="A5">
        <v>1</v>
      </c>
      <c r="B5">
        <v>5000</v>
      </c>
      <c r="C5">
        <v>698</v>
      </c>
      <c r="D5">
        <f t="shared" si="0"/>
        <v>18507204</v>
      </c>
      <c r="E5">
        <f t="shared" si="1"/>
        <v>4302</v>
      </c>
      <c r="F5">
        <f t="shared" si="2"/>
        <v>0</v>
      </c>
    </row>
    <row r="6" spans="1:6">
      <c r="A6">
        <v>13</v>
      </c>
      <c r="B6">
        <v>5000</v>
      </c>
      <c r="C6">
        <v>9133</v>
      </c>
      <c r="D6">
        <f t="shared" si="0"/>
        <v>17081689</v>
      </c>
      <c r="E6">
        <f t="shared" si="1"/>
        <v>4133</v>
      </c>
      <c r="F6">
        <f t="shared" si="2"/>
        <v>0</v>
      </c>
    </row>
    <row r="7" spans="1:6">
      <c r="A7">
        <v>1</v>
      </c>
      <c r="B7">
        <v>5000</v>
      </c>
      <c r="C7">
        <v>571</v>
      </c>
      <c r="D7">
        <f t="shared" si="0"/>
        <v>19616041</v>
      </c>
      <c r="E7">
        <f t="shared" si="1"/>
        <v>4429</v>
      </c>
      <c r="F7">
        <f t="shared" si="2"/>
        <v>0</v>
      </c>
    </row>
    <row r="8" spans="1:6">
      <c r="A8">
        <v>14</v>
      </c>
      <c r="B8">
        <v>5000</v>
      </c>
      <c r="C8">
        <v>8488</v>
      </c>
      <c r="D8">
        <f t="shared" si="0"/>
        <v>12166144</v>
      </c>
      <c r="E8">
        <f t="shared" si="1"/>
        <v>3488</v>
      </c>
      <c r="F8">
        <f t="shared" si="2"/>
        <v>0</v>
      </c>
    </row>
    <row r="9" spans="1:6">
      <c r="A9">
        <v>1</v>
      </c>
      <c r="B9">
        <v>5000</v>
      </c>
      <c r="C9">
        <v>702</v>
      </c>
      <c r="D9">
        <f t="shared" si="0"/>
        <v>18472804</v>
      </c>
      <c r="E9">
        <f t="shared" si="1"/>
        <v>4298</v>
      </c>
      <c r="F9">
        <f t="shared" si="2"/>
        <v>0</v>
      </c>
    </row>
    <row r="10" spans="1:6">
      <c r="A10">
        <v>14</v>
      </c>
      <c r="B10">
        <v>5000</v>
      </c>
      <c r="C10">
        <v>13487</v>
      </c>
      <c r="D10">
        <f t="shared" si="0"/>
        <v>72029169</v>
      </c>
      <c r="E10">
        <f t="shared" si="1"/>
        <v>8487</v>
      </c>
      <c r="F10">
        <f t="shared" si="2"/>
        <v>0</v>
      </c>
    </row>
    <row r="11" spans="1:6">
      <c r="A11">
        <v>1</v>
      </c>
      <c r="B11">
        <v>5000</v>
      </c>
      <c r="C11">
        <v>2258</v>
      </c>
      <c r="D11">
        <f t="shared" si="0"/>
        <v>7518564</v>
      </c>
      <c r="E11">
        <f t="shared" si="1"/>
        <v>2742</v>
      </c>
      <c r="F11">
        <f t="shared" si="2"/>
        <v>0</v>
      </c>
    </row>
    <row r="12" spans="1:6">
      <c r="A12">
        <v>7</v>
      </c>
      <c r="B12">
        <v>5000</v>
      </c>
      <c r="C12">
        <v>10724</v>
      </c>
      <c r="D12">
        <f t="shared" si="0"/>
        <v>32764176</v>
      </c>
      <c r="E12">
        <f t="shared" si="1"/>
        <v>5724</v>
      </c>
      <c r="F12">
        <f t="shared" si="2"/>
        <v>0</v>
      </c>
    </row>
    <row r="13" spans="1:6">
      <c r="A13">
        <v>1</v>
      </c>
      <c r="B13">
        <v>5000</v>
      </c>
      <c r="C13">
        <v>2220</v>
      </c>
      <c r="D13">
        <f t="shared" si="0"/>
        <v>7728400</v>
      </c>
      <c r="E13">
        <f t="shared" si="1"/>
        <v>2780</v>
      </c>
      <c r="F13">
        <f t="shared" si="2"/>
        <v>0</v>
      </c>
    </row>
    <row r="14" spans="1:6">
      <c r="A14">
        <v>6</v>
      </c>
      <c r="B14">
        <v>5000</v>
      </c>
      <c r="C14">
        <v>6681</v>
      </c>
      <c r="D14">
        <f t="shared" si="0"/>
        <v>2825761</v>
      </c>
      <c r="E14">
        <f t="shared" si="1"/>
        <v>1681</v>
      </c>
      <c r="F14">
        <f t="shared" si="2"/>
        <v>0</v>
      </c>
    </row>
    <row r="15" spans="1:6">
      <c r="A15">
        <v>1</v>
      </c>
      <c r="B15">
        <v>5000</v>
      </c>
      <c r="C15">
        <v>622</v>
      </c>
      <c r="D15">
        <f t="shared" si="0"/>
        <v>19166884</v>
      </c>
      <c r="E15">
        <f t="shared" si="1"/>
        <v>4378</v>
      </c>
      <c r="F15">
        <f t="shared" si="2"/>
        <v>0</v>
      </c>
    </row>
    <row r="16" spans="1:6">
      <c r="A16">
        <v>11</v>
      </c>
      <c r="B16">
        <v>5000</v>
      </c>
      <c r="C16">
        <v>7549</v>
      </c>
      <c r="D16">
        <f t="shared" si="0"/>
        <v>6497401</v>
      </c>
      <c r="E16">
        <f t="shared" si="1"/>
        <v>2549</v>
      </c>
      <c r="F16">
        <f t="shared" si="2"/>
        <v>0</v>
      </c>
    </row>
    <row r="17" spans="1:6">
      <c r="A17">
        <v>1</v>
      </c>
      <c r="B17">
        <v>5000</v>
      </c>
      <c r="C17">
        <v>604</v>
      </c>
      <c r="D17">
        <f t="shared" si="0"/>
        <v>19324816</v>
      </c>
      <c r="E17">
        <f t="shared" si="1"/>
        <v>4396</v>
      </c>
      <c r="F17">
        <f t="shared" si="2"/>
        <v>0</v>
      </c>
    </row>
    <row r="18" spans="1:6">
      <c r="A18">
        <v>12</v>
      </c>
      <c r="B18">
        <v>5000</v>
      </c>
      <c r="C18">
        <v>8338</v>
      </c>
      <c r="D18">
        <f t="shared" si="0"/>
        <v>11142244</v>
      </c>
      <c r="E18">
        <f t="shared" si="1"/>
        <v>3338</v>
      </c>
      <c r="F18">
        <f t="shared" si="2"/>
        <v>0</v>
      </c>
    </row>
    <row r="19" spans="1:6">
      <c r="A19">
        <v>1</v>
      </c>
      <c r="B19">
        <v>5000</v>
      </c>
      <c r="C19">
        <v>740</v>
      </c>
      <c r="D19">
        <f t="shared" si="0"/>
        <v>18147600</v>
      </c>
      <c r="E19">
        <f t="shared" si="1"/>
        <v>4260</v>
      </c>
      <c r="F19">
        <f t="shared" si="2"/>
        <v>0</v>
      </c>
    </row>
    <row r="20" spans="1:6">
      <c r="A20">
        <v>12</v>
      </c>
      <c r="B20">
        <v>5000</v>
      </c>
      <c r="C20">
        <v>6598</v>
      </c>
      <c r="D20">
        <f t="shared" si="0"/>
        <v>2553604</v>
      </c>
      <c r="E20">
        <f t="shared" si="1"/>
        <v>1598</v>
      </c>
      <c r="F20">
        <f t="shared" si="2"/>
        <v>0</v>
      </c>
    </row>
    <row r="21" spans="1:6">
      <c r="A21">
        <v>1</v>
      </c>
      <c r="B21">
        <v>5000</v>
      </c>
      <c r="C21">
        <v>607</v>
      </c>
      <c r="D21">
        <f t="shared" si="0"/>
        <v>19298449</v>
      </c>
      <c r="E21">
        <f t="shared" si="1"/>
        <v>4393</v>
      </c>
      <c r="F21">
        <f t="shared" si="2"/>
        <v>0</v>
      </c>
    </row>
    <row r="22" spans="1:6">
      <c r="A22">
        <v>14</v>
      </c>
      <c r="B22">
        <v>5000</v>
      </c>
      <c r="C22">
        <v>8920</v>
      </c>
      <c r="D22">
        <f t="shared" si="0"/>
        <v>15366400</v>
      </c>
      <c r="E22">
        <f t="shared" si="1"/>
        <v>3920</v>
      </c>
      <c r="F22">
        <f t="shared" si="2"/>
        <v>0</v>
      </c>
    </row>
    <row r="23" spans="1:6">
      <c r="A23">
        <v>1</v>
      </c>
      <c r="B23">
        <v>5000</v>
      </c>
      <c r="C23">
        <v>1506</v>
      </c>
      <c r="D23">
        <f t="shared" si="0"/>
        <v>12208036</v>
      </c>
      <c r="E23">
        <f t="shared" si="1"/>
        <v>3494</v>
      </c>
      <c r="F23">
        <f t="shared" si="2"/>
        <v>0</v>
      </c>
    </row>
    <row r="24" spans="1:6">
      <c r="A24">
        <v>11</v>
      </c>
      <c r="B24">
        <v>5000</v>
      </c>
      <c r="C24">
        <v>12621</v>
      </c>
      <c r="D24">
        <f t="shared" si="0"/>
        <v>58079641</v>
      </c>
      <c r="E24">
        <f t="shared" si="1"/>
        <v>7621</v>
      </c>
      <c r="F24">
        <f t="shared" si="2"/>
        <v>0</v>
      </c>
    </row>
    <row r="25" spans="1:6">
      <c r="A25">
        <v>1</v>
      </c>
      <c r="B25">
        <v>5000</v>
      </c>
      <c r="C25">
        <v>2076</v>
      </c>
      <c r="D25">
        <f t="shared" si="0"/>
        <v>8549776</v>
      </c>
      <c r="E25">
        <f t="shared" si="1"/>
        <v>2924</v>
      </c>
      <c r="F25">
        <f t="shared" si="2"/>
        <v>0</v>
      </c>
    </row>
    <row r="26" spans="1:6">
      <c r="A26">
        <v>7</v>
      </c>
      <c r="B26">
        <v>5000</v>
      </c>
      <c r="C26">
        <v>9017</v>
      </c>
      <c r="D26">
        <f t="shared" si="0"/>
        <v>16136289</v>
      </c>
      <c r="E26">
        <f t="shared" si="1"/>
        <v>4017</v>
      </c>
      <c r="F26">
        <f t="shared" si="2"/>
        <v>0</v>
      </c>
    </row>
    <row r="27" spans="1:6">
      <c r="A27">
        <v>1</v>
      </c>
      <c r="B27">
        <v>5000</v>
      </c>
      <c r="C27">
        <v>1811</v>
      </c>
      <c r="D27">
        <f t="shared" si="0"/>
        <v>10169721</v>
      </c>
      <c r="E27">
        <f t="shared" si="1"/>
        <v>3189</v>
      </c>
      <c r="F27">
        <f t="shared" si="2"/>
        <v>0</v>
      </c>
    </row>
    <row r="28" spans="1:6">
      <c r="A28">
        <v>8</v>
      </c>
      <c r="B28">
        <v>5000</v>
      </c>
      <c r="C28">
        <v>8852</v>
      </c>
      <c r="D28">
        <f t="shared" si="0"/>
        <v>14837904</v>
      </c>
      <c r="E28">
        <f t="shared" si="1"/>
        <v>3852</v>
      </c>
      <c r="F28">
        <f t="shared" si="2"/>
        <v>0</v>
      </c>
    </row>
    <row r="29" spans="1:6">
      <c r="A29">
        <v>1</v>
      </c>
      <c r="B29">
        <v>5000</v>
      </c>
      <c r="C29">
        <v>1071</v>
      </c>
      <c r="D29">
        <f t="shared" si="0"/>
        <v>15437041</v>
      </c>
      <c r="E29">
        <f t="shared" si="1"/>
        <v>3929</v>
      </c>
      <c r="F29">
        <f t="shared" si="2"/>
        <v>0</v>
      </c>
    </row>
    <row r="30" spans="1:6">
      <c r="A30">
        <v>10</v>
      </c>
      <c r="B30">
        <v>5000</v>
      </c>
      <c r="C30">
        <v>6795</v>
      </c>
      <c r="D30">
        <f t="shared" si="0"/>
        <v>3222025</v>
      </c>
      <c r="E30">
        <f t="shared" si="1"/>
        <v>1795</v>
      </c>
      <c r="F30">
        <f t="shared" si="2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A2" sqref="A2"/>
    </sheetView>
  </sheetViews>
  <sheetFormatPr defaultRowHeight="14.5"/>
  <cols>
    <col min="2" max="2" width="10.26953125" bestFit="1" customWidth="1"/>
    <col min="3" max="3" width="8.81640625" bestFit="1" customWidth="1"/>
    <col min="4" max="4" width="10.26953125" bestFit="1" customWidth="1"/>
  </cols>
  <sheetData>
    <row r="1" spans="1:4">
      <c r="A1" s="4"/>
      <c r="B1" s="4" t="s">
        <v>0</v>
      </c>
      <c r="C1" s="4" t="s">
        <v>1</v>
      </c>
      <c r="D1" s="4" t="s">
        <v>7</v>
      </c>
    </row>
    <row r="2" spans="1:4">
      <c r="A2" s="3" t="s">
        <v>2</v>
      </c>
      <c r="B2" s="1">
        <f>SQRT(SUM(lr!D1:D30)/30)</f>
        <v>897.31906254130138</v>
      </c>
      <c r="C2" s="1">
        <f>B2/MEDIAN(lr!C1:C30)</f>
        <v>0.21774303871422018</v>
      </c>
      <c r="D2" s="2">
        <f>SUM(lr!F1:F30)/30</f>
        <v>0.8666666666666667</v>
      </c>
    </row>
    <row r="3" spans="1:4">
      <c r="A3" s="3" t="s">
        <v>3</v>
      </c>
      <c r="B3" s="1">
        <f>SQRT(SUM(ridge!D1:D30)/30)</f>
        <v>1113.5461373468097</v>
      </c>
      <c r="C3" s="1">
        <f>B2/MEDIAN(ridge!C1:C30)</f>
        <v>0.22463864377050979</v>
      </c>
      <c r="D3" s="2">
        <f>SUM(ridge!F1:F30)/30</f>
        <v>0.5</v>
      </c>
    </row>
    <row r="4" spans="1:4">
      <c r="A4" s="3" t="s">
        <v>4</v>
      </c>
      <c r="B4" s="1">
        <f>SQRT(SUM(ridgecv!D1:D30)/30)</f>
        <v>957.28457977064829</v>
      </c>
      <c r="C4" s="1">
        <f>B2/MEDIAN(ridgecv!C1:C30)</f>
        <v>0.21901856542379824</v>
      </c>
      <c r="D4" s="2">
        <f>SUM(ridgecv!F1:F30)/30</f>
        <v>0.8</v>
      </c>
    </row>
    <row r="5" spans="1:4">
      <c r="A5" s="3" t="s">
        <v>5</v>
      </c>
      <c r="B5" s="1">
        <f>SQRT(SUM(sgd!D1:D30)/30)</f>
        <v>873.46341270446658</v>
      </c>
      <c r="C5" s="1">
        <f>B2/MEDIAN(sgd!C1:C30)</f>
        <v>0.21766381141086752</v>
      </c>
      <c r="D5" s="2">
        <f>SUM(sgd!F1:F30)/30</f>
        <v>0.66666666666666663</v>
      </c>
    </row>
    <row r="6" spans="1:4">
      <c r="A6" s="3" t="s">
        <v>6</v>
      </c>
      <c r="B6" s="1">
        <f>SQRT(SUM(pid!D1:D30)/30)</f>
        <v>4223.6300185188256</v>
      </c>
      <c r="C6" s="1">
        <f>B2/MEDIAN(pid!C1:C30)</f>
        <v>0.20264658142305814</v>
      </c>
      <c r="D6" s="2">
        <f>SUM(pid!F1:F30)/30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lr</vt:lpstr>
      <vt:lpstr>ridge</vt:lpstr>
      <vt:lpstr>ridgecv</vt:lpstr>
      <vt:lpstr>sgd</vt:lpstr>
      <vt:lpstr>pid</vt:lpstr>
      <vt:lpstr>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2025-09-04T18:34:44Z</dcterms:created>
  <dcterms:modified xsi:type="dcterms:W3CDTF">2025-09-06T17:14:49Z</dcterms:modified>
</cp:coreProperties>
</file>