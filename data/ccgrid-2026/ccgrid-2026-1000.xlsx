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 activeTab="7"/>
  </bookViews>
  <sheets>
    <sheet name="optuna" sheetId="6" r:id="rId1"/>
    <sheet name="rl" sheetId="7" r:id="rId2"/>
    <sheet name="bayes" sheetId="8" r:id="rId3"/>
    <sheet name="spsa" sheetId="1" r:id="rId4"/>
    <sheet name="evolution" sheetId="9" r:id="rId5"/>
    <sheet name="pso" sheetId="10" r:id="rId6"/>
    <sheet name="static" sheetId="11" r:id="rId7"/>
    <sheet name="Summary" sheetId="5" r:id="rId8"/>
  </sheets>
  <calcPr calcId="125725"/>
</workbook>
</file>

<file path=xl/calcChain.xml><?xml version="1.0" encoding="utf-8"?>
<calcChain xmlns="http://schemas.openxmlformats.org/spreadsheetml/2006/main">
  <c r="C10" i="5"/>
  <c r="E3" i="10"/>
  <c r="I3" s="1"/>
  <c r="H3"/>
  <c r="E4"/>
  <c r="E5"/>
  <c r="E6"/>
  <c r="F6" s="1"/>
  <c r="E7"/>
  <c r="H7" s="1"/>
  <c r="E8"/>
  <c r="I8" s="1"/>
  <c r="E9"/>
  <c r="I9" s="1"/>
  <c r="E10"/>
  <c r="F10"/>
  <c r="H10"/>
  <c r="I10"/>
  <c r="E11"/>
  <c r="F11"/>
  <c r="H11"/>
  <c r="I11"/>
  <c r="E12"/>
  <c r="E13"/>
  <c r="H13" s="1"/>
  <c r="E14"/>
  <c r="I14" s="1"/>
  <c r="E15"/>
  <c r="I15" s="1"/>
  <c r="F15"/>
  <c r="H15"/>
  <c r="E16"/>
  <c r="I16" s="1"/>
  <c r="E17"/>
  <c r="E18"/>
  <c r="F18" s="1"/>
  <c r="E19"/>
  <c r="H19" s="1"/>
  <c r="E20"/>
  <c r="I20" s="1"/>
  <c r="E21"/>
  <c r="I21" s="1"/>
  <c r="E22"/>
  <c r="F22"/>
  <c r="H22"/>
  <c r="I22"/>
  <c r="E23"/>
  <c r="F23"/>
  <c r="H23"/>
  <c r="I23"/>
  <c r="E24"/>
  <c r="E25"/>
  <c r="H25" s="1"/>
  <c r="E26"/>
  <c r="I26" s="1"/>
  <c r="E27"/>
  <c r="I27" s="1"/>
  <c r="F27"/>
  <c r="H27"/>
  <c r="E28"/>
  <c r="I28" s="1"/>
  <c r="E29"/>
  <c r="E30"/>
  <c r="F30" s="1"/>
  <c r="E31"/>
  <c r="H31" s="1"/>
  <c r="E32"/>
  <c r="I32" s="1"/>
  <c r="E33"/>
  <c r="I33" s="1"/>
  <c r="E34"/>
  <c r="F34"/>
  <c r="H34"/>
  <c r="I34"/>
  <c r="E35"/>
  <c r="F35"/>
  <c r="H35"/>
  <c r="I35"/>
  <c r="E36"/>
  <c r="E37"/>
  <c r="H37" s="1"/>
  <c r="E38"/>
  <c r="I38" s="1"/>
  <c r="E39"/>
  <c r="I39" s="1"/>
  <c r="F39"/>
  <c r="H39"/>
  <c r="E40"/>
  <c r="I40" s="1"/>
  <c r="E41"/>
  <c r="E42"/>
  <c r="F42" s="1"/>
  <c r="E43"/>
  <c r="H43" s="1"/>
  <c r="E44"/>
  <c r="I44" s="1"/>
  <c r="E45"/>
  <c r="I45" s="1"/>
  <c r="E46"/>
  <c r="F46"/>
  <c r="H46"/>
  <c r="I46"/>
  <c r="E47"/>
  <c r="F47"/>
  <c r="H47"/>
  <c r="I47"/>
  <c r="E48"/>
  <c r="E49"/>
  <c r="H49" s="1"/>
  <c r="E50"/>
  <c r="I50" s="1"/>
  <c r="E51"/>
  <c r="I51" s="1"/>
  <c r="F51"/>
  <c r="H51"/>
  <c r="E52"/>
  <c r="I52" s="1"/>
  <c r="E53"/>
  <c r="E54"/>
  <c r="F54" s="1"/>
  <c r="E55"/>
  <c r="H55" s="1"/>
  <c r="E56"/>
  <c r="I56" s="1"/>
  <c r="E57"/>
  <c r="E58"/>
  <c r="F58"/>
  <c r="H58"/>
  <c r="I58"/>
  <c r="E59"/>
  <c r="F59"/>
  <c r="H59"/>
  <c r="I59"/>
  <c r="E60"/>
  <c r="F60" s="1"/>
  <c r="E61"/>
  <c r="H61" s="1"/>
  <c r="E62"/>
  <c r="I62" s="1"/>
  <c r="E63"/>
  <c r="I63" s="1"/>
  <c r="F63"/>
  <c r="H63"/>
  <c r="E64"/>
  <c r="E65"/>
  <c r="I65" s="1"/>
  <c r="E66"/>
  <c r="F66" s="1"/>
  <c r="E67"/>
  <c r="H67" s="1"/>
  <c r="E68"/>
  <c r="I68" s="1"/>
  <c r="E69"/>
  <c r="E70"/>
  <c r="F70"/>
  <c r="H70"/>
  <c r="I70"/>
  <c r="E71"/>
  <c r="F71"/>
  <c r="H71"/>
  <c r="I71"/>
  <c r="E72"/>
  <c r="F72" s="1"/>
  <c r="I72"/>
  <c r="E73"/>
  <c r="H73" s="1"/>
  <c r="E74"/>
  <c r="I74" s="1"/>
  <c r="E75"/>
  <c r="I75" s="1"/>
  <c r="F75"/>
  <c r="H75"/>
  <c r="E76"/>
  <c r="E77"/>
  <c r="I77" s="1"/>
  <c r="E78"/>
  <c r="F78" s="1"/>
  <c r="E79"/>
  <c r="H79" s="1"/>
  <c r="E80"/>
  <c r="I80" s="1"/>
  <c r="E81"/>
  <c r="E82"/>
  <c r="F82"/>
  <c r="H82"/>
  <c r="I82"/>
  <c r="E83"/>
  <c r="F83"/>
  <c r="H83"/>
  <c r="I83"/>
  <c r="E84"/>
  <c r="F84" s="1"/>
  <c r="E85"/>
  <c r="H85" s="1"/>
  <c r="E86"/>
  <c r="I86" s="1"/>
  <c r="E87"/>
  <c r="I87" s="1"/>
  <c r="F87"/>
  <c r="H87"/>
  <c r="E88"/>
  <c r="E89"/>
  <c r="F89" s="1"/>
  <c r="E90"/>
  <c r="F90" s="1"/>
  <c r="I90"/>
  <c r="E91"/>
  <c r="H91" s="1"/>
  <c r="E92"/>
  <c r="I92" s="1"/>
  <c r="E93"/>
  <c r="E94"/>
  <c r="F94" s="1"/>
  <c r="H94"/>
  <c r="I94"/>
  <c r="E95"/>
  <c r="E96"/>
  <c r="F96" s="1"/>
  <c r="I96"/>
  <c r="E97"/>
  <c r="H97" s="1"/>
  <c r="E98"/>
  <c r="I98" s="1"/>
  <c r="E99"/>
  <c r="I99" s="1"/>
  <c r="F99"/>
  <c r="H99"/>
  <c r="E100"/>
  <c r="I100" s="1"/>
  <c r="E101"/>
  <c r="F101" s="1"/>
  <c r="I101"/>
  <c r="E102"/>
  <c r="F102" s="1"/>
  <c r="E103"/>
  <c r="H103" s="1"/>
  <c r="E104"/>
  <c r="I104" s="1"/>
  <c r="E105"/>
  <c r="I105" s="1"/>
  <c r="F105"/>
  <c r="H105"/>
  <c r="E106"/>
  <c r="E107"/>
  <c r="F107" s="1"/>
  <c r="H107"/>
  <c r="I107"/>
  <c r="E108"/>
  <c r="F108" s="1"/>
  <c r="I108"/>
  <c r="E109"/>
  <c r="H109" s="1"/>
  <c r="E110"/>
  <c r="I110" s="1"/>
  <c r="E111"/>
  <c r="E112"/>
  <c r="F112" s="1"/>
  <c r="H112"/>
  <c r="I112"/>
  <c r="E113"/>
  <c r="E114"/>
  <c r="F114" s="1"/>
  <c r="I114"/>
  <c r="E115"/>
  <c r="H115" s="1"/>
  <c r="E116"/>
  <c r="I116" s="1"/>
  <c r="E117"/>
  <c r="I117" s="1"/>
  <c r="F117"/>
  <c r="H117"/>
  <c r="E118"/>
  <c r="I118" s="1"/>
  <c r="F118"/>
  <c r="H118"/>
  <c r="E119"/>
  <c r="F119" s="1"/>
  <c r="I119"/>
  <c r="E120"/>
  <c r="F120" s="1"/>
  <c r="E121"/>
  <c r="H121" s="1"/>
  <c r="E122"/>
  <c r="I122" s="1"/>
  <c r="E123"/>
  <c r="I123" s="1"/>
  <c r="F123"/>
  <c r="H123"/>
  <c r="E124"/>
  <c r="E125"/>
  <c r="F125" s="1"/>
  <c r="E126"/>
  <c r="F126" s="1"/>
  <c r="I126"/>
  <c r="E127"/>
  <c r="H127" s="1"/>
  <c r="E128"/>
  <c r="I128" s="1"/>
  <c r="E129"/>
  <c r="E130"/>
  <c r="F130" s="1"/>
  <c r="H130"/>
  <c r="I130"/>
  <c r="E131"/>
  <c r="E132"/>
  <c r="F132" s="1"/>
  <c r="E133"/>
  <c r="H133" s="1"/>
  <c r="E134"/>
  <c r="I134" s="1"/>
  <c r="E135"/>
  <c r="I135" s="1"/>
  <c r="H135"/>
  <c r="E136"/>
  <c r="E137"/>
  <c r="F137"/>
  <c r="H137"/>
  <c r="I137"/>
  <c r="E138"/>
  <c r="F138" s="1"/>
  <c r="I138"/>
  <c r="E139"/>
  <c r="H139" s="1"/>
  <c r="E140"/>
  <c r="I140" s="1"/>
  <c r="E141"/>
  <c r="F141"/>
  <c r="E142"/>
  <c r="F142" s="1"/>
  <c r="H142"/>
  <c r="I142"/>
  <c r="E143"/>
  <c r="E144"/>
  <c r="F144" s="1"/>
  <c r="I144"/>
  <c r="E145"/>
  <c r="H145" s="1"/>
  <c r="E146"/>
  <c r="I146" s="1"/>
  <c r="E147"/>
  <c r="I147" s="1"/>
  <c r="H147"/>
  <c r="E148"/>
  <c r="F148"/>
  <c r="E149"/>
  <c r="F149"/>
  <c r="H149"/>
  <c r="I149"/>
  <c r="E150"/>
  <c r="F150" s="1"/>
  <c r="I150"/>
  <c r="E151"/>
  <c r="H151" s="1"/>
  <c r="E152"/>
  <c r="E153"/>
  <c r="F153"/>
  <c r="E154"/>
  <c r="F154" s="1"/>
  <c r="H154"/>
  <c r="I154"/>
  <c r="E155"/>
  <c r="E156"/>
  <c r="F156" s="1"/>
  <c r="I156"/>
  <c r="E157"/>
  <c r="H157" s="1"/>
  <c r="E158"/>
  <c r="E159"/>
  <c r="I159" s="1"/>
  <c r="F159"/>
  <c r="H159"/>
  <c r="E160"/>
  <c r="I160" s="1"/>
  <c r="H160"/>
  <c r="E161"/>
  <c r="F161" s="1"/>
  <c r="I161"/>
  <c r="E162"/>
  <c r="F162" s="1"/>
  <c r="I162"/>
  <c r="E163"/>
  <c r="H163" s="1"/>
  <c r="E164"/>
  <c r="E165"/>
  <c r="I165" s="1"/>
  <c r="F165"/>
  <c r="H165"/>
  <c r="E166"/>
  <c r="E167"/>
  <c r="F167" s="1"/>
  <c r="H167"/>
  <c r="I167"/>
  <c r="E168"/>
  <c r="F168" s="1"/>
  <c r="I168"/>
  <c r="E169"/>
  <c r="H169" s="1"/>
  <c r="E170"/>
  <c r="E171"/>
  <c r="E172"/>
  <c r="F172" s="1"/>
  <c r="H172"/>
  <c r="I172"/>
  <c r="E173"/>
  <c r="E174"/>
  <c r="F174" s="1"/>
  <c r="I174"/>
  <c r="E175"/>
  <c r="H175" s="1"/>
  <c r="E176"/>
  <c r="E177"/>
  <c r="I177" s="1"/>
  <c r="F177"/>
  <c r="H177"/>
  <c r="E178"/>
  <c r="I178" s="1"/>
  <c r="E179"/>
  <c r="F179" s="1"/>
  <c r="I179"/>
  <c r="E180"/>
  <c r="F180" s="1"/>
  <c r="E181"/>
  <c r="H181" s="1"/>
  <c r="E182"/>
  <c r="E183"/>
  <c r="I183" s="1"/>
  <c r="F183"/>
  <c r="H183"/>
  <c r="E184"/>
  <c r="E185"/>
  <c r="F185" s="1"/>
  <c r="E186"/>
  <c r="F186" s="1"/>
  <c r="I186"/>
  <c r="E187"/>
  <c r="H187" s="1"/>
  <c r="E188"/>
  <c r="E189"/>
  <c r="F189"/>
  <c r="E190"/>
  <c r="F190" s="1"/>
  <c r="H190"/>
  <c r="I190"/>
  <c r="E191"/>
  <c r="E192"/>
  <c r="E193"/>
  <c r="F193" s="1"/>
  <c r="E194"/>
  <c r="E195"/>
  <c r="I195" s="1"/>
  <c r="F195"/>
  <c r="H195"/>
  <c r="E196"/>
  <c r="I196" s="1"/>
  <c r="H196"/>
  <c r="E197"/>
  <c r="F197" s="1"/>
  <c r="H197"/>
  <c r="I197"/>
  <c r="E198"/>
  <c r="I198" s="1"/>
  <c r="E199"/>
  <c r="E200"/>
  <c r="E201"/>
  <c r="I201" s="1"/>
  <c r="E202"/>
  <c r="F202"/>
  <c r="H202"/>
  <c r="I202"/>
  <c r="E203"/>
  <c r="E204"/>
  <c r="E205"/>
  <c r="E206"/>
  <c r="F206" s="1"/>
  <c r="E207"/>
  <c r="I207" s="1"/>
  <c r="F207"/>
  <c r="H207"/>
  <c r="E208"/>
  <c r="I208" s="1"/>
  <c r="F208"/>
  <c r="H208"/>
  <c r="E209"/>
  <c r="F209" s="1"/>
  <c r="I209"/>
  <c r="E210"/>
  <c r="E211"/>
  <c r="F211" s="1"/>
  <c r="E212"/>
  <c r="E213"/>
  <c r="I213" s="1"/>
  <c r="F213"/>
  <c r="H213"/>
  <c r="E214"/>
  <c r="E215"/>
  <c r="F215" s="1"/>
  <c r="H215"/>
  <c r="I215"/>
  <c r="E216"/>
  <c r="E217"/>
  <c r="F217" s="1"/>
  <c r="E218"/>
  <c r="E219"/>
  <c r="F219"/>
  <c r="E220"/>
  <c r="F220" s="1"/>
  <c r="H220"/>
  <c r="I220"/>
  <c r="E221"/>
  <c r="E222"/>
  <c r="I222"/>
  <c r="E223"/>
  <c r="E224"/>
  <c r="E225"/>
  <c r="I225" s="1"/>
  <c r="F225"/>
  <c r="H225"/>
  <c r="E226"/>
  <c r="I226" s="1"/>
  <c r="E227"/>
  <c r="F227" s="1"/>
  <c r="I227"/>
  <c r="E228"/>
  <c r="I228"/>
  <c r="E229"/>
  <c r="E230"/>
  <c r="E231"/>
  <c r="I231" s="1"/>
  <c r="E232"/>
  <c r="I232" s="1"/>
  <c r="H232"/>
  <c r="E233"/>
  <c r="F233" s="1"/>
  <c r="H233"/>
  <c r="I233"/>
  <c r="E234"/>
  <c r="F234" s="1"/>
  <c r="E235"/>
  <c r="H235" s="1"/>
  <c r="F235"/>
  <c r="I235"/>
  <c r="E236"/>
  <c r="E237"/>
  <c r="F237"/>
  <c r="E238"/>
  <c r="F238" s="1"/>
  <c r="H238"/>
  <c r="I238"/>
  <c r="E239"/>
  <c r="E240"/>
  <c r="F240" s="1"/>
  <c r="E241"/>
  <c r="E242"/>
  <c r="E243"/>
  <c r="I243" s="1"/>
  <c r="F243"/>
  <c r="H243"/>
  <c r="E244"/>
  <c r="E245"/>
  <c r="I245" s="1"/>
  <c r="F245"/>
  <c r="H245"/>
  <c r="E246"/>
  <c r="F246" s="1"/>
  <c r="E247"/>
  <c r="H247" s="1"/>
  <c r="E248"/>
  <c r="E249"/>
  <c r="I249" s="1"/>
  <c r="H249"/>
  <c r="E250"/>
  <c r="F250"/>
  <c r="H250"/>
  <c r="I250"/>
  <c r="E251"/>
  <c r="F251"/>
  <c r="E252"/>
  <c r="F252" s="1"/>
  <c r="H252"/>
  <c r="I252"/>
  <c r="E253"/>
  <c r="H253" s="1"/>
  <c r="E254"/>
  <c r="F254"/>
  <c r="E255"/>
  <c r="I255" s="1"/>
  <c r="E256"/>
  <c r="I256" s="1"/>
  <c r="E257"/>
  <c r="F257" s="1"/>
  <c r="I257"/>
  <c r="E258"/>
  <c r="F258" s="1"/>
  <c r="E259"/>
  <c r="H259" s="1"/>
  <c r="E260"/>
  <c r="E261"/>
  <c r="I261" s="1"/>
  <c r="E262"/>
  <c r="F262"/>
  <c r="H262"/>
  <c r="I262"/>
  <c r="E263"/>
  <c r="F263" s="1"/>
  <c r="H263"/>
  <c r="I263"/>
  <c r="E264"/>
  <c r="F264" s="1"/>
  <c r="E265"/>
  <c r="E266"/>
  <c r="E267"/>
  <c r="I267" s="1"/>
  <c r="F267"/>
  <c r="H267"/>
  <c r="E268"/>
  <c r="E269"/>
  <c r="F269" s="1"/>
  <c r="E270"/>
  <c r="F270" s="1"/>
  <c r="H270"/>
  <c r="I270"/>
  <c r="E271"/>
  <c r="H271" s="1"/>
  <c r="E272"/>
  <c r="F272"/>
  <c r="E273"/>
  <c r="I273" s="1"/>
  <c r="E274"/>
  <c r="F274" s="1"/>
  <c r="H274"/>
  <c r="I274"/>
  <c r="E275"/>
  <c r="E276"/>
  <c r="F276" s="1"/>
  <c r="E277"/>
  <c r="H277" s="1"/>
  <c r="E278"/>
  <c r="E279"/>
  <c r="I279" s="1"/>
  <c r="E280"/>
  <c r="F280"/>
  <c r="H280"/>
  <c r="I280"/>
  <c r="E281"/>
  <c r="E282"/>
  <c r="F282" s="1"/>
  <c r="E283"/>
  <c r="H283" s="1"/>
  <c r="F283"/>
  <c r="I283"/>
  <c r="E284"/>
  <c r="E285"/>
  <c r="I285" s="1"/>
  <c r="H285"/>
  <c r="E286"/>
  <c r="F286"/>
  <c r="E287"/>
  <c r="F287"/>
  <c r="H287"/>
  <c r="I287"/>
  <c r="E288"/>
  <c r="F288" s="1"/>
  <c r="E289"/>
  <c r="H289" s="1"/>
  <c r="I289"/>
  <c r="E290"/>
  <c r="E291"/>
  <c r="E292"/>
  <c r="F292"/>
  <c r="H292"/>
  <c r="I292"/>
  <c r="E293"/>
  <c r="F293"/>
  <c r="H293"/>
  <c r="I293"/>
  <c r="E294"/>
  <c r="F294" s="1"/>
  <c r="E295"/>
  <c r="H295" s="1"/>
  <c r="E296"/>
  <c r="E297"/>
  <c r="I297" s="1"/>
  <c r="E298"/>
  <c r="I298" s="1"/>
  <c r="E299"/>
  <c r="F299" s="1"/>
  <c r="H299"/>
  <c r="I299"/>
  <c r="E300"/>
  <c r="E301"/>
  <c r="H301" s="1"/>
  <c r="E302"/>
  <c r="F302" s="1"/>
  <c r="E303"/>
  <c r="I303" s="1"/>
  <c r="E304"/>
  <c r="F304"/>
  <c r="H304"/>
  <c r="I304"/>
  <c r="E305"/>
  <c r="F305"/>
  <c r="E306"/>
  <c r="F306" s="1"/>
  <c r="H306"/>
  <c r="I306"/>
  <c r="E307"/>
  <c r="H307" s="1"/>
  <c r="E308"/>
  <c r="F308"/>
  <c r="E309"/>
  <c r="I309" s="1"/>
  <c r="E310"/>
  <c r="I310" s="1"/>
  <c r="E311"/>
  <c r="F311" s="1"/>
  <c r="H311"/>
  <c r="I311"/>
  <c r="E312"/>
  <c r="F312" s="1"/>
  <c r="E313"/>
  <c r="H313" s="1"/>
  <c r="E314"/>
  <c r="E315"/>
  <c r="I315" s="1"/>
  <c r="E316"/>
  <c r="I316" s="1"/>
  <c r="E317"/>
  <c r="F317" s="1"/>
  <c r="H317"/>
  <c r="I317"/>
  <c r="E318"/>
  <c r="F318" s="1"/>
  <c r="E319"/>
  <c r="H319" s="1"/>
  <c r="F319"/>
  <c r="I319"/>
  <c r="E320"/>
  <c r="E321"/>
  <c r="F321"/>
  <c r="E322"/>
  <c r="F322" s="1"/>
  <c r="H322"/>
  <c r="I322"/>
  <c r="E323"/>
  <c r="E324"/>
  <c r="F324" s="1"/>
  <c r="E325"/>
  <c r="E326"/>
  <c r="E327"/>
  <c r="I327" s="1"/>
  <c r="F327"/>
  <c r="H327"/>
  <c r="E328"/>
  <c r="E329"/>
  <c r="I329" s="1"/>
  <c r="E330"/>
  <c r="F330" s="1"/>
  <c r="E331"/>
  <c r="H331" s="1"/>
  <c r="E332"/>
  <c r="E333"/>
  <c r="I333" s="1"/>
  <c r="E334"/>
  <c r="F334"/>
  <c r="H334"/>
  <c r="I334"/>
  <c r="E335"/>
  <c r="E336"/>
  <c r="F336" s="1"/>
  <c r="H336"/>
  <c r="I336"/>
  <c r="E337"/>
  <c r="H337" s="1"/>
  <c r="E338"/>
  <c r="F338"/>
  <c r="E339"/>
  <c r="I339" s="1"/>
  <c r="E340"/>
  <c r="I340" s="1"/>
  <c r="H340"/>
  <c r="E341"/>
  <c r="F341" s="1"/>
  <c r="H341"/>
  <c r="I341"/>
  <c r="E342"/>
  <c r="E343"/>
  <c r="H343" s="1"/>
  <c r="E344"/>
  <c r="F344" s="1"/>
  <c r="E345"/>
  <c r="I345" s="1"/>
  <c r="E346"/>
  <c r="F346"/>
  <c r="H346"/>
  <c r="I346"/>
  <c r="E347"/>
  <c r="E348"/>
  <c r="F348" s="1"/>
  <c r="E349"/>
  <c r="H349" s="1"/>
  <c r="E350"/>
  <c r="E351"/>
  <c r="I351" s="1"/>
  <c r="E352"/>
  <c r="F352"/>
  <c r="H352"/>
  <c r="I352"/>
  <c r="E353"/>
  <c r="F353"/>
  <c r="E354"/>
  <c r="F354" s="1"/>
  <c r="E355"/>
  <c r="H355" s="1"/>
  <c r="E356"/>
  <c r="E357"/>
  <c r="I357" s="1"/>
  <c r="H357"/>
  <c r="E358"/>
  <c r="E359"/>
  <c r="F359"/>
  <c r="H359"/>
  <c r="I359"/>
  <c r="E360"/>
  <c r="F360" s="1"/>
  <c r="E361"/>
  <c r="H361" s="1"/>
  <c r="I361"/>
  <c r="E362"/>
  <c r="E363"/>
  <c r="E364"/>
  <c r="F364"/>
  <c r="H364"/>
  <c r="I364"/>
  <c r="E365"/>
  <c r="F365"/>
  <c r="H365"/>
  <c r="I365"/>
  <c r="E366"/>
  <c r="F366" s="1"/>
  <c r="E367"/>
  <c r="H367" s="1"/>
  <c r="E368"/>
  <c r="E369"/>
  <c r="I369" s="1"/>
  <c r="E370"/>
  <c r="I370" s="1"/>
  <c r="E371"/>
  <c r="F371" s="1"/>
  <c r="I371"/>
  <c r="E372"/>
  <c r="E373"/>
  <c r="H373" s="1"/>
  <c r="E374"/>
  <c r="F374"/>
  <c r="E375"/>
  <c r="I375" s="1"/>
  <c r="E376"/>
  <c r="E377"/>
  <c r="F377" s="1"/>
  <c r="E378"/>
  <c r="F378" s="1"/>
  <c r="E379"/>
  <c r="H379" s="1"/>
  <c r="I379"/>
  <c r="E380"/>
  <c r="E381"/>
  <c r="E382"/>
  <c r="F382"/>
  <c r="H382"/>
  <c r="I382"/>
  <c r="E383"/>
  <c r="F383" s="1"/>
  <c r="H383"/>
  <c r="I383"/>
  <c r="E384"/>
  <c r="F384" s="1"/>
  <c r="E385"/>
  <c r="H385" s="1"/>
  <c r="E386"/>
  <c r="E387"/>
  <c r="F387" s="1"/>
  <c r="H387"/>
  <c r="I387"/>
  <c r="E388"/>
  <c r="I388" s="1"/>
  <c r="H388"/>
  <c r="E389"/>
  <c r="H389" s="1"/>
  <c r="E390"/>
  <c r="I390" s="1"/>
  <c r="E391"/>
  <c r="I391" s="1"/>
  <c r="F391"/>
  <c r="H391"/>
  <c r="E392"/>
  <c r="F392" s="1"/>
  <c r="H392"/>
  <c r="I392"/>
  <c r="E393"/>
  <c r="E394"/>
  <c r="F394" s="1"/>
  <c r="I394"/>
  <c r="E395"/>
  <c r="H395" s="1"/>
  <c r="E396"/>
  <c r="I396" s="1"/>
  <c r="E397"/>
  <c r="F397"/>
  <c r="H397"/>
  <c r="I397"/>
  <c r="E398"/>
  <c r="E399"/>
  <c r="F399" s="1"/>
  <c r="H399"/>
  <c r="I399"/>
  <c r="E400"/>
  <c r="E401"/>
  <c r="H401" s="1"/>
  <c r="E402"/>
  <c r="I402" s="1"/>
  <c r="E403"/>
  <c r="I403" s="1"/>
  <c r="E404"/>
  <c r="F404" s="1"/>
  <c r="H404"/>
  <c r="I404"/>
  <c r="E405"/>
  <c r="E406"/>
  <c r="F406" s="1"/>
  <c r="I406"/>
  <c r="E407"/>
  <c r="H407" s="1"/>
  <c r="E408"/>
  <c r="I408" s="1"/>
  <c r="E409"/>
  <c r="F409"/>
  <c r="H409"/>
  <c r="I409"/>
  <c r="E410"/>
  <c r="F410"/>
  <c r="E411"/>
  <c r="F411" s="1"/>
  <c r="H411"/>
  <c r="I411"/>
  <c r="E412"/>
  <c r="E413"/>
  <c r="H413" s="1"/>
  <c r="E414"/>
  <c r="I414" s="1"/>
  <c r="E415"/>
  <c r="I415" s="1"/>
  <c r="E416"/>
  <c r="F416" s="1"/>
  <c r="H416"/>
  <c r="I416"/>
  <c r="E417"/>
  <c r="E418"/>
  <c r="F418" s="1"/>
  <c r="I418"/>
  <c r="E419"/>
  <c r="H419" s="1"/>
  <c r="E420"/>
  <c r="E421"/>
  <c r="F421"/>
  <c r="H421"/>
  <c r="I421"/>
  <c r="E422"/>
  <c r="E423"/>
  <c r="F423" s="1"/>
  <c r="H423"/>
  <c r="I423"/>
  <c r="E424"/>
  <c r="E425"/>
  <c r="H425" s="1"/>
  <c r="E426"/>
  <c r="E427"/>
  <c r="I427" s="1"/>
  <c r="E428"/>
  <c r="F428" s="1"/>
  <c r="H428"/>
  <c r="I428"/>
  <c r="E429"/>
  <c r="E430"/>
  <c r="F430" s="1"/>
  <c r="I430"/>
  <c r="E431"/>
  <c r="H431" s="1"/>
  <c r="E432"/>
  <c r="E433"/>
  <c r="F433"/>
  <c r="H433"/>
  <c r="I433"/>
  <c r="E434"/>
  <c r="F434"/>
  <c r="E435"/>
  <c r="F435" s="1"/>
  <c r="H435"/>
  <c r="I435"/>
  <c r="E436"/>
  <c r="E437"/>
  <c r="H437" s="1"/>
  <c r="E438"/>
  <c r="E439"/>
  <c r="I439" s="1"/>
  <c r="F439"/>
  <c r="H439"/>
  <c r="E440"/>
  <c r="F440" s="1"/>
  <c r="H440"/>
  <c r="I440"/>
  <c r="E441"/>
  <c r="E442"/>
  <c r="F442" s="1"/>
  <c r="I442"/>
  <c r="E443"/>
  <c r="H443" s="1"/>
  <c r="E444"/>
  <c r="E445"/>
  <c r="F445"/>
  <c r="H445"/>
  <c r="I445"/>
  <c r="E446"/>
  <c r="E447"/>
  <c r="F447" s="1"/>
  <c r="H447"/>
  <c r="I447"/>
  <c r="E448"/>
  <c r="E449"/>
  <c r="H449" s="1"/>
  <c r="E450"/>
  <c r="E451"/>
  <c r="I451" s="1"/>
  <c r="H451"/>
  <c r="E452"/>
  <c r="F452" s="1"/>
  <c r="H452"/>
  <c r="I452"/>
  <c r="E453"/>
  <c r="E454"/>
  <c r="F454" s="1"/>
  <c r="I454"/>
  <c r="E455"/>
  <c r="H455" s="1"/>
  <c r="E456"/>
  <c r="E457"/>
  <c r="F457"/>
  <c r="H457"/>
  <c r="I457"/>
  <c r="E458"/>
  <c r="E459"/>
  <c r="F459" s="1"/>
  <c r="H459"/>
  <c r="I459"/>
  <c r="E460"/>
  <c r="E461"/>
  <c r="E462"/>
  <c r="E463"/>
  <c r="I463" s="1"/>
  <c r="F463"/>
  <c r="H463"/>
  <c r="E464"/>
  <c r="F464" s="1"/>
  <c r="H464"/>
  <c r="I464"/>
  <c r="E465"/>
  <c r="E466"/>
  <c r="F466" s="1"/>
  <c r="I466"/>
  <c r="E467"/>
  <c r="E468"/>
  <c r="E469"/>
  <c r="F469"/>
  <c r="H469"/>
  <c r="I469"/>
  <c r="E470"/>
  <c r="E471"/>
  <c r="F471" s="1"/>
  <c r="H471"/>
  <c r="I471"/>
  <c r="E472"/>
  <c r="E473"/>
  <c r="E474"/>
  <c r="E475"/>
  <c r="I475" s="1"/>
  <c r="E476"/>
  <c r="F476" s="1"/>
  <c r="H476"/>
  <c r="I476"/>
  <c r="E477"/>
  <c r="E478"/>
  <c r="I478"/>
  <c r="E479"/>
  <c r="E480"/>
  <c r="E481"/>
  <c r="F481"/>
  <c r="H481"/>
  <c r="I481"/>
  <c r="E482"/>
  <c r="F482"/>
  <c r="E483"/>
  <c r="F483" s="1"/>
  <c r="H483"/>
  <c r="I483"/>
  <c r="E484"/>
  <c r="E485"/>
  <c r="E486"/>
  <c r="F486" s="1"/>
  <c r="E487"/>
  <c r="I487" s="1"/>
  <c r="E488"/>
  <c r="F488" s="1"/>
  <c r="H488"/>
  <c r="I488"/>
  <c r="E489"/>
  <c r="E490"/>
  <c r="E491"/>
  <c r="F491"/>
  <c r="E492"/>
  <c r="E493"/>
  <c r="F493"/>
  <c r="H493"/>
  <c r="I493"/>
  <c r="E494"/>
  <c r="E495"/>
  <c r="F495" s="1"/>
  <c r="H495"/>
  <c r="I495"/>
  <c r="E496"/>
  <c r="I496" s="1"/>
  <c r="E497"/>
  <c r="E498"/>
  <c r="E499"/>
  <c r="I499" s="1"/>
  <c r="E500"/>
  <c r="F500"/>
  <c r="H500"/>
  <c r="I500"/>
  <c r="E501"/>
  <c r="E502"/>
  <c r="E503"/>
  <c r="E504"/>
  <c r="F504"/>
  <c r="E505"/>
  <c r="E506"/>
  <c r="F506"/>
  <c r="H506"/>
  <c r="I506"/>
  <c r="E507"/>
  <c r="F507" s="1"/>
  <c r="H507"/>
  <c r="I507"/>
  <c r="E508"/>
  <c r="E509"/>
  <c r="E510"/>
  <c r="F510" s="1"/>
  <c r="E511"/>
  <c r="I511" s="1"/>
  <c r="H511"/>
  <c r="E512"/>
  <c r="E513"/>
  <c r="F513" s="1"/>
  <c r="H513"/>
  <c r="I513"/>
  <c r="E514"/>
  <c r="E515"/>
  <c r="F515"/>
  <c r="E516"/>
  <c r="E517"/>
  <c r="I517" s="1"/>
  <c r="F517"/>
  <c r="H517"/>
  <c r="E518"/>
  <c r="F518"/>
  <c r="H518"/>
  <c r="I518"/>
  <c r="E519"/>
  <c r="E520"/>
  <c r="E521"/>
  <c r="F521"/>
  <c r="E522"/>
  <c r="E523"/>
  <c r="E524"/>
  <c r="F524"/>
  <c r="H524"/>
  <c r="I524"/>
  <c r="E525"/>
  <c r="F525" s="1"/>
  <c r="H525"/>
  <c r="I525"/>
  <c r="E526"/>
  <c r="I526" s="1"/>
  <c r="E527"/>
  <c r="E528"/>
  <c r="E529"/>
  <c r="I529" s="1"/>
  <c r="H529"/>
  <c r="E530"/>
  <c r="E531"/>
  <c r="F531" s="1"/>
  <c r="H531"/>
  <c r="I531"/>
  <c r="E532"/>
  <c r="I532" s="1"/>
  <c r="E533"/>
  <c r="E534"/>
  <c r="E535"/>
  <c r="I535" s="1"/>
  <c r="E536"/>
  <c r="F536"/>
  <c r="E537"/>
  <c r="F537" s="1"/>
  <c r="H537"/>
  <c r="I537"/>
  <c r="E538"/>
  <c r="F538" s="1"/>
  <c r="E539"/>
  <c r="H539" s="1"/>
  <c r="F539"/>
  <c r="I539"/>
  <c r="E540"/>
  <c r="E541"/>
  <c r="F541"/>
  <c r="E542"/>
  <c r="F542" s="1"/>
  <c r="H542"/>
  <c r="I542"/>
  <c r="E543"/>
  <c r="E544"/>
  <c r="F544" s="1"/>
  <c r="H544"/>
  <c r="I544"/>
  <c r="E545"/>
  <c r="H545" s="1"/>
  <c r="E546"/>
  <c r="F546"/>
  <c r="E547"/>
  <c r="I547" s="1"/>
  <c r="E548"/>
  <c r="I548" s="1"/>
  <c r="H548"/>
  <c r="E549"/>
  <c r="F549" s="1"/>
  <c r="I549"/>
  <c r="E550"/>
  <c r="H550" s="1"/>
  <c r="I550"/>
  <c r="E551"/>
  <c r="H551" s="1"/>
  <c r="E552"/>
  <c r="I552" s="1"/>
  <c r="H552"/>
  <c r="E553"/>
  <c r="E554"/>
  <c r="F554" s="1"/>
  <c r="H554"/>
  <c r="I554"/>
  <c r="E555"/>
  <c r="F555" s="1"/>
  <c r="E556"/>
  <c r="F556"/>
  <c r="H556"/>
  <c r="I556"/>
  <c r="E557"/>
  <c r="H557" s="1"/>
  <c r="E558"/>
  <c r="I558" s="1"/>
  <c r="E559"/>
  <c r="F559" s="1"/>
  <c r="H559"/>
  <c r="I559"/>
  <c r="E560"/>
  <c r="E561"/>
  <c r="F561" s="1"/>
  <c r="E562"/>
  <c r="I562" s="1"/>
  <c r="E563"/>
  <c r="H563" s="1"/>
  <c r="F563"/>
  <c r="I563"/>
  <c r="E564"/>
  <c r="I564" s="1"/>
  <c r="E565"/>
  <c r="I565" s="1"/>
  <c r="E566"/>
  <c r="F566"/>
  <c r="H566"/>
  <c r="I566"/>
  <c r="E567"/>
  <c r="E568"/>
  <c r="H568" s="1"/>
  <c r="E569"/>
  <c r="H569" s="1"/>
  <c r="E570"/>
  <c r="E571"/>
  <c r="F571" s="1"/>
  <c r="I571"/>
  <c r="E572"/>
  <c r="E573"/>
  <c r="F573" s="1"/>
  <c r="E574"/>
  <c r="I574" s="1"/>
  <c r="E575"/>
  <c r="H575" s="1"/>
  <c r="E576"/>
  <c r="I576" s="1"/>
  <c r="E577"/>
  <c r="E578"/>
  <c r="F578"/>
  <c r="H578"/>
  <c r="I578"/>
  <c r="E579"/>
  <c r="F579" s="1"/>
  <c r="I579"/>
  <c r="E580"/>
  <c r="I580" s="1"/>
  <c r="E581"/>
  <c r="H581" s="1"/>
  <c r="F581"/>
  <c r="I581"/>
  <c r="E582"/>
  <c r="I582" s="1"/>
  <c r="H582"/>
  <c r="E583"/>
  <c r="I583" s="1"/>
  <c r="E584"/>
  <c r="I584" s="1"/>
  <c r="F584"/>
  <c r="H584"/>
  <c r="E585"/>
  <c r="F585" s="1"/>
  <c r="I585"/>
  <c r="E586"/>
  <c r="H586" s="1"/>
  <c r="E587"/>
  <c r="H587" s="1"/>
  <c r="E588"/>
  <c r="I588" s="1"/>
  <c r="H588"/>
  <c r="E589"/>
  <c r="E590"/>
  <c r="F590" s="1"/>
  <c r="H590"/>
  <c r="I590"/>
  <c r="E591"/>
  <c r="F591" s="1"/>
  <c r="E592"/>
  <c r="F592"/>
  <c r="H592"/>
  <c r="I592"/>
  <c r="E593"/>
  <c r="H593" s="1"/>
  <c r="I593"/>
  <c r="E594"/>
  <c r="I594" s="1"/>
  <c r="E595"/>
  <c r="F595" s="1"/>
  <c r="H595"/>
  <c r="I595"/>
  <c r="E596"/>
  <c r="E597"/>
  <c r="F597" s="1"/>
  <c r="E598"/>
  <c r="I598" s="1"/>
  <c r="E599"/>
  <c r="H599" s="1"/>
  <c r="F599"/>
  <c r="I599"/>
  <c r="E600"/>
  <c r="I600" s="1"/>
  <c r="E601"/>
  <c r="I601" s="1"/>
  <c r="E602"/>
  <c r="F602"/>
  <c r="H602"/>
  <c r="I602"/>
  <c r="E603"/>
  <c r="E604"/>
  <c r="H604" s="1"/>
  <c r="E605"/>
  <c r="H605" s="1"/>
  <c r="E606"/>
  <c r="F606"/>
  <c r="E607"/>
  <c r="F607" s="1"/>
  <c r="I607"/>
  <c r="E608"/>
  <c r="F608"/>
  <c r="E609"/>
  <c r="F609" s="1"/>
  <c r="E610"/>
  <c r="I610" s="1"/>
  <c r="E611"/>
  <c r="H611" s="1"/>
  <c r="E612"/>
  <c r="I612" s="1"/>
  <c r="E613"/>
  <c r="F613"/>
  <c r="E614"/>
  <c r="F614"/>
  <c r="H614"/>
  <c r="I614"/>
  <c r="E615"/>
  <c r="F615" s="1"/>
  <c r="I615"/>
  <c r="E616"/>
  <c r="I616" s="1"/>
  <c r="E617"/>
  <c r="H617" s="1"/>
  <c r="E618"/>
  <c r="I618" s="1"/>
  <c r="H618"/>
  <c r="E619"/>
  <c r="I619" s="1"/>
  <c r="E620"/>
  <c r="I620" s="1"/>
  <c r="E621"/>
  <c r="F621" s="1"/>
  <c r="I621"/>
  <c r="E622"/>
  <c r="H622" s="1"/>
  <c r="E623"/>
  <c r="H623" s="1"/>
  <c r="E624"/>
  <c r="I624" s="1"/>
  <c r="H624"/>
  <c r="E625"/>
  <c r="E626"/>
  <c r="F626" s="1"/>
  <c r="H626"/>
  <c r="I626"/>
  <c r="E627"/>
  <c r="F627" s="1"/>
  <c r="E628"/>
  <c r="F628"/>
  <c r="H628"/>
  <c r="I628"/>
  <c r="E629"/>
  <c r="H629" s="1"/>
  <c r="E630"/>
  <c r="I630" s="1"/>
  <c r="E631"/>
  <c r="F631" s="1"/>
  <c r="H631"/>
  <c r="I631"/>
  <c r="E632"/>
  <c r="E633"/>
  <c r="F633" s="1"/>
  <c r="I633"/>
  <c r="E634"/>
  <c r="I634" s="1"/>
  <c r="E635"/>
  <c r="H635" s="1"/>
  <c r="F635"/>
  <c r="I635"/>
  <c r="E636"/>
  <c r="I636" s="1"/>
  <c r="H636"/>
  <c r="E637"/>
  <c r="I637" s="1"/>
  <c r="E638"/>
  <c r="F638"/>
  <c r="H638"/>
  <c r="I638"/>
  <c r="E639"/>
  <c r="E640"/>
  <c r="H640" s="1"/>
  <c r="E641"/>
  <c r="H641" s="1"/>
  <c r="E642"/>
  <c r="E643"/>
  <c r="F643" s="1"/>
  <c r="I643"/>
  <c r="E644"/>
  <c r="E645"/>
  <c r="F645" s="1"/>
  <c r="E646"/>
  <c r="I646" s="1"/>
  <c r="F646"/>
  <c r="H646"/>
  <c r="E647"/>
  <c r="H647" s="1"/>
  <c r="E648"/>
  <c r="I648" s="1"/>
  <c r="E649"/>
  <c r="E650"/>
  <c r="F650"/>
  <c r="H650"/>
  <c r="I650"/>
  <c r="E651"/>
  <c r="F651" s="1"/>
  <c r="I651"/>
  <c r="E652"/>
  <c r="I652" s="1"/>
  <c r="E653"/>
  <c r="H653" s="1"/>
  <c r="E654"/>
  <c r="I654" s="1"/>
  <c r="H654"/>
  <c r="E655"/>
  <c r="I655" s="1"/>
  <c r="E656"/>
  <c r="I656" s="1"/>
  <c r="E657"/>
  <c r="F657" s="1"/>
  <c r="I657"/>
  <c r="E658"/>
  <c r="H658" s="1"/>
  <c r="E659"/>
  <c r="H659" s="1"/>
  <c r="E660"/>
  <c r="I660" s="1"/>
  <c r="H660"/>
  <c r="E661"/>
  <c r="H661"/>
  <c r="E662"/>
  <c r="F662" s="1"/>
  <c r="H662"/>
  <c r="I662"/>
  <c r="E663"/>
  <c r="F663" s="1"/>
  <c r="E664"/>
  <c r="F664"/>
  <c r="H664"/>
  <c r="I664"/>
  <c r="E665"/>
  <c r="H665" s="1"/>
  <c r="I665"/>
  <c r="E666"/>
  <c r="I666" s="1"/>
  <c r="E667"/>
  <c r="F667" s="1"/>
  <c r="H667"/>
  <c r="I667"/>
  <c r="E668"/>
  <c r="E669"/>
  <c r="F669" s="1"/>
  <c r="E670"/>
  <c r="I670" s="1"/>
  <c r="E671"/>
  <c r="H671" s="1"/>
  <c r="F671"/>
  <c r="I671"/>
  <c r="E672"/>
  <c r="I672" s="1"/>
  <c r="E673"/>
  <c r="I673" s="1"/>
  <c r="E674"/>
  <c r="F674"/>
  <c r="H674"/>
  <c r="I674"/>
  <c r="E675"/>
  <c r="H675"/>
  <c r="E676"/>
  <c r="H676" s="1"/>
  <c r="E677"/>
  <c r="H677" s="1"/>
  <c r="E678"/>
  <c r="F678"/>
  <c r="E679"/>
  <c r="F679" s="1"/>
  <c r="I679"/>
  <c r="E680"/>
  <c r="H680" s="1"/>
  <c r="E681"/>
  <c r="I681" s="1"/>
  <c r="E682"/>
  <c r="I682" s="1"/>
  <c r="E683"/>
  <c r="F683"/>
  <c r="H683"/>
  <c r="I683"/>
  <c r="E684"/>
  <c r="F684"/>
  <c r="H684"/>
  <c r="I684"/>
  <c r="E685"/>
  <c r="E686"/>
  <c r="H686" s="1"/>
  <c r="E687"/>
  <c r="I687" s="1"/>
  <c r="E688"/>
  <c r="I688" s="1"/>
  <c r="E689"/>
  <c r="E690"/>
  <c r="I690" s="1"/>
  <c r="E691"/>
  <c r="F691" s="1"/>
  <c r="I691"/>
  <c r="E692"/>
  <c r="H692" s="1"/>
  <c r="E693"/>
  <c r="I693" s="1"/>
  <c r="E694"/>
  <c r="I694" s="1"/>
  <c r="E695"/>
  <c r="F695"/>
  <c r="H695"/>
  <c r="I695"/>
  <c r="E696"/>
  <c r="F696"/>
  <c r="H696"/>
  <c r="I696"/>
  <c r="E697"/>
  <c r="E698"/>
  <c r="H698" s="1"/>
  <c r="E699"/>
  <c r="I699" s="1"/>
  <c r="E700"/>
  <c r="I700" s="1"/>
  <c r="E701"/>
  <c r="E702"/>
  <c r="I702" s="1"/>
  <c r="E703"/>
  <c r="F703" s="1"/>
  <c r="I703"/>
  <c r="E704"/>
  <c r="H704" s="1"/>
  <c r="I704"/>
  <c r="E705"/>
  <c r="I705" s="1"/>
  <c r="E706"/>
  <c r="I706" s="1"/>
  <c r="E707"/>
  <c r="F707"/>
  <c r="H707"/>
  <c r="I707"/>
  <c r="E708"/>
  <c r="F708"/>
  <c r="H708"/>
  <c r="I708"/>
  <c r="E709"/>
  <c r="H709"/>
  <c r="E710"/>
  <c r="H710" s="1"/>
  <c r="E711"/>
  <c r="I711" s="1"/>
  <c r="E712"/>
  <c r="I712" s="1"/>
  <c r="E713"/>
  <c r="E714"/>
  <c r="I714" s="1"/>
  <c r="F714"/>
  <c r="H714"/>
  <c r="E715"/>
  <c r="F715" s="1"/>
  <c r="I715"/>
  <c r="E716"/>
  <c r="H716" s="1"/>
  <c r="E717"/>
  <c r="I717" s="1"/>
  <c r="E718"/>
  <c r="I718" s="1"/>
  <c r="E719"/>
  <c r="F719"/>
  <c r="H719"/>
  <c r="I719"/>
  <c r="E720"/>
  <c r="F720"/>
  <c r="H720"/>
  <c r="I720"/>
  <c r="E721"/>
  <c r="E722"/>
  <c r="H722" s="1"/>
  <c r="E723"/>
  <c r="I723" s="1"/>
  <c r="E724"/>
  <c r="I724" s="1"/>
  <c r="E725"/>
  <c r="E726"/>
  <c r="I726" s="1"/>
  <c r="H726"/>
  <c r="E727"/>
  <c r="F727" s="1"/>
  <c r="I727"/>
  <c r="E728"/>
  <c r="H728" s="1"/>
  <c r="I728"/>
  <c r="E729"/>
  <c r="I729" s="1"/>
  <c r="E730"/>
  <c r="I730" s="1"/>
  <c r="E731"/>
  <c r="F731"/>
  <c r="H731"/>
  <c r="I731"/>
  <c r="E732"/>
  <c r="F732"/>
  <c r="H732"/>
  <c r="I732"/>
  <c r="E733"/>
  <c r="H733"/>
  <c r="E734"/>
  <c r="H734" s="1"/>
  <c r="E735"/>
  <c r="I735" s="1"/>
  <c r="E736"/>
  <c r="I736" s="1"/>
  <c r="E737"/>
  <c r="E738"/>
  <c r="I738" s="1"/>
  <c r="F738"/>
  <c r="H738"/>
  <c r="E739"/>
  <c r="F739" s="1"/>
  <c r="I739"/>
  <c r="E740"/>
  <c r="H740" s="1"/>
  <c r="E741"/>
  <c r="I741" s="1"/>
  <c r="E742"/>
  <c r="I742" s="1"/>
  <c r="E743"/>
  <c r="F743"/>
  <c r="H743"/>
  <c r="I743"/>
  <c r="E744"/>
  <c r="F744"/>
  <c r="H744"/>
  <c r="I744"/>
  <c r="E745"/>
  <c r="E746"/>
  <c r="H746" s="1"/>
  <c r="E747"/>
  <c r="I747" s="1"/>
  <c r="E748"/>
  <c r="I748" s="1"/>
  <c r="E749"/>
  <c r="E750"/>
  <c r="I750" s="1"/>
  <c r="E751"/>
  <c r="F751" s="1"/>
  <c r="I751"/>
  <c r="E752"/>
  <c r="H752" s="1"/>
  <c r="E753"/>
  <c r="I753" s="1"/>
  <c r="E754"/>
  <c r="I754" s="1"/>
  <c r="E755"/>
  <c r="F755"/>
  <c r="H755"/>
  <c r="I755"/>
  <c r="E756"/>
  <c r="F756"/>
  <c r="H756"/>
  <c r="I756"/>
  <c r="E757"/>
  <c r="E758"/>
  <c r="H758" s="1"/>
  <c r="E759"/>
  <c r="I759" s="1"/>
  <c r="E760"/>
  <c r="I760" s="1"/>
  <c r="E761"/>
  <c r="E762"/>
  <c r="I762" s="1"/>
  <c r="E763"/>
  <c r="F763" s="1"/>
  <c r="I763"/>
  <c r="E764"/>
  <c r="H764" s="1"/>
  <c r="E765"/>
  <c r="I765" s="1"/>
  <c r="E766"/>
  <c r="I766" s="1"/>
  <c r="E767"/>
  <c r="F767"/>
  <c r="H767"/>
  <c r="I767"/>
  <c r="E768"/>
  <c r="F768"/>
  <c r="H768"/>
  <c r="I768"/>
  <c r="E769"/>
  <c r="E770"/>
  <c r="H770" s="1"/>
  <c r="E771"/>
  <c r="I771" s="1"/>
  <c r="E772"/>
  <c r="I772" s="1"/>
  <c r="E773"/>
  <c r="E774"/>
  <c r="I774" s="1"/>
  <c r="E775"/>
  <c r="F775" s="1"/>
  <c r="I775"/>
  <c r="E776"/>
  <c r="H776" s="1"/>
  <c r="I776"/>
  <c r="E777"/>
  <c r="I777" s="1"/>
  <c r="E778"/>
  <c r="I778" s="1"/>
  <c r="E779"/>
  <c r="F779"/>
  <c r="H779"/>
  <c r="I779"/>
  <c r="E780"/>
  <c r="F780"/>
  <c r="H780"/>
  <c r="I780"/>
  <c r="E781"/>
  <c r="H781"/>
  <c r="E782"/>
  <c r="H782" s="1"/>
  <c r="E783"/>
  <c r="I783" s="1"/>
  <c r="E784"/>
  <c r="I784" s="1"/>
  <c r="E785"/>
  <c r="E786"/>
  <c r="I786" s="1"/>
  <c r="F786"/>
  <c r="H786"/>
  <c r="E787"/>
  <c r="F787" s="1"/>
  <c r="I787"/>
  <c r="E788"/>
  <c r="H788" s="1"/>
  <c r="E789"/>
  <c r="I789" s="1"/>
  <c r="E790"/>
  <c r="I790" s="1"/>
  <c r="E791"/>
  <c r="F791"/>
  <c r="H791"/>
  <c r="I791"/>
  <c r="E792"/>
  <c r="F792"/>
  <c r="H792"/>
  <c r="I792"/>
  <c r="E793"/>
  <c r="E794"/>
  <c r="H794" s="1"/>
  <c r="E795"/>
  <c r="I795" s="1"/>
  <c r="E796"/>
  <c r="I796" s="1"/>
  <c r="E797"/>
  <c r="E798"/>
  <c r="I798" s="1"/>
  <c r="H798"/>
  <c r="E799"/>
  <c r="F799" s="1"/>
  <c r="I799"/>
  <c r="E800"/>
  <c r="H800" s="1"/>
  <c r="I800"/>
  <c r="E801"/>
  <c r="I801" s="1"/>
  <c r="E802"/>
  <c r="I802" s="1"/>
  <c r="E803"/>
  <c r="F803"/>
  <c r="H803"/>
  <c r="I803"/>
  <c r="E804"/>
  <c r="F804"/>
  <c r="H804"/>
  <c r="I804"/>
  <c r="E805"/>
  <c r="H805"/>
  <c r="E806"/>
  <c r="H806" s="1"/>
  <c r="E807"/>
  <c r="I807" s="1"/>
  <c r="E808"/>
  <c r="I808" s="1"/>
  <c r="E809"/>
  <c r="E810"/>
  <c r="I810" s="1"/>
  <c r="F810"/>
  <c r="H810"/>
  <c r="E811"/>
  <c r="F811" s="1"/>
  <c r="I811"/>
  <c r="E812"/>
  <c r="H812" s="1"/>
  <c r="E813"/>
  <c r="I813" s="1"/>
  <c r="E814"/>
  <c r="I814" s="1"/>
  <c r="E815"/>
  <c r="F815"/>
  <c r="H815"/>
  <c r="I815"/>
  <c r="E816"/>
  <c r="F816"/>
  <c r="H816"/>
  <c r="I816"/>
  <c r="E817"/>
  <c r="E818"/>
  <c r="H818" s="1"/>
  <c r="E819"/>
  <c r="I819" s="1"/>
  <c r="E820"/>
  <c r="I820" s="1"/>
  <c r="E821"/>
  <c r="E822"/>
  <c r="I822" s="1"/>
  <c r="E823"/>
  <c r="F823" s="1"/>
  <c r="I823"/>
  <c r="E824"/>
  <c r="H824" s="1"/>
  <c r="E825"/>
  <c r="I825" s="1"/>
  <c r="E826"/>
  <c r="I826" s="1"/>
  <c r="E827"/>
  <c r="F827"/>
  <c r="H827"/>
  <c r="I827"/>
  <c r="E828"/>
  <c r="F828"/>
  <c r="H828"/>
  <c r="I828"/>
  <c r="E829"/>
  <c r="E830"/>
  <c r="H830" s="1"/>
  <c r="E831"/>
  <c r="I831" s="1"/>
  <c r="E832"/>
  <c r="I832" s="1"/>
  <c r="E833"/>
  <c r="E834"/>
  <c r="I834" s="1"/>
  <c r="E835"/>
  <c r="F835" s="1"/>
  <c r="I835"/>
  <c r="E836"/>
  <c r="H836" s="1"/>
  <c r="E837"/>
  <c r="I837" s="1"/>
  <c r="E838"/>
  <c r="I838" s="1"/>
  <c r="E839"/>
  <c r="F839"/>
  <c r="H839"/>
  <c r="I839"/>
  <c r="E840"/>
  <c r="F840"/>
  <c r="H840"/>
  <c r="I840"/>
  <c r="E841"/>
  <c r="E842"/>
  <c r="H842" s="1"/>
  <c r="E843"/>
  <c r="I843" s="1"/>
  <c r="E844"/>
  <c r="I844" s="1"/>
  <c r="E845"/>
  <c r="E846"/>
  <c r="I846" s="1"/>
  <c r="E847"/>
  <c r="F847" s="1"/>
  <c r="I847"/>
  <c r="E848"/>
  <c r="H848" s="1"/>
  <c r="I848"/>
  <c r="E849"/>
  <c r="I849" s="1"/>
  <c r="E850"/>
  <c r="I850" s="1"/>
  <c r="E851"/>
  <c r="F851"/>
  <c r="H851"/>
  <c r="I851"/>
  <c r="E852"/>
  <c r="F852"/>
  <c r="H852"/>
  <c r="I852"/>
  <c r="E853"/>
  <c r="H853"/>
  <c r="E854"/>
  <c r="H854" s="1"/>
  <c r="E855"/>
  <c r="I855" s="1"/>
  <c r="E856"/>
  <c r="I856" s="1"/>
  <c r="E857"/>
  <c r="E858"/>
  <c r="I858" s="1"/>
  <c r="F858"/>
  <c r="H858"/>
  <c r="E859"/>
  <c r="F859" s="1"/>
  <c r="I859"/>
  <c r="E860"/>
  <c r="H860" s="1"/>
  <c r="E861"/>
  <c r="I861" s="1"/>
  <c r="E862"/>
  <c r="I862" s="1"/>
  <c r="E863"/>
  <c r="F863"/>
  <c r="H863"/>
  <c r="I863"/>
  <c r="E864"/>
  <c r="F864"/>
  <c r="H864"/>
  <c r="I864"/>
  <c r="E865"/>
  <c r="E866"/>
  <c r="H866" s="1"/>
  <c r="E867"/>
  <c r="I867" s="1"/>
  <c r="E868"/>
  <c r="I868" s="1"/>
  <c r="E869"/>
  <c r="E870"/>
  <c r="I870" s="1"/>
  <c r="H870"/>
  <c r="E871"/>
  <c r="F871" s="1"/>
  <c r="I871"/>
  <c r="E872"/>
  <c r="H872" s="1"/>
  <c r="I872"/>
  <c r="E873"/>
  <c r="I873" s="1"/>
  <c r="E874"/>
  <c r="I874" s="1"/>
  <c r="E875"/>
  <c r="F875"/>
  <c r="H875"/>
  <c r="I875"/>
  <c r="E876"/>
  <c r="F876"/>
  <c r="H876"/>
  <c r="I876"/>
  <c r="E877"/>
  <c r="H877"/>
  <c r="E878"/>
  <c r="H878" s="1"/>
  <c r="E879"/>
  <c r="I879" s="1"/>
  <c r="E880"/>
  <c r="I880" s="1"/>
  <c r="E881"/>
  <c r="E882"/>
  <c r="I882" s="1"/>
  <c r="F882"/>
  <c r="H882"/>
  <c r="E883"/>
  <c r="F883" s="1"/>
  <c r="I883"/>
  <c r="E884"/>
  <c r="H884" s="1"/>
  <c r="E885"/>
  <c r="I885" s="1"/>
  <c r="E886"/>
  <c r="I886" s="1"/>
  <c r="E887"/>
  <c r="F887"/>
  <c r="H887"/>
  <c r="I887"/>
  <c r="E888"/>
  <c r="F888"/>
  <c r="H888"/>
  <c r="I888"/>
  <c r="E889"/>
  <c r="E890"/>
  <c r="H890" s="1"/>
  <c r="E891"/>
  <c r="I891" s="1"/>
  <c r="E892"/>
  <c r="I892" s="1"/>
  <c r="E893"/>
  <c r="E894"/>
  <c r="I894" s="1"/>
  <c r="E895"/>
  <c r="F895" s="1"/>
  <c r="I895"/>
  <c r="E896"/>
  <c r="H896" s="1"/>
  <c r="E897"/>
  <c r="I897" s="1"/>
  <c r="E898"/>
  <c r="I898" s="1"/>
  <c r="E899"/>
  <c r="F899"/>
  <c r="H899"/>
  <c r="I899"/>
  <c r="E900"/>
  <c r="F900"/>
  <c r="H900"/>
  <c r="I900"/>
  <c r="E901"/>
  <c r="E902"/>
  <c r="H902" s="1"/>
  <c r="E903"/>
  <c r="I903" s="1"/>
  <c r="E904"/>
  <c r="I904" s="1"/>
  <c r="E905"/>
  <c r="E906"/>
  <c r="I906" s="1"/>
  <c r="E907"/>
  <c r="F907" s="1"/>
  <c r="I907"/>
  <c r="E908"/>
  <c r="H908" s="1"/>
  <c r="E909"/>
  <c r="I909" s="1"/>
  <c r="E910"/>
  <c r="I910" s="1"/>
  <c r="E911"/>
  <c r="F911"/>
  <c r="H911"/>
  <c r="I911"/>
  <c r="E912"/>
  <c r="F912"/>
  <c r="H912"/>
  <c r="I912"/>
  <c r="E913"/>
  <c r="E914"/>
  <c r="H914" s="1"/>
  <c r="E915"/>
  <c r="I915" s="1"/>
  <c r="E916"/>
  <c r="I916" s="1"/>
  <c r="E917"/>
  <c r="E918"/>
  <c r="I918" s="1"/>
  <c r="E919"/>
  <c r="F919" s="1"/>
  <c r="I919"/>
  <c r="E920"/>
  <c r="H920" s="1"/>
  <c r="I920"/>
  <c r="E921"/>
  <c r="I921" s="1"/>
  <c r="E922"/>
  <c r="I922" s="1"/>
  <c r="E923"/>
  <c r="F923"/>
  <c r="H923"/>
  <c r="I923"/>
  <c r="E924"/>
  <c r="F924"/>
  <c r="H924"/>
  <c r="I924"/>
  <c r="E925"/>
  <c r="H925"/>
  <c r="E926"/>
  <c r="H926" s="1"/>
  <c r="E927"/>
  <c r="I927" s="1"/>
  <c r="E928"/>
  <c r="I928" s="1"/>
  <c r="E929"/>
  <c r="E930"/>
  <c r="I930" s="1"/>
  <c r="F930"/>
  <c r="H930"/>
  <c r="E931"/>
  <c r="F931" s="1"/>
  <c r="I931"/>
  <c r="E932"/>
  <c r="H932" s="1"/>
  <c r="E933"/>
  <c r="I933" s="1"/>
  <c r="E934"/>
  <c r="I934" s="1"/>
  <c r="E935"/>
  <c r="F935"/>
  <c r="H935"/>
  <c r="I935"/>
  <c r="E936"/>
  <c r="F936"/>
  <c r="H936"/>
  <c r="I936"/>
  <c r="E937"/>
  <c r="E938"/>
  <c r="H938" s="1"/>
  <c r="E939"/>
  <c r="I939" s="1"/>
  <c r="E940"/>
  <c r="I940" s="1"/>
  <c r="E941"/>
  <c r="E942"/>
  <c r="I942" s="1"/>
  <c r="H942"/>
  <c r="E943"/>
  <c r="F943" s="1"/>
  <c r="I943"/>
  <c r="E944"/>
  <c r="H944" s="1"/>
  <c r="I944"/>
  <c r="E945"/>
  <c r="I945" s="1"/>
  <c r="E946"/>
  <c r="I946" s="1"/>
  <c r="E947"/>
  <c r="F947"/>
  <c r="H947"/>
  <c r="I947"/>
  <c r="E948"/>
  <c r="F948"/>
  <c r="H948"/>
  <c r="I948"/>
  <c r="E949"/>
  <c r="H949"/>
  <c r="E950"/>
  <c r="H950" s="1"/>
  <c r="E951"/>
  <c r="I951" s="1"/>
  <c r="E952"/>
  <c r="I952" s="1"/>
  <c r="E953"/>
  <c r="E954"/>
  <c r="I954" s="1"/>
  <c r="F954"/>
  <c r="H954"/>
  <c r="E955"/>
  <c r="F955" s="1"/>
  <c r="I955"/>
  <c r="E956"/>
  <c r="H956" s="1"/>
  <c r="E957"/>
  <c r="I957" s="1"/>
  <c r="E958"/>
  <c r="I958" s="1"/>
  <c r="E959"/>
  <c r="F959"/>
  <c r="H959"/>
  <c r="I959"/>
  <c r="E960"/>
  <c r="F960"/>
  <c r="H960"/>
  <c r="I960"/>
  <c r="E961"/>
  <c r="E962"/>
  <c r="H962" s="1"/>
  <c r="E963"/>
  <c r="I963" s="1"/>
  <c r="E964"/>
  <c r="I964" s="1"/>
  <c r="E965"/>
  <c r="E966"/>
  <c r="I966" s="1"/>
  <c r="E967"/>
  <c r="F967" s="1"/>
  <c r="I967"/>
  <c r="E968"/>
  <c r="H968" s="1"/>
  <c r="E969"/>
  <c r="I969" s="1"/>
  <c r="E970"/>
  <c r="I970" s="1"/>
  <c r="E971"/>
  <c r="F971"/>
  <c r="H971"/>
  <c r="I971"/>
  <c r="E972"/>
  <c r="F972"/>
  <c r="H972"/>
  <c r="I972"/>
  <c r="E973"/>
  <c r="E974"/>
  <c r="H974" s="1"/>
  <c r="E975"/>
  <c r="I975" s="1"/>
  <c r="E976"/>
  <c r="I976" s="1"/>
  <c r="E977"/>
  <c r="E978"/>
  <c r="I978" s="1"/>
  <c r="E979"/>
  <c r="F979" s="1"/>
  <c r="I979"/>
  <c r="E980"/>
  <c r="H980" s="1"/>
  <c r="E981"/>
  <c r="I981" s="1"/>
  <c r="E982"/>
  <c r="I982" s="1"/>
  <c r="E983"/>
  <c r="F983"/>
  <c r="H983"/>
  <c r="I983"/>
  <c r="E984"/>
  <c r="F984"/>
  <c r="H984"/>
  <c r="I984"/>
  <c r="E985"/>
  <c r="E986"/>
  <c r="H986" s="1"/>
  <c r="E987"/>
  <c r="I987" s="1"/>
  <c r="E988"/>
  <c r="I988" s="1"/>
  <c r="E989"/>
  <c r="E990"/>
  <c r="I990" s="1"/>
  <c r="E991"/>
  <c r="F991" s="1"/>
  <c r="I991"/>
  <c r="E992"/>
  <c r="H992" s="1"/>
  <c r="I992"/>
  <c r="E993"/>
  <c r="I993" s="1"/>
  <c r="E994"/>
  <c r="I994" s="1"/>
  <c r="E995"/>
  <c r="F995"/>
  <c r="H995"/>
  <c r="I995"/>
  <c r="E996"/>
  <c r="F996"/>
  <c r="H996"/>
  <c r="I996"/>
  <c r="E997"/>
  <c r="H997"/>
  <c r="E998"/>
  <c r="H998" s="1"/>
  <c r="E999"/>
  <c r="I999" s="1"/>
  <c r="E1000"/>
  <c r="I1000" s="1"/>
  <c r="E1001"/>
  <c r="E3" i="9"/>
  <c r="I3" s="1"/>
  <c r="E4"/>
  <c r="F4"/>
  <c r="E5"/>
  <c r="I5" s="1"/>
  <c r="E6"/>
  <c r="E7"/>
  <c r="H7" s="1"/>
  <c r="I7"/>
  <c r="E8"/>
  <c r="E9"/>
  <c r="I9" s="1"/>
  <c r="F9"/>
  <c r="E10"/>
  <c r="H10" s="1"/>
  <c r="I10"/>
  <c r="E11"/>
  <c r="E12"/>
  <c r="F12" s="1"/>
  <c r="E13"/>
  <c r="I13" s="1"/>
  <c r="F13"/>
  <c r="H13"/>
  <c r="E14"/>
  <c r="E15"/>
  <c r="I15" s="1"/>
  <c r="E16"/>
  <c r="H16" s="1"/>
  <c r="F16"/>
  <c r="I16"/>
  <c r="E17"/>
  <c r="I17" s="1"/>
  <c r="F17"/>
  <c r="H17"/>
  <c r="E18"/>
  <c r="F18" s="1"/>
  <c r="E19"/>
  <c r="E20"/>
  <c r="E21"/>
  <c r="I21" s="1"/>
  <c r="F21"/>
  <c r="H21"/>
  <c r="E22"/>
  <c r="H22" s="1"/>
  <c r="F22"/>
  <c r="I22"/>
  <c r="E23"/>
  <c r="I23" s="1"/>
  <c r="F23"/>
  <c r="H23"/>
  <c r="E24"/>
  <c r="F24" s="1"/>
  <c r="H24"/>
  <c r="I24"/>
  <c r="E25"/>
  <c r="I25" s="1"/>
  <c r="F25"/>
  <c r="H25"/>
  <c r="E26"/>
  <c r="E27"/>
  <c r="I27" s="1"/>
  <c r="E28"/>
  <c r="E29"/>
  <c r="I29" s="1"/>
  <c r="E30"/>
  <c r="F30" s="1"/>
  <c r="E31"/>
  <c r="E32"/>
  <c r="E33"/>
  <c r="I33" s="1"/>
  <c r="E34"/>
  <c r="E35"/>
  <c r="I35" s="1"/>
  <c r="H35"/>
  <c r="E36"/>
  <c r="F36" s="1"/>
  <c r="E37"/>
  <c r="F37"/>
  <c r="H37"/>
  <c r="I37"/>
  <c r="E38"/>
  <c r="E39"/>
  <c r="E40"/>
  <c r="H40" s="1"/>
  <c r="I40"/>
  <c r="E41"/>
  <c r="E42"/>
  <c r="F42" s="1"/>
  <c r="I42"/>
  <c r="E43"/>
  <c r="E44"/>
  <c r="E45"/>
  <c r="I45" s="1"/>
  <c r="E46"/>
  <c r="H46" s="1"/>
  <c r="F46"/>
  <c r="I46"/>
  <c r="E47"/>
  <c r="I47" s="1"/>
  <c r="F47"/>
  <c r="H47"/>
  <c r="E48"/>
  <c r="F48" s="1"/>
  <c r="E49"/>
  <c r="I49" s="1"/>
  <c r="F49"/>
  <c r="H49"/>
  <c r="E50"/>
  <c r="E51"/>
  <c r="I51" s="1"/>
  <c r="H51"/>
  <c r="E52"/>
  <c r="E53"/>
  <c r="F53" s="1"/>
  <c r="H53"/>
  <c r="I53"/>
  <c r="E54"/>
  <c r="F54" s="1"/>
  <c r="H54"/>
  <c r="I54"/>
  <c r="E55"/>
  <c r="I55" s="1"/>
  <c r="F55"/>
  <c r="H55"/>
  <c r="E56"/>
  <c r="E57"/>
  <c r="I57" s="1"/>
  <c r="E58"/>
  <c r="F58"/>
  <c r="E59"/>
  <c r="H59" s="1"/>
  <c r="I59"/>
  <c r="E60"/>
  <c r="E61"/>
  <c r="H61" s="1"/>
  <c r="I61"/>
  <c r="E62"/>
  <c r="E63"/>
  <c r="I63" s="1"/>
  <c r="F63"/>
  <c r="H63"/>
  <c r="E64"/>
  <c r="H64" s="1"/>
  <c r="F64"/>
  <c r="I64"/>
  <c r="E65"/>
  <c r="F65"/>
  <c r="H65"/>
  <c r="I65"/>
  <c r="E66"/>
  <c r="F66" s="1"/>
  <c r="I66"/>
  <c r="E67"/>
  <c r="F67"/>
  <c r="H67"/>
  <c r="I67"/>
  <c r="E68"/>
  <c r="E69"/>
  <c r="E70"/>
  <c r="H70" s="1"/>
  <c r="E71"/>
  <c r="E72"/>
  <c r="F72" s="1"/>
  <c r="H72"/>
  <c r="E73"/>
  <c r="E74"/>
  <c r="E75"/>
  <c r="I75" s="1"/>
  <c r="H75"/>
  <c r="E76"/>
  <c r="E77"/>
  <c r="F77"/>
  <c r="H77"/>
  <c r="I77"/>
  <c r="E78"/>
  <c r="F78" s="1"/>
  <c r="I78"/>
  <c r="E79"/>
  <c r="F79"/>
  <c r="H79"/>
  <c r="I79"/>
  <c r="E80"/>
  <c r="E81"/>
  <c r="I81" s="1"/>
  <c r="E82"/>
  <c r="H82" s="1"/>
  <c r="F82"/>
  <c r="I82"/>
  <c r="E83"/>
  <c r="F83"/>
  <c r="H83"/>
  <c r="I83"/>
  <c r="E84"/>
  <c r="F84" s="1"/>
  <c r="H84"/>
  <c r="E85"/>
  <c r="F85"/>
  <c r="H85"/>
  <c r="I85"/>
  <c r="E86"/>
  <c r="E87"/>
  <c r="E88"/>
  <c r="H88" s="1"/>
  <c r="E89"/>
  <c r="F89"/>
  <c r="E90"/>
  <c r="F90" s="1"/>
  <c r="I90"/>
  <c r="E91"/>
  <c r="E92"/>
  <c r="E93"/>
  <c r="I93" s="1"/>
  <c r="F93"/>
  <c r="E94"/>
  <c r="E95"/>
  <c r="F95"/>
  <c r="H95"/>
  <c r="I95"/>
  <c r="E96"/>
  <c r="F96" s="1"/>
  <c r="H96"/>
  <c r="E97"/>
  <c r="F97"/>
  <c r="H97"/>
  <c r="I97"/>
  <c r="E98"/>
  <c r="E99"/>
  <c r="I99" s="1"/>
  <c r="E100"/>
  <c r="H100" s="1"/>
  <c r="F100"/>
  <c r="I100"/>
  <c r="E101"/>
  <c r="F101"/>
  <c r="H101"/>
  <c r="I101"/>
  <c r="E102"/>
  <c r="F102" s="1"/>
  <c r="I102"/>
  <c r="E103"/>
  <c r="F103"/>
  <c r="H103"/>
  <c r="I103"/>
  <c r="E104"/>
  <c r="E105"/>
  <c r="E106"/>
  <c r="H106" s="1"/>
  <c r="E107"/>
  <c r="E108"/>
  <c r="F108" s="1"/>
  <c r="E109"/>
  <c r="F109"/>
  <c r="E110"/>
  <c r="E111"/>
  <c r="I111" s="1"/>
  <c r="E112"/>
  <c r="F112"/>
  <c r="E113"/>
  <c r="I113" s="1"/>
  <c r="E114"/>
  <c r="F114" s="1"/>
  <c r="E115"/>
  <c r="E116"/>
  <c r="E117"/>
  <c r="F117"/>
  <c r="E118"/>
  <c r="H118" s="1"/>
  <c r="E119"/>
  <c r="F119"/>
  <c r="E120"/>
  <c r="F120" s="1"/>
  <c r="H120"/>
  <c r="I120"/>
  <c r="E121"/>
  <c r="E122"/>
  <c r="E123"/>
  <c r="I123" s="1"/>
  <c r="E124"/>
  <c r="E125"/>
  <c r="F125"/>
  <c r="H125"/>
  <c r="I125"/>
  <c r="E126"/>
  <c r="F126" s="1"/>
  <c r="E127"/>
  <c r="H127" s="1"/>
  <c r="I127"/>
  <c r="E128"/>
  <c r="E129"/>
  <c r="I129" s="1"/>
  <c r="F129"/>
  <c r="H129"/>
  <c r="E130"/>
  <c r="H130" s="1"/>
  <c r="F130"/>
  <c r="I130"/>
  <c r="E131"/>
  <c r="F131"/>
  <c r="H131"/>
  <c r="I131"/>
  <c r="E132"/>
  <c r="H132"/>
  <c r="E133"/>
  <c r="H133" s="1"/>
  <c r="I133"/>
  <c r="E134"/>
  <c r="E135"/>
  <c r="I135" s="1"/>
  <c r="E136"/>
  <c r="H136" s="1"/>
  <c r="E137"/>
  <c r="E138"/>
  <c r="F138" s="1"/>
  <c r="E139"/>
  <c r="I139" s="1"/>
  <c r="F139"/>
  <c r="H139"/>
  <c r="E140"/>
  <c r="E141"/>
  <c r="I141" s="1"/>
  <c r="F141"/>
  <c r="H141"/>
  <c r="E142"/>
  <c r="E143"/>
  <c r="F143"/>
  <c r="H143"/>
  <c r="I143"/>
  <c r="E144"/>
  <c r="F144" s="1"/>
  <c r="H144"/>
  <c r="I144"/>
  <c r="E145"/>
  <c r="I145" s="1"/>
  <c r="F145"/>
  <c r="H145"/>
  <c r="E146"/>
  <c r="E147"/>
  <c r="I147" s="1"/>
  <c r="E148"/>
  <c r="H148" s="1"/>
  <c r="F148"/>
  <c r="I148"/>
  <c r="E149"/>
  <c r="F149"/>
  <c r="H149"/>
  <c r="I149"/>
  <c r="E150"/>
  <c r="F150" s="1"/>
  <c r="E151"/>
  <c r="I151"/>
  <c r="E152"/>
  <c r="E153"/>
  <c r="E154"/>
  <c r="H154" s="1"/>
  <c r="F154"/>
  <c r="E155"/>
  <c r="F155"/>
  <c r="E156"/>
  <c r="E157"/>
  <c r="E158"/>
  <c r="E159"/>
  <c r="I159" s="1"/>
  <c r="E160"/>
  <c r="E161"/>
  <c r="F161" s="1"/>
  <c r="H161"/>
  <c r="E162"/>
  <c r="F162" s="1"/>
  <c r="E163"/>
  <c r="H163" s="1"/>
  <c r="F163"/>
  <c r="I163"/>
  <c r="E164"/>
  <c r="E165"/>
  <c r="I165" s="1"/>
  <c r="F165"/>
  <c r="H165"/>
  <c r="E166"/>
  <c r="H166" s="1"/>
  <c r="F166"/>
  <c r="I166"/>
  <c r="E167"/>
  <c r="F167"/>
  <c r="H167"/>
  <c r="I167"/>
  <c r="E168"/>
  <c r="H168"/>
  <c r="E169"/>
  <c r="H169" s="1"/>
  <c r="F169"/>
  <c r="I169"/>
  <c r="E170"/>
  <c r="E171"/>
  <c r="I171" s="1"/>
  <c r="E172"/>
  <c r="H172" s="1"/>
  <c r="F172"/>
  <c r="E173"/>
  <c r="F173"/>
  <c r="E174"/>
  <c r="F174" s="1"/>
  <c r="E175"/>
  <c r="I175" s="1"/>
  <c r="F175"/>
  <c r="H175"/>
  <c r="E176"/>
  <c r="E177"/>
  <c r="H177"/>
  <c r="E178"/>
  <c r="E179"/>
  <c r="F179" s="1"/>
  <c r="E180"/>
  <c r="F180" s="1"/>
  <c r="H180"/>
  <c r="I180"/>
  <c r="E181"/>
  <c r="I181" s="1"/>
  <c r="F181"/>
  <c r="H181"/>
  <c r="E182"/>
  <c r="E183"/>
  <c r="I183" s="1"/>
  <c r="E184"/>
  <c r="H184" s="1"/>
  <c r="F184"/>
  <c r="I184"/>
  <c r="E185"/>
  <c r="F185"/>
  <c r="H185"/>
  <c r="I185"/>
  <c r="E186"/>
  <c r="F186" s="1"/>
  <c r="E187"/>
  <c r="I187"/>
  <c r="E188"/>
  <c r="E189"/>
  <c r="E190"/>
  <c r="H190" s="1"/>
  <c r="F190"/>
  <c r="E191"/>
  <c r="F191"/>
  <c r="E192"/>
  <c r="E193"/>
  <c r="E194"/>
  <c r="E195"/>
  <c r="I195" s="1"/>
  <c r="E196"/>
  <c r="E197"/>
  <c r="F197" s="1"/>
  <c r="H197"/>
  <c r="E198"/>
  <c r="F198" s="1"/>
  <c r="E199"/>
  <c r="H199" s="1"/>
  <c r="F199"/>
  <c r="I199"/>
  <c r="E200"/>
  <c r="E201"/>
  <c r="I201" s="1"/>
  <c r="F201"/>
  <c r="H201"/>
  <c r="E202"/>
  <c r="H202" s="1"/>
  <c r="F202"/>
  <c r="I202"/>
  <c r="E203"/>
  <c r="F203"/>
  <c r="H203"/>
  <c r="I203"/>
  <c r="E204"/>
  <c r="H204"/>
  <c r="E205"/>
  <c r="H205" s="1"/>
  <c r="F205"/>
  <c r="I205"/>
  <c r="E206"/>
  <c r="E207"/>
  <c r="I207" s="1"/>
  <c r="E208"/>
  <c r="H208" s="1"/>
  <c r="F208"/>
  <c r="E209"/>
  <c r="F209"/>
  <c r="E210"/>
  <c r="F210" s="1"/>
  <c r="H210"/>
  <c r="E211"/>
  <c r="I211" s="1"/>
  <c r="F211"/>
  <c r="H211"/>
  <c r="E212"/>
  <c r="E213"/>
  <c r="E214"/>
  <c r="H214" s="1"/>
  <c r="E215"/>
  <c r="F215"/>
  <c r="H215"/>
  <c r="I215"/>
  <c r="E216"/>
  <c r="H216"/>
  <c r="E217"/>
  <c r="H217" s="1"/>
  <c r="F217"/>
  <c r="I217"/>
  <c r="E218"/>
  <c r="E219"/>
  <c r="I219" s="1"/>
  <c r="F219"/>
  <c r="H219"/>
  <c r="E220"/>
  <c r="H220" s="1"/>
  <c r="F220"/>
  <c r="E221"/>
  <c r="E222"/>
  <c r="F222" s="1"/>
  <c r="H222"/>
  <c r="I222"/>
  <c r="E223"/>
  <c r="F223"/>
  <c r="H223"/>
  <c r="I223"/>
  <c r="E224"/>
  <c r="I224"/>
  <c r="E225"/>
  <c r="I225" s="1"/>
  <c r="E226"/>
  <c r="H226" s="1"/>
  <c r="E227"/>
  <c r="H227"/>
  <c r="E228"/>
  <c r="F228" s="1"/>
  <c r="E229"/>
  <c r="F229"/>
  <c r="H229"/>
  <c r="I229"/>
  <c r="E230"/>
  <c r="I230" s="1"/>
  <c r="E231"/>
  <c r="I231" s="1"/>
  <c r="F231"/>
  <c r="E232"/>
  <c r="E233"/>
  <c r="E234"/>
  <c r="E235"/>
  <c r="F235"/>
  <c r="E236"/>
  <c r="E237"/>
  <c r="I237" s="1"/>
  <c r="F237"/>
  <c r="H237"/>
  <c r="E238"/>
  <c r="H238" s="1"/>
  <c r="E239"/>
  <c r="H239" s="1"/>
  <c r="F239"/>
  <c r="I239"/>
  <c r="E240"/>
  <c r="E241"/>
  <c r="F241" s="1"/>
  <c r="H241"/>
  <c r="I241"/>
  <c r="E242"/>
  <c r="E243"/>
  <c r="I243" s="1"/>
  <c r="F243"/>
  <c r="E244"/>
  <c r="H244" s="1"/>
  <c r="F244"/>
  <c r="E245"/>
  <c r="F245"/>
  <c r="H245"/>
  <c r="I245"/>
  <c r="E246"/>
  <c r="H246"/>
  <c r="E247"/>
  <c r="H247" s="1"/>
  <c r="F247"/>
  <c r="I247"/>
  <c r="E248"/>
  <c r="I248" s="1"/>
  <c r="E249"/>
  <c r="I249" s="1"/>
  <c r="E250"/>
  <c r="H250" s="1"/>
  <c r="E251"/>
  <c r="I251" s="1"/>
  <c r="F251"/>
  <c r="H251"/>
  <c r="E252"/>
  <c r="F252" s="1"/>
  <c r="I252"/>
  <c r="E253"/>
  <c r="I253" s="1"/>
  <c r="F253"/>
  <c r="H253"/>
  <c r="E254"/>
  <c r="I254"/>
  <c r="E255"/>
  <c r="I255" s="1"/>
  <c r="E256"/>
  <c r="F256"/>
  <c r="E257"/>
  <c r="I257" s="1"/>
  <c r="F257"/>
  <c r="E258"/>
  <c r="F258" s="1"/>
  <c r="E259"/>
  <c r="I259"/>
  <c r="E260"/>
  <c r="I260" s="1"/>
  <c r="E261"/>
  <c r="I261" s="1"/>
  <c r="E262"/>
  <c r="H262" s="1"/>
  <c r="I262"/>
  <c r="E263"/>
  <c r="H263"/>
  <c r="E264"/>
  <c r="E265"/>
  <c r="F265" s="1"/>
  <c r="H265"/>
  <c r="E266"/>
  <c r="E267"/>
  <c r="I267" s="1"/>
  <c r="F267"/>
  <c r="E268"/>
  <c r="H268" s="1"/>
  <c r="F268"/>
  <c r="E269"/>
  <c r="I269" s="1"/>
  <c r="F269"/>
  <c r="H269"/>
  <c r="E270"/>
  <c r="F270" s="1"/>
  <c r="I270"/>
  <c r="E271"/>
  <c r="E272"/>
  <c r="I272"/>
  <c r="E273"/>
  <c r="I273" s="1"/>
  <c r="E274"/>
  <c r="H274" s="1"/>
  <c r="F274"/>
  <c r="I274"/>
  <c r="E275"/>
  <c r="I275" s="1"/>
  <c r="F275"/>
  <c r="H275"/>
  <c r="E276"/>
  <c r="F276" s="1"/>
  <c r="E277"/>
  <c r="H277" s="1"/>
  <c r="F277"/>
  <c r="I277"/>
  <c r="E278"/>
  <c r="I278" s="1"/>
  <c r="E279"/>
  <c r="I279" s="1"/>
  <c r="H279"/>
  <c r="E280"/>
  <c r="E281"/>
  <c r="F281"/>
  <c r="E282"/>
  <c r="F282" s="1"/>
  <c r="H282"/>
  <c r="E283"/>
  <c r="F283"/>
  <c r="E284"/>
  <c r="E285"/>
  <c r="I285" s="1"/>
  <c r="F285"/>
  <c r="H285"/>
  <c r="E286"/>
  <c r="H286" s="1"/>
  <c r="F286"/>
  <c r="E287"/>
  <c r="H287"/>
  <c r="E288"/>
  <c r="E289"/>
  <c r="H289" s="1"/>
  <c r="F289"/>
  <c r="I289"/>
  <c r="E290"/>
  <c r="I290" s="1"/>
  <c r="E291"/>
  <c r="I291" s="1"/>
  <c r="E292"/>
  <c r="I292"/>
  <c r="E293"/>
  <c r="E294"/>
  <c r="F294" s="1"/>
  <c r="E295"/>
  <c r="I295" s="1"/>
  <c r="F295"/>
  <c r="H295"/>
  <c r="E296"/>
  <c r="I296" s="1"/>
  <c r="E297"/>
  <c r="E298"/>
  <c r="H298" s="1"/>
  <c r="E299"/>
  <c r="I299" s="1"/>
  <c r="F299"/>
  <c r="H299"/>
  <c r="E300"/>
  <c r="F300" s="1"/>
  <c r="H300"/>
  <c r="I300"/>
  <c r="E301"/>
  <c r="F301"/>
  <c r="H301"/>
  <c r="I301"/>
  <c r="E302"/>
  <c r="E303"/>
  <c r="E304"/>
  <c r="E305"/>
  <c r="F305"/>
  <c r="E306"/>
  <c r="F306" s="1"/>
  <c r="I306"/>
  <c r="E307"/>
  <c r="I307" s="1"/>
  <c r="F307"/>
  <c r="H307"/>
  <c r="E308"/>
  <c r="I308"/>
  <c r="E309"/>
  <c r="I309" s="1"/>
  <c r="E310"/>
  <c r="E311"/>
  <c r="I311" s="1"/>
  <c r="F311"/>
  <c r="E312"/>
  <c r="F312" s="1"/>
  <c r="E313"/>
  <c r="E314"/>
  <c r="I314" s="1"/>
  <c r="E315"/>
  <c r="I315" s="1"/>
  <c r="H315"/>
  <c r="E316"/>
  <c r="H316" s="1"/>
  <c r="I316"/>
  <c r="E317"/>
  <c r="E318"/>
  <c r="E319"/>
  <c r="F319" s="1"/>
  <c r="E320"/>
  <c r="E321"/>
  <c r="I321" s="1"/>
  <c r="F321"/>
  <c r="E322"/>
  <c r="H322" s="1"/>
  <c r="E323"/>
  <c r="I323" s="1"/>
  <c r="F323"/>
  <c r="H323"/>
  <c r="E324"/>
  <c r="F324" s="1"/>
  <c r="I324"/>
  <c r="E325"/>
  <c r="I325"/>
  <c r="E326"/>
  <c r="I326"/>
  <c r="E327"/>
  <c r="I327" s="1"/>
  <c r="E328"/>
  <c r="H328" s="1"/>
  <c r="F328"/>
  <c r="I328"/>
  <c r="E329"/>
  <c r="I329" s="1"/>
  <c r="F329"/>
  <c r="H329"/>
  <c r="E330"/>
  <c r="F330" s="1"/>
  <c r="E331"/>
  <c r="H331" s="1"/>
  <c r="F331"/>
  <c r="I331"/>
  <c r="E332"/>
  <c r="I332" s="1"/>
  <c r="E333"/>
  <c r="I333" s="1"/>
  <c r="H333"/>
  <c r="E334"/>
  <c r="E335"/>
  <c r="E336"/>
  <c r="F336" s="1"/>
  <c r="H336"/>
  <c r="E337"/>
  <c r="E338"/>
  <c r="E339"/>
  <c r="I339" s="1"/>
  <c r="F339"/>
  <c r="H339"/>
  <c r="E340"/>
  <c r="H340" s="1"/>
  <c r="F340"/>
  <c r="E341"/>
  <c r="E342"/>
  <c r="E343"/>
  <c r="H343" s="1"/>
  <c r="F343"/>
  <c r="I343"/>
  <c r="E344"/>
  <c r="I344" s="1"/>
  <c r="E345"/>
  <c r="I345" s="1"/>
  <c r="E346"/>
  <c r="I346"/>
  <c r="E347"/>
  <c r="E348"/>
  <c r="F348" s="1"/>
  <c r="E349"/>
  <c r="I349" s="1"/>
  <c r="F349"/>
  <c r="H349"/>
  <c r="E350"/>
  <c r="I350" s="1"/>
  <c r="E351"/>
  <c r="E352"/>
  <c r="H352" s="1"/>
  <c r="I352"/>
  <c r="E353"/>
  <c r="I353" s="1"/>
  <c r="F353"/>
  <c r="H353"/>
  <c r="E354"/>
  <c r="F354" s="1"/>
  <c r="H354"/>
  <c r="I354"/>
  <c r="E355"/>
  <c r="F355"/>
  <c r="H355"/>
  <c r="I355"/>
  <c r="E356"/>
  <c r="E357"/>
  <c r="E358"/>
  <c r="E359"/>
  <c r="F359"/>
  <c r="E360"/>
  <c r="E361"/>
  <c r="E362"/>
  <c r="I362"/>
  <c r="E363"/>
  <c r="I363" s="1"/>
  <c r="E364"/>
  <c r="H364" s="1"/>
  <c r="E365"/>
  <c r="H365" s="1"/>
  <c r="F365"/>
  <c r="I365"/>
  <c r="E366"/>
  <c r="E367"/>
  <c r="H367" s="1"/>
  <c r="F367"/>
  <c r="I367"/>
  <c r="E368"/>
  <c r="I368" s="1"/>
  <c r="E369"/>
  <c r="I369" s="1"/>
  <c r="E370"/>
  <c r="I370"/>
  <c r="E371"/>
  <c r="E372"/>
  <c r="F372" s="1"/>
  <c r="E373"/>
  <c r="I373" s="1"/>
  <c r="F373"/>
  <c r="H373"/>
  <c r="E374"/>
  <c r="I374" s="1"/>
  <c r="E375"/>
  <c r="E376"/>
  <c r="H376" s="1"/>
  <c r="E377"/>
  <c r="I377" s="1"/>
  <c r="F377"/>
  <c r="H377"/>
  <c r="E378"/>
  <c r="F378" s="1"/>
  <c r="H378"/>
  <c r="I378"/>
  <c r="E379"/>
  <c r="F379"/>
  <c r="H379"/>
  <c r="I379"/>
  <c r="E380"/>
  <c r="E381"/>
  <c r="E382"/>
  <c r="E383"/>
  <c r="F383"/>
  <c r="E384"/>
  <c r="F384" s="1"/>
  <c r="I384"/>
  <c r="E385"/>
  <c r="I385" s="1"/>
  <c r="F385"/>
  <c r="H385"/>
  <c r="E386"/>
  <c r="I386"/>
  <c r="E387"/>
  <c r="H387" s="1"/>
  <c r="E388"/>
  <c r="I388" s="1"/>
  <c r="E389"/>
  <c r="I389"/>
  <c r="E390"/>
  <c r="I390" s="1"/>
  <c r="F390"/>
  <c r="H390"/>
  <c r="E391"/>
  <c r="F391" s="1"/>
  <c r="H391"/>
  <c r="E392"/>
  <c r="F392" s="1"/>
  <c r="E393"/>
  <c r="E394"/>
  <c r="I394" s="1"/>
  <c r="E395"/>
  <c r="F395" s="1"/>
  <c r="E396"/>
  <c r="F396"/>
  <c r="H396"/>
  <c r="I396"/>
  <c r="E397"/>
  <c r="E398"/>
  <c r="E399"/>
  <c r="E400"/>
  <c r="I400" s="1"/>
  <c r="E401"/>
  <c r="E402"/>
  <c r="I402" s="1"/>
  <c r="F402"/>
  <c r="H402"/>
  <c r="E403"/>
  <c r="F403" s="1"/>
  <c r="H403"/>
  <c r="E404"/>
  <c r="E405"/>
  <c r="E406"/>
  <c r="I406" s="1"/>
  <c r="E407"/>
  <c r="F407" s="1"/>
  <c r="E408"/>
  <c r="F408"/>
  <c r="H408"/>
  <c r="I408"/>
  <c r="E409"/>
  <c r="H409"/>
  <c r="E410"/>
  <c r="E411"/>
  <c r="E412"/>
  <c r="I412" s="1"/>
  <c r="E413"/>
  <c r="E414"/>
  <c r="I414" s="1"/>
  <c r="F414"/>
  <c r="H414"/>
  <c r="E415"/>
  <c r="F415" s="1"/>
  <c r="H415"/>
  <c r="E416"/>
  <c r="E417"/>
  <c r="E418"/>
  <c r="I418" s="1"/>
  <c r="E419"/>
  <c r="F419" s="1"/>
  <c r="H419"/>
  <c r="I419"/>
  <c r="E420"/>
  <c r="F420"/>
  <c r="H420"/>
  <c r="I420"/>
  <c r="E421"/>
  <c r="H421"/>
  <c r="E422"/>
  <c r="E423"/>
  <c r="E424"/>
  <c r="I424" s="1"/>
  <c r="E425"/>
  <c r="I425"/>
  <c r="E426"/>
  <c r="I426" s="1"/>
  <c r="F426"/>
  <c r="H426"/>
  <c r="E427"/>
  <c r="F427" s="1"/>
  <c r="H427"/>
  <c r="E428"/>
  <c r="I428"/>
  <c r="E429"/>
  <c r="H429" s="1"/>
  <c r="F429"/>
  <c r="E430"/>
  <c r="E431"/>
  <c r="I431" s="1"/>
  <c r="F431"/>
  <c r="H431"/>
  <c r="E432"/>
  <c r="H432" s="1"/>
  <c r="F432"/>
  <c r="I432"/>
  <c r="E433"/>
  <c r="E434"/>
  <c r="I434" s="1"/>
  <c r="E435"/>
  <c r="H435" s="1"/>
  <c r="E436"/>
  <c r="E437"/>
  <c r="H437" s="1"/>
  <c r="F437"/>
  <c r="I437"/>
  <c r="E438"/>
  <c r="E439"/>
  <c r="F439" s="1"/>
  <c r="H439"/>
  <c r="I439"/>
  <c r="E440"/>
  <c r="I440"/>
  <c r="E441"/>
  <c r="E442"/>
  <c r="E443"/>
  <c r="E444"/>
  <c r="I444" s="1"/>
  <c r="F444"/>
  <c r="H444"/>
  <c r="E445"/>
  <c r="F445" s="1"/>
  <c r="H445"/>
  <c r="E446"/>
  <c r="I446"/>
  <c r="E447"/>
  <c r="H447" s="1"/>
  <c r="F447"/>
  <c r="E448"/>
  <c r="E449"/>
  <c r="I449" s="1"/>
  <c r="F449"/>
  <c r="H449"/>
  <c r="E450"/>
  <c r="H450" s="1"/>
  <c r="F450"/>
  <c r="I450"/>
  <c r="E451"/>
  <c r="E452"/>
  <c r="I452" s="1"/>
  <c r="E453"/>
  <c r="H453" s="1"/>
  <c r="F453"/>
  <c r="E454"/>
  <c r="E455"/>
  <c r="H455" s="1"/>
  <c r="F455"/>
  <c r="I455"/>
  <c r="E456"/>
  <c r="I456"/>
  <c r="E457"/>
  <c r="F457" s="1"/>
  <c r="H457"/>
  <c r="I457"/>
  <c r="E458"/>
  <c r="I458"/>
  <c r="E459"/>
  <c r="E460"/>
  <c r="E461"/>
  <c r="E462"/>
  <c r="I462" s="1"/>
  <c r="F462"/>
  <c r="H462"/>
  <c r="E463"/>
  <c r="F463" s="1"/>
  <c r="H463"/>
  <c r="E464"/>
  <c r="I464" s="1"/>
  <c r="E465"/>
  <c r="H465" s="1"/>
  <c r="F465"/>
  <c r="E466"/>
  <c r="E467"/>
  <c r="I467" s="1"/>
  <c r="F467"/>
  <c r="H467"/>
  <c r="E468"/>
  <c r="H468" s="1"/>
  <c r="F468"/>
  <c r="I468"/>
  <c r="E469"/>
  <c r="E470"/>
  <c r="E471"/>
  <c r="E472"/>
  <c r="F472"/>
  <c r="E473"/>
  <c r="F473"/>
  <c r="H473"/>
  <c r="I473"/>
  <c r="E474"/>
  <c r="F474"/>
  <c r="E475"/>
  <c r="I475"/>
  <c r="E476"/>
  <c r="E477"/>
  <c r="F477"/>
  <c r="E478"/>
  <c r="E479"/>
  <c r="I479" s="1"/>
  <c r="F479"/>
  <c r="H479"/>
  <c r="E480"/>
  <c r="H480" s="1"/>
  <c r="F480"/>
  <c r="I480"/>
  <c r="E481"/>
  <c r="E482"/>
  <c r="I482" s="1"/>
  <c r="E483"/>
  <c r="E484"/>
  <c r="E485"/>
  <c r="F485"/>
  <c r="H485"/>
  <c r="I485"/>
  <c r="E486"/>
  <c r="E487"/>
  <c r="I487"/>
  <c r="E488"/>
  <c r="E489"/>
  <c r="E490"/>
  <c r="F490"/>
  <c r="E491"/>
  <c r="I491" s="1"/>
  <c r="F491"/>
  <c r="H491"/>
  <c r="E492"/>
  <c r="H492" s="1"/>
  <c r="F492"/>
  <c r="I492"/>
  <c r="E493"/>
  <c r="E494"/>
  <c r="E495"/>
  <c r="F495"/>
  <c r="E496"/>
  <c r="E497"/>
  <c r="F497"/>
  <c r="H497"/>
  <c r="I497"/>
  <c r="E498"/>
  <c r="E499"/>
  <c r="I499"/>
  <c r="E500"/>
  <c r="I500" s="1"/>
  <c r="E501"/>
  <c r="E502"/>
  <c r="E503"/>
  <c r="I503" s="1"/>
  <c r="F503"/>
  <c r="H503"/>
  <c r="E504"/>
  <c r="H504" s="1"/>
  <c r="F504"/>
  <c r="I504"/>
  <c r="E505"/>
  <c r="E506"/>
  <c r="E507"/>
  <c r="E508"/>
  <c r="F508" s="1"/>
  <c r="E509"/>
  <c r="F509"/>
  <c r="H509"/>
  <c r="I509"/>
  <c r="E510"/>
  <c r="E511"/>
  <c r="E512"/>
  <c r="E513"/>
  <c r="F513"/>
  <c r="E514"/>
  <c r="E515"/>
  <c r="I515" s="1"/>
  <c r="F515"/>
  <c r="H515"/>
  <c r="E516"/>
  <c r="H516" s="1"/>
  <c r="F516"/>
  <c r="I516"/>
  <c r="E517"/>
  <c r="E518"/>
  <c r="I518" s="1"/>
  <c r="E519"/>
  <c r="E520"/>
  <c r="E521"/>
  <c r="F521"/>
  <c r="H521"/>
  <c r="I521"/>
  <c r="E522"/>
  <c r="F522"/>
  <c r="E523"/>
  <c r="E524"/>
  <c r="E525"/>
  <c r="E526"/>
  <c r="F526"/>
  <c r="E527"/>
  <c r="I527" s="1"/>
  <c r="F527"/>
  <c r="H527"/>
  <c r="E528"/>
  <c r="H528" s="1"/>
  <c r="F528"/>
  <c r="I528"/>
  <c r="E529"/>
  <c r="E530"/>
  <c r="E531"/>
  <c r="F531"/>
  <c r="E532"/>
  <c r="E533"/>
  <c r="F533"/>
  <c r="H533"/>
  <c r="I533"/>
  <c r="E534"/>
  <c r="E535"/>
  <c r="I535"/>
  <c r="E536"/>
  <c r="I536" s="1"/>
  <c r="E537"/>
  <c r="E538"/>
  <c r="E539"/>
  <c r="I539" s="1"/>
  <c r="F539"/>
  <c r="H539"/>
  <c r="E540"/>
  <c r="H540" s="1"/>
  <c r="F540"/>
  <c r="I540"/>
  <c r="E541"/>
  <c r="E542"/>
  <c r="E543"/>
  <c r="E544"/>
  <c r="F544"/>
  <c r="E545"/>
  <c r="F545"/>
  <c r="H545"/>
  <c r="I545"/>
  <c r="E546"/>
  <c r="F546"/>
  <c r="E547"/>
  <c r="E548"/>
  <c r="E549"/>
  <c r="F549"/>
  <c r="E550"/>
  <c r="I550" s="1"/>
  <c r="E551"/>
  <c r="I551" s="1"/>
  <c r="F551"/>
  <c r="H551"/>
  <c r="E552"/>
  <c r="H552" s="1"/>
  <c r="F552"/>
  <c r="I552"/>
  <c r="E553"/>
  <c r="E554"/>
  <c r="H554" s="1"/>
  <c r="E555"/>
  <c r="F555"/>
  <c r="E556"/>
  <c r="I556" s="1"/>
  <c r="E557"/>
  <c r="F557"/>
  <c r="H557"/>
  <c r="I557"/>
  <c r="E558"/>
  <c r="E559"/>
  <c r="F559" s="1"/>
  <c r="E560"/>
  <c r="H560" s="1"/>
  <c r="F560"/>
  <c r="E561"/>
  <c r="E562"/>
  <c r="I562" s="1"/>
  <c r="F562"/>
  <c r="E563"/>
  <c r="F563" s="1"/>
  <c r="E564"/>
  <c r="F564"/>
  <c r="H564"/>
  <c r="I564"/>
  <c r="E565"/>
  <c r="F565" s="1"/>
  <c r="E566"/>
  <c r="E567"/>
  <c r="H567" s="1"/>
  <c r="F567"/>
  <c r="E568"/>
  <c r="I568" s="1"/>
  <c r="E569"/>
  <c r="E570"/>
  <c r="H570" s="1"/>
  <c r="F570"/>
  <c r="I570"/>
  <c r="E571"/>
  <c r="E572"/>
  <c r="I572" s="1"/>
  <c r="E573"/>
  <c r="H573" s="1"/>
  <c r="F573"/>
  <c r="E574"/>
  <c r="E575"/>
  <c r="E576"/>
  <c r="E577"/>
  <c r="F577" s="1"/>
  <c r="E578"/>
  <c r="I578" s="1"/>
  <c r="F578"/>
  <c r="H578"/>
  <c r="E579"/>
  <c r="H579" s="1"/>
  <c r="E580"/>
  <c r="I580" s="1"/>
  <c r="E581"/>
  <c r="I581" s="1"/>
  <c r="F581"/>
  <c r="H581"/>
  <c r="E582"/>
  <c r="H582" s="1"/>
  <c r="F582"/>
  <c r="I582"/>
  <c r="E583"/>
  <c r="F583" s="1"/>
  <c r="E584"/>
  <c r="H584" s="1"/>
  <c r="E585"/>
  <c r="H585" s="1"/>
  <c r="F585"/>
  <c r="E586"/>
  <c r="I586" s="1"/>
  <c r="E587"/>
  <c r="F587" s="1"/>
  <c r="E588"/>
  <c r="F588"/>
  <c r="H588"/>
  <c r="I588"/>
  <c r="E589"/>
  <c r="E590"/>
  <c r="I590" s="1"/>
  <c r="E591"/>
  <c r="H591" s="1"/>
  <c r="E592"/>
  <c r="I592" s="1"/>
  <c r="F592"/>
  <c r="H592"/>
  <c r="E593"/>
  <c r="H593" s="1"/>
  <c r="I593"/>
  <c r="E594"/>
  <c r="F594" s="1"/>
  <c r="I594"/>
  <c r="E595"/>
  <c r="F595" s="1"/>
  <c r="E596"/>
  <c r="H596" s="1"/>
  <c r="F596"/>
  <c r="I596"/>
  <c r="E597"/>
  <c r="H597" s="1"/>
  <c r="E598"/>
  <c r="I598" s="1"/>
  <c r="E599"/>
  <c r="H599" s="1"/>
  <c r="F599"/>
  <c r="I599"/>
  <c r="E600"/>
  <c r="E601"/>
  <c r="F601" s="1"/>
  <c r="E602"/>
  <c r="H602" s="1"/>
  <c r="E603"/>
  <c r="E604"/>
  <c r="I604" s="1"/>
  <c r="E605"/>
  <c r="F605" s="1"/>
  <c r="E606"/>
  <c r="F606"/>
  <c r="E607"/>
  <c r="E608"/>
  <c r="I608" s="1"/>
  <c r="E609"/>
  <c r="H609" s="1"/>
  <c r="E610"/>
  <c r="I610" s="1"/>
  <c r="F610"/>
  <c r="E611"/>
  <c r="H611" s="1"/>
  <c r="E612"/>
  <c r="F612"/>
  <c r="H612"/>
  <c r="I612"/>
  <c r="E613"/>
  <c r="F613" s="1"/>
  <c r="E614"/>
  <c r="I614"/>
  <c r="E615"/>
  <c r="H615" s="1"/>
  <c r="I615"/>
  <c r="E616"/>
  <c r="F616" s="1"/>
  <c r="E617"/>
  <c r="F617" s="1"/>
  <c r="E618"/>
  <c r="I618" s="1"/>
  <c r="F618"/>
  <c r="E619"/>
  <c r="E620"/>
  <c r="I620"/>
  <c r="E621"/>
  <c r="E622"/>
  <c r="F622" s="1"/>
  <c r="E623"/>
  <c r="F623" s="1"/>
  <c r="E624"/>
  <c r="I624" s="1"/>
  <c r="F624"/>
  <c r="H624"/>
  <c r="E625"/>
  <c r="F625"/>
  <c r="H625"/>
  <c r="I625"/>
  <c r="E626"/>
  <c r="H626"/>
  <c r="E627"/>
  <c r="H627" s="1"/>
  <c r="I627"/>
  <c r="E628"/>
  <c r="F628" s="1"/>
  <c r="E629"/>
  <c r="F629" s="1"/>
  <c r="E630"/>
  <c r="E631"/>
  <c r="F631" s="1"/>
  <c r="E632"/>
  <c r="F632" s="1"/>
  <c r="H632"/>
  <c r="I632"/>
  <c r="E633"/>
  <c r="H633" s="1"/>
  <c r="I633"/>
  <c r="E634"/>
  <c r="F634" s="1"/>
  <c r="E635"/>
  <c r="F635" s="1"/>
  <c r="E636"/>
  <c r="I636" s="1"/>
  <c r="F636"/>
  <c r="E637"/>
  <c r="E638"/>
  <c r="E639"/>
  <c r="E640"/>
  <c r="F640" s="1"/>
  <c r="E641"/>
  <c r="F641" s="1"/>
  <c r="E642"/>
  <c r="I642" s="1"/>
  <c r="F642"/>
  <c r="H642"/>
  <c r="E643"/>
  <c r="F643"/>
  <c r="H643"/>
  <c r="I643"/>
  <c r="E644"/>
  <c r="E645"/>
  <c r="H645" s="1"/>
  <c r="I645"/>
  <c r="E646"/>
  <c r="F646" s="1"/>
  <c r="E647"/>
  <c r="F647" s="1"/>
  <c r="E648"/>
  <c r="E649"/>
  <c r="F649" s="1"/>
  <c r="H649"/>
  <c r="I649"/>
  <c r="E650"/>
  <c r="F650" s="1"/>
  <c r="H650"/>
  <c r="I650"/>
  <c r="E651"/>
  <c r="H651" s="1"/>
  <c r="I651"/>
  <c r="E652"/>
  <c r="F652" s="1"/>
  <c r="E653"/>
  <c r="F653" s="1"/>
  <c r="E654"/>
  <c r="E655"/>
  <c r="H655" s="1"/>
  <c r="F655"/>
  <c r="I655"/>
  <c r="E656"/>
  <c r="I656"/>
  <c r="E657"/>
  <c r="E658"/>
  <c r="F658" s="1"/>
  <c r="E659"/>
  <c r="F659" s="1"/>
  <c r="E660"/>
  <c r="I660" s="1"/>
  <c r="F660"/>
  <c r="H660"/>
  <c r="E661"/>
  <c r="F661"/>
  <c r="H661"/>
  <c r="I661"/>
  <c r="E662"/>
  <c r="H662"/>
  <c r="E663"/>
  <c r="H663" s="1"/>
  <c r="E664"/>
  <c r="F664" s="1"/>
  <c r="E665"/>
  <c r="F665" s="1"/>
  <c r="E666"/>
  <c r="H666"/>
  <c r="E667"/>
  <c r="F667" s="1"/>
  <c r="I667"/>
  <c r="E668"/>
  <c r="F668" s="1"/>
  <c r="H668"/>
  <c r="I668"/>
  <c r="E669"/>
  <c r="H669" s="1"/>
  <c r="I669"/>
  <c r="E670"/>
  <c r="F670" s="1"/>
  <c r="E671"/>
  <c r="F671" s="1"/>
  <c r="E672"/>
  <c r="F672"/>
  <c r="E673"/>
  <c r="H673" s="1"/>
  <c r="I673"/>
  <c r="E674"/>
  <c r="E675"/>
  <c r="E676"/>
  <c r="F676" s="1"/>
  <c r="E677"/>
  <c r="F677" s="1"/>
  <c r="E678"/>
  <c r="I678" s="1"/>
  <c r="F678"/>
  <c r="H678"/>
  <c r="E679"/>
  <c r="F679"/>
  <c r="H679"/>
  <c r="I679"/>
  <c r="E680"/>
  <c r="E681"/>
  <c r="H681" s="1"/>
  <c r="E682"/>
  <c r="F682" s="1"/>
  <c r="E683"/>
  <c r="F683" s="1"/>
  <c r="E684"/>
  <c r="E685"/>
  <c r="F685" s="1"/>
  <c r="E686"/>
  <c r="F686" s="1"/>
  <c r="H686"/>
  <c r="I686"/>
  <c r="E687"/>
  <c r="H687" s="1"/>
  <c r="I687"/>
  <c r="E688"/>
  <c r="F688" s="1"/>
  <c r="E689"/>
  <c r="F689" s="1"/>
  <c r="E690"/>
  <c r="E691"/>
  <c r="H691" s="1"/>
  <c r="E692"/>
  <c r="I692"/>
  <c r="E693"/>
  <c r="E694"/>
  <c r="F694" s="1"/>
  <c r="E695"/>
  <c r="F695" s="1"/>
  <c r="E696"/>
  <c r="I696" s="1"/>
  <c r="F696"/>
  <c r="H696"/>
  <c r="E697"/>
  <c r="F697"/>
  <c r="H697"/>
  <c r="I697"/>
  <c r="E698"/>
  <c r="H698"/>
  <c r="E699"/>
  <c r="H699" s="1"/>
  <c r="I699"/>
  <c r="E700"/>
  <c r="F700" s="1"/>
  <c r="E701"/>
  <c r="E702"/>
  <c r="H702"/>
  <c r="E703"/>
  <c r="F703" s="1"/>
  <c r="H703"/>
  <c r="I703"/>
  <c r="E704"/>
  <c r="F704" s="1"/>
  <c r="H704"/>
  <c r="I704"/>
  <c r="E705"/>
  <c r="H705" s="1"/>
  <c r="I705"/>
  <c r="E706"/>
  <c r="F706" s="1"/>
  <c r="E707"/>
  <c r="E708"/>
  <c r="F708"/>
  <c r="E709"/>
  <c r="H709" s="1"/>
  <c r="F709"/>
  <c r="I709"/>
  <c r="E710"/>
  <c r="I710"/>
  <c r="E711"/>
  <c r="E712"/>
  <c r="F712" s="1"/>
  <c r="E713"/>
  <c r="E714"/>
  <c r="I714" s="1"/>
  <c r="F714"/>
  <c r="H714"/>
  <c r="E715"/>
  <c r="F715"/>
  <c r="H715"/>
  <c r="I715"/>
  <c r="E716"/>
  <c r="H716"/>
  <c r="E717"/>
  <c r="H717" s="1"/>
  <c r="E718"/>
  <c r="F718" s="1"/>
  <c r="E719"/>
  <c r="E720"/>
  <c r="H720"/>
  <c r="E721"/>
  <c r="F721" s="1"/>
  <c r="E722"/>
  <c r="F722" s="1"/>
  <c r="H722"/>
  <c r="I722"/>
  <c r="E723"/>
  <c r="H723" s="1"/>
  <c r="I723"/>
  <c r="E724"/>
  <c r="F724" s="1"/>
  <c r="E725"/>
  <c r="E726"/>
  <c r="F726"/>
  <c r="E727"/>
  <c r="H727" s="1"/>
  <c r="I727"/>
  <c r="E728"/>
  <c r="E729"/>
  <c r="E730"/>
  <c r="F730" s="1"/>
  <c r="E731"/>
  <c r="E732"/>
  <c r="I732" s="1"/>
  <c r="F732"/>
  <c r="H732"/>
  <c r="E733"/>
  <c r="F733"/>
  <c r="H733"/>
  <c r="I733"/>
  <c r="E734"/>
  <c r="E735"/>
  <c r="H735" s="1"/>
  <c r="I735"/>
  <c r="E736"/>
  <c r="E737"/>
  <c r="E738"/>
  <c r="E739"/>
  <c r="F739" s="1"/>
  <c r="H739"/>
  <c r="E740"/>
  <c r="F740" s="1"/>
  <c r="H740"/>
  <c r="I740"/>
  <c r="E741"/>
  <c r="H741" s="1"/>
  <c r="I741"/>
  <c r="E742"/>
  <c r="E743"/>
  <c r="F743"/>
  <c r="E744"/>
  <c r="H744"/>
  <c r="E745"/>
  <c r="F745" s="1"/>
  <c r="I745"/>
  <c r="E746"/>
  <c r="F746" s="1"/>
  <c r="H746"/>
  <c r="I746"/>
  <c r="E747"/>
  <c r="H747" s="1"/>
  <c r="I747"/>
  <c r="E748"/>
  <c r="E749"/>
  <c r="E750"/>
  <c r="F750"/>
  <c r="E751"/>
  <c r="H751" s="1"/>
  <c r="I751"/>
  <c r="E752"/>
  <c r="E753"/>
  <c r="E754"/>
  <c r="E755"/>
  <c r="E756"/>
  <c r="I756" s="1"/>
  <c r="F756"/>
  <c r="H756"/>
  <c r="E757"/>
  <c r="I757" s="1"/>
  <c r="F757"/>
  <c r="H757"/>
  <c r="E758"/>
  <c r="H758" s="1"/>
  <c r="E759"/>
  <c r="H759" s="1"/>
  <c r="I759"/>
  <c r="E760"/>
  <c r="E761"/>
  <c r="F761"/>
  <c r="E762"/>
  <c r="I762" s="1"/>
  <c r="F762"/>
  <c r="H762"/>
  <c r="E763"/>
  <c r="F763"/>
  <c r="H763"/>
  <c r="I763"/>
  <c r="E764"/>
  <c r="H764"/>
  <c r="E765"/>
  <c r="H765" s="1"/>
  <c r="E766"/>
  <c r="E767"/>
  <c r="F767" s="1"/>
  <c r="E768"/>
  <c r="I768" s="1"/>
  <c r="F768"/>
  <c r="H768"/>
  <c r="E769"/>
  <c r="I769" s="1"/>
  <c r="F769"/>
  <c r="H769"/>
  <c r="E770"/>
  <c r="H770"/>
  <c r="E771"/>
  <c r="E772"/>
  <c r="E773"/>
  <c r="F773"/>
  <c r="E774"/>
  <c r="H774"/>
  <c r="E775"/>
  <c r="F775" s="1"/>
  <c r="H775"/>
  <c r="I775"/>
  <c r="E776"/>
  <c r="F776" s="1"/>
  <c r="H776"/>
  <c r="I776"/>
  <c r="E777"/>
  <c r="I777"/>
  <c r="E778"/>
  <c r="F778" s="1"/>
  <c r="E779"/>
  <c r="E780"/>
  <c r="H780"/>
  <c r="E781"/>
  <c r="F781" s="1"/>
  <c r="H781"/>
  <c r="I781"/>
  <c r="E782"/>
  <c r="F782" s="1"/>
  <c r="H782"/>
  <c r="I782"/>
  <c r="E783"/>
  <c r="E784"/>
  <c r="F784" s="1"/>
  <c r="E785"/>
  <c r="E786"/>
  <c r="F786"/>
  <c r="E787"/>
  <c r="H787" s="1"/>
  <c r="F787"/>
  <c r="I787"/>
  <c r="E788"/>
  <c r="I788"/>
  <c r="E789"/>
  <c r="I789" s="1"/>
  <c r="E790"/>
  <c r="E791"/>
  <c r="F791" s="1"/>
  <c r="E792"/>
  <c r="E793"/>
  <c r="H793" s="1"/>
  <c r="F793"/>
  <c r="E794"/>
  <c r="I794" s="1"/>
  <c r="E795"/>
  <c r="I795" s="1"/>
  <c r="E796"/>
  <c r="E797"/>
  <c r="E798"/>
  <c r="I798" s="1"/>
  <c r="F798"/>
  <c r="H798"/>
  <c r="E799"/>
  <c r="I799" s="1"/>
  <c r="F799"/>
  <c r="H799"/>
  <c r="E800"/>
  <c r="H800"/>
  <c r="E801"/>
  <c r="E802"/>
  <c r="F802" s="1"/>
  <c r="E803"/>
  <c r="F803"/>
  <c r="E804"/>
  <c r="I804" s="1"/>
  <c r="F804"/>
  <c r="H804"/>
  <c r="E805"/>
  <c r="F805"/>
  <c r="H805"/>
  <c r="I805"/>
  <c r="E806"/>
  <c r="E807"/>
  <c r="E808"/>
  <c r="E809"/>
  <c r="F809"/>
  <c r="E810"/>
  <c r="H810" s="1"/>
  <c r="E811"/>
  <c r="F811" s="1"/>
  <c r="H811"/>
  <c r="I811"/>
  <c r="E812"/>
  <c r="F812" s="1"/>
  <c r="H812"/>
  <c r="I812"/>
  <c r="E813"/>
  <c r="I813"/>
  <c r="E814"/>
  <c r="F814" s="1"/>
  <c r="E815"/>
  <c r="E816"/>
  <c r="H816" s="1"/>
  <c r="E817"/>
  <c r="F817" s="1"/>
  <c r="H817"/>
  <c r="I817"/>
  <c r="E818"/>
  <c r="F818" s="1"/>
  <c r="H818"/>
  <c r="I818"/>
  <c r="E819"/>
  <c r="E820"/>
  <c r="F820"/>
  <c r="E821"/>
  <c r="E822"/>
  <c r="F822" s="1"/>
  <c r="E823"/>
  <c r="H823" s="1"/>
  <c r="F823"/>
  <c r="I823"/>
  <c r="E824"/>
  <c r="I824"/>
  <c r="E825"/>
  <c r="I825" s="1"/>
  <c r="E826"/>
  <c r="E827"/>
  <c r="F827" s="1"/>
  <c r="E828"/>
  <c r="E829"/>
  <c r="H829" s="1"/>
  <c r="E830"/>
  <c r="I830"/>
  <c r="E831"/>
  <c r="I831" s="1"/>
  <c r="E832"/>
  <c r="E833"/>
  <c r="E834"/>
  <c r="I834" s="1"/>
  <c r="F834"/>
  <c r="H834"/>
  <c r="E835"/>
  <c r="F835"/>
  <c r="H835"/>
  <c r="I835"/>
  <c r="E836"/>
  <c r="H836"/>
  <c r="E837"/>
  <c r="E838"/>
  <c r="F838" s="1"/>
  <c r="E839"/>
  <c r="F839"/>
  <c r="E840"/>
  <c r="I840" s="1"/>
  <c r="F840"/>
  <c r="H840"/>
  <c r="E841"/>
  <c r="I841" s="1"/>
  <c r="H841"/>
  <c r="E842"/>
  <c r="F842" s="1"/>
  <c r="I842"/>
  <c r="E843"/>
  <c r="E844"/>
  <c r="E845"/>
  <c r="F845"/>
  <c r="E846"/>
  <c r="I846" s="1"/>
  <c r="F846"/>
  <c r="H846"/>
  <c r="E847"/>
  <c r="F847" s="1"/>
  <c r="H847"/>
  <c r="I847"/>
  <c r="E848"/>
  <c r="F848" s="1"/>
  <c r="H848"/>
  <c r="I848"/>
  <c r="E849"/>
  <c r="I849"/>
  <c r="E850"/>
  <c r="F850" s="1"/>
  <c r="E851"/>
  <c r="E852"/>
  <c r="E853"/>
  <c r="H853" s="1"/>
  <c r="F853"/>
  <c r="I853"/>
  <c r="E854"/>
  <c r="F854" s="1"/>
  <c r="H854"/>
  <c r="I854"/>
  <c r="E855"/>
  <c r="E856"/>
  <c r="F856"/>
  <c r="E857"/>
  <c r="E858"/>
  <c r="I858" s="1"/>
  <c r="F858"/>
  <c r="H858"/>
  <c r="E859"/>
  <c r="H859" s="1"/>
  <c r="F859"/>
  <c r="I859"/>
  <c r="E860"/>
  <c r="F860" s="1"/>
  <c r="H860"/>
  <c r="I860"/>
  <c r="E861"/>
  <c r="I861" s="1"/>
  <c r="E862"/>
  <c r="E863"/>
  <c r="F863" s="1"/>
  <c r="E864"/>
  <c r="F864"/>
  <c r="E865"/>
  <c r="I865" s="1"/>
  <c r="F865"/>
  <c r="H865"/>
  <c r="E866"/>
  <c r="I866"/>
  <c r="E867"/>
  <c r="I867"/>
  <c r="E868"/>
  <c r="E869"/>
  <c r="E870"/>
  <c r="I870" s="1"/>
  <c r="F870"/>
  <c r="H870"/>
  <c r="E871"/>
  <c r="I871" s="1"/>
  <c r="E872"/>
  <c r="F872" s="1"/>
  <c r="H872"/>
  <c r="E873"/>
  <c r="F873" s="1"/>
  <c r="E874"/>
  <c r="E875"/>
  <c r="E876"/>
  <c r="I876" s="1"/>
  <c r="H876"/>
  <c r="E877"/>
  <c r="F877"/>
  <c r="H877"/>
  <c r="I877"/>
  <c r="E878"/>
  <c r="H878"/>
  <c r="E879"/>
  <c r="F879" s="1"/>
  <c r="I879"/>
  <c r="E880"/>
  <c r="H880" s="1"/>
  <c r="E881"/>
  <c r="F881"/>
  <c r="E882"/>
  <c r="I882" s="1"/>
  <c r="F882"/>
  <c r="E883"/>
  <c r="H883" s="1"/>
  <c r="I883"/>
  <c r="E884"/>
  <c r="F884" s="1"/>
  <c r="I884"/>
  <c r="E885"/>
  <c r="F885" s="1"/>
  <c r="E886"/>
  <c r="H886" s="1"/>
  <c r="E887"/>
  <c r="E888"/>
  <c r="I888" s="1"/>
  <c r="E889"/>
  <c r="I889" s="1"/>
  <c r="F889"/>
  <c r="H889"/>
  <c r="E890"/>
  <c r="F890" s="1"/>
  <c r="H890"/>
  <c r="I890"/>
  <c r="E891"/>
  <c r="H891" s="1"/>
  <c r="F891"/>
  <c r="E892"/>
  <c r="H892" s="1"/>
  <c r="E893"/>
  <c r="I893" s="1"/>
  <c r="F893"/>
  <c r="H893"/>
  <c r="E894"/>
  <c r="F894"/>
  <c r="E895"/>
  <c r="I895" s="1"/>
  <c r="H895"/>
  <c r="E896"/>
  <c r="F896" s="1"/>
  <c r="E897"/>
  <c r="F897"/>
  <c r="H897"/>
  <c r="I897"/>
  <c r="E898"/>
  <c r="H898" s="1"/>
  <c r="E899"/>
  <c r="I899" s="1"/>
  <c r="E900"/>
  <c r="I900" s="1"/>
  <c r="H900"/>
  <c r="E901"/>
  <c r="F901" s="1"/>
  <c r="H901"/>
  <c r="I901"/>
  <c r="E902"/>
  <c r="F902" s="1"/>
  <c r="E903"/>
  <c r="I903" s="1"/>
  <c r="E904"/>
  <c r="E905"/>
  <c r="I905" s="1"/>
  <c r="F905"/>
  <c r="E906"/>
  <c r="I906" s="1"/>
  <c r="E907"/>
  <c r="F907" s="1"/>
  <c r="E908"/>
  <c r="F908" s="1"/>
  <c r="H908"/>
  <c r="E909"/>
  <c r="H909" s="1"/>
  <c r="F909"/>
  <c r="E910"/>
  <c r="H910" s="1"/>
  <c r="E911"/>
  <c r="I911" s="1"/>
  <c r="F911"/>
  <c r="E912"/>
  <c r="H912" s="1"/>
  <c r="F912"/>
  <c r="I912"/>
  <c r="E913"/>
  <c r="I913" s="1"/>
  <c r="F913"/>
  <c r="E914"/>
  <c r="F914" s="1"/>
  <c r="E915"/>
  <c r="F915" s="1"/>
  <c r="H915"/>
  <c r="I915"/>
  <c r="E916"/>
  <c r="H916" s="1"/>
  <c r="F916"/>
  <c r="E917"/>
  <c r="I917" s="1"/>
  <c r="E918"/>
  <c r="I918" s="1"/>
  <c r="F918"/>
  <c r="H918"/>
  <c r="E919"/>
  <c r="F919"/>
  <c r="H919"/>
  <c r="I919"/>
  <c r="E920"/>
  <c r="F920" s="1"/>
  <c r="E921"/>
  <c r="I921" s="1"/>
  <c r="E922"/>
  <c r="H922" s="1"/>
  <c r="F922"/>
  <c r="I922"/>
  <c r="E923"/>
  <c r="I923" s="1"/>
  <c r="E924"/>
  <c r="I924" s="1"/>
  <c r="E925"/>
  <c r="F925"/>
  <c r="H925"/>
  <c r="I925"/>
  <c r="E926"/>
  <c r="H926"/>
  <c r="E927"/>
  <c r="H927" s="1"/>
  <c r="E928"/>
  <c r="I928" s="1"/>
  <c r="E929"/>
  <c r="I929" s="1"/>
  <c r="E930"/>
  <c r="H930" s="1"/>
  <c r="F930"/>
  <c r="I930"/>
  <c r="E931"/>
  <c r="E932"/>
  <c r="F932" s="1"/>
  <c r="I932"/>
  <c r="E933"/>
  <c r="H933" s="1"/>
  <c r="E934"/>
  <c r="I934" s="1"/>
  <c r="E935"/>
  <c r="F935"/>
  <c r="H935"/>
  <c r="I935"/>
  <c r="E936"/>
  <c r="H936" s="1"/>
  <c r="F936"/>
  <c r="I936"/>
  <c r="E937"/>
  <c r="F937" s="1"/>
  <c r="H937"/>
  <c r="I937"/>
  <c r="E938"/>
  <c r="E939"/>
  <c r="H939" s="1"/>
  <c r="E940"/>
  <c r="I940" s="1"/>
  <c r="E941"/>
  <c r="I941" s="1"/>
  <c r="F941"/>
  <c r="H941"/>
  <c r="E942"/>
  <c r="F942"/>
  <c r="H942"/>
  <c r="I942"/>
  <c r="E943"/>
  <c r="I943"/>
  <c r="E944"/>
  <c r="F944" s="1"/>
  <c r="I944"/>
  <c r="E945"/>
  <c r="H945" s="1"/>
  <c r="E946"/>
  <c r="I946" s="1"/>
  <c r="E947"/>
  <c r="F947"/>
  <c r="H947"/>
  <c r="I947"/>
  <c r="E948"/>
  <c r="H948" s="1"/>
  <c r="I948"/>
  <c r="E949"/>
  <c r="F949" s="1"/>
  <c r="I949"/>
  <c r="E950"/>
  <c r="E951"/>
  <c r="H951" s="1"/>
  <c r="E952"/>
  <c r="I952" s="1"/>
  <c r="E953"/>
  <c r="I953" s="1"/>
  <c r="H953"/>
  <c r="E954"/>
  <c r="F954" s="1"/>
  <c r="H954"/>
  <c r="I954"/>
  <c r="E955"/>
  <c r="I955"/>
  <c r="E956"/>
  <c r="F956" s="1"/>
  <c r="E957"/>
  <c r="H957" s="1"/>
  <c r="E958"/>
  <c r="I958" s="1"/>
  <c r="E959"/>
  <c r="F959"/>
  <c r="H959"/>
  <c r="I959"/>
  <c r="E960"/>
  <c r="H960" s="1"/>
  <c r="F960"/>
  <c r="E961"/>
  <c r="F961" s="1"/>
  <c r="E962"/>
  <c r="E963"/>
  <c r="H963" s="1"/>
  <c r="E964"/>
  <c r="I964" s="1"/>
  <c r="E965"/>
  <c r="I965" s="1"/>
  <c r="E966"/>
  <c r="H966" s="1"/>
  <c r="F966"/>
  <c r="I966"/>
  <c r="E967"/>
  <c r="E968"/>
  <c r="F968" s="1"/>
  <c r="I968"/>
  <c r="E969"/>
  <c r="H969" s="1"/>
  <c r="E970"/>
  <c r="I970" s="1"/>
  <c r="E971"/>
  <c r="F971"/>
  <c r="H971"/>
  <c r="I971"/>
  <c r="E972"/>
  <c r="H972" s="1"/>
  <c r="F972"/>
  <c r="I972"/>
  <c r="E973"/>
  <c r="F973" s="1"/>
  <c r="H973"/>
  <c r="I973"/>
  <c r="E974"/>
  <c r="E975"/>
  <c r="H975" s="1"/>
  <c r="E976"/>
  <c r="I976" s="1"/>
  <c r="E977"/>
  <c r="I977" s="1"/>
  <c r="F977"/>
  <c r="H977"/>
  <c r="E978"/>
  <c r="F978"/>
  <c r="H978"/>
  <c r="I978"/>
  <c r="E979"/>
  <c r="I979"/>
  <c r="E980"/>
  <c r="F980" s="1"/>
  <c r="I980"/>
  <c r="E981"/>
  <c r="H981" s="1"/>
  <c r="E982"/>
  <c r="I982" s="1"/>
  <c r="E983"/>
  <c r="F983"/>
  <c r="H983"/>
  <c r="I983"/>
  <c r="E984"/>
  <c r="H984" s="1"/>
  <c r="I984"/>
  <c r="E985"/>
  <c r="F985" s="1"/>
  <c r="I985"/>
  <c r="E986"/>
  <c r="E987"/>
  <c r="H987" s="1"/>
  <c r="E988"/>
  <c r="I988" s="1"/>
  <c r="E989"/>
  <c r="I989" s="1"/>
  <c r="H989"/>
  <c r="E990"/>
  <c r="F990" s="1"/>
  <c r="H990"/>
  <c r="I990"/>
  <c r="E991"/>
  <c r="I991"/>
  <c r="E992"/>
  <c r="F992" s="1"/>
  <c r="E993"/>
  <c r="H993" s="1"/>
  <c r="E994"/>
  <c r="I994" s="1"/>
  <c r="E995"/>
  <c r="F995"/>
  <c r="H995"/>
  <c r="I995"/>
  <c r="E996"/>
  <c r="H996" s="1"/>
  <c r="F996"/>
  <c r="E997"/>
  <c r="F997" s="1"/>
  <c r="E998"/>
  <c r="F998" s="1"/>
  <c r="I998"/>
  <c r="E999"/>
  <c r="H999" s="1"/>
  <c r="E1000"/>
  <c r="I1000" s="1"/>
  <c r="E1001"/>
  <c r="F1001" s="1"/>
  <c r="H1001"/>
  <c r="I1001"/>
  <c r="E3" i="8"/>
  <c r="E4"/>
  <c r="I4" s="1"/>
  <c r="E5"/>
  <c r="I5" s="1"/>
  <c r="F5"/>
  <c r="H5"/>
  <c r="E6"/>
  <c r="F6" s="1"/>
  <c r="E7"/>
  <c r="H7" s="1"/>
  <c r="E8"/>
  <c r="I8" s="1"/>
  <c r="E9"/>
  <c r="E10"/>
  <c r="I10" s="1"/>
  <c r="F10"/>
  <c r="E11"/>
  <c r="H11" s="1"/>
  <c r="E12"/>
  <c r="F12" s="1"/>
  <c r="I12"/>
  <c r="E13"/>
  <c r="H13" s="1"/>
  <c r="F13"/>
  <c r="E14"/>
  <c r="I14" s="1"/>
  <c r="E15"/>
  <c r="E16"/>
  <c r="H16" s="1"/>
  <c r="E17"/>
  <c r="F17" s="1"/>
  <c r="I17"/>
  <c r="E18"/>
  <c r="F18" s="1"/>
  <c r="H18"/>
  <c r="I18"/>
  <c r="E19"/>
  <c r="H19" s="1"/>
  <c r="I19"/>
  <c r="E20"/>
  <c r="I20" s="1"/>
  <c r="E21"/>
  <c r="E22"/>
  <c r="H22" s="1"/>
  <c r="I22"/>
  <c r="E23"/>
  <c r="F23" s="1"/>
  <c r="H23"/>
  <c r="I23"/>
  <c r="E24"/>
  <c r="F24" s="1"/>
  <c r="I24"/>
  <c r="E25"/>
  <c r="H25" s="1"/>
  <c r="F25"/>
  <c r="I25"/>
  <c r="E26"/>
  <c r="I26" s="1"/>
  <c r="E27"/>
  <c r="E28"/>
  <c r="H28" s="1"/>
  <c r="E29"/>
  <c r="F29" s="1"/>
  <c r="I29"/>
  <c r="E30"/>
  <c r="F30" s="1"/>
  <c r="H30"/>
  <c r="E31"/>
  <c r="H31" s="1"/>
  <c r="I31"/>
  <c r="E32"/>
  <c r="I32" s="1"/>
  <c r="E33"/>
  <c r="E34"/>
  <c r="H34" s="1"/>
  <c r="E35"/>
  <c r="F35"/>
  <c r="H35"/>
  <c r="I35"/>
  <c r="E36"/>
  <c r="F36" s="1"/>
  <c r="E37"/>
  <c r="H37" s="1"/>
  <c r="F37"/>
  <c r="I37"/>
  <c r="E38"/>
  <c r="I38" s="1"/>
  <c r="E39"/>
  <c r="E40"/>
  <c r="F40"/>
  <c r="H40"/>
  <c r="I40"/>
  <c r="E41"/>
  <c r="F41" s="1"/>
  <c r="E42"/>
  <c r="F42" s="1"/>
  <c r="H42"/>
  <c r="I42"/>
  <c r="E43"/>
  <c r="H43" s="1"/>
  <c r="E44"/>
  <c r="I44" s="1"/>
  <c r="E45"/>
  <c r="E46"/>
  <c r="I46" s="1"/>
  <c r="H46"/>
  <c r="E47"/>
  <c r="F47" s="1"/>
  <c r="H47"/>
  <c r="I47"/>
  <c r="E48"/>
  <c r="F48" s="1"/>
  <c r="H48"/>
  <c r="I48"/>
  <c r="E49"/>
  <c r="H49" s="1"/>
  <c r="F49"/>
  <c r="I49"/>
  <c r="E50"/>
  <c r="I50" s="1"/>
  <c r="E51"/>
  <c r="E52"/>
  <c r="I52" s="1"/>
  <c r="E53"/>
  <c r="F53" s="1"/>
  <c r="H53"/>
  <c r="I53"/>
  <c r="E54"/>
  <c r="F54" s="1"/>
  <c r="H54"/>
  <c r="I54"/>
  <c r="E55"/>
  <c r="H55" s="1"/>
  <c r="F55"/>
  <c r="I55"/>
  <c r="E56"/>
  <c r="I56" s="1"/>
  <c r="E57"/>
  <c r="E58"/>
  <c r="I58" s="1"/>
  <c r="H58"/>
  <c r="E59"/>
  <c r="F59" s="1"/>
  <c r="H59"/>
  <c r="E60"/>
  <c r="F60" s="1"/>
  <c r="H60"/>
  <c r="I60"/>
  <c r="E61"/>
  <c r="H61" s="1"/>
  <c r="F61"/>
  <c r="E62"/>
  <c r="I62" s="1"/>
  <c r="E63"/>
  <c r="E64"/>
  <c r="I64" s="1"/>
  <c r="F64"/>
  <c r="H64"/>
  <c r="E65"/>
  <c r="F65" s="1"/>
  <c r="H65"/>
  <c r="I65"/>
  <c r="E66"/>
  <c r="F66" s="1"/>
  <c r="H66"/>
  <c r="E67"/>
  <c r="H67" s="1"/>
  <c r="F67"/>
  <c r="I67"/>
  <c r="E68"/>
  <c r="I68" s="1"/>
  <c r="E69"/>
  <c r="E70"/>
  <c r="I70" s="1"/>
  <c r="H70"/>
  <c r="E71"/>
  <c r="I71" s="1"/>
  <c r="F71"/>
  <c r="H71"/>
  <c r="E72"/>
  <c r="F72" s="1"/>
  <c r="E73"/>
  <c r="H73" s="1"/>
  <c r="E74"/>
  <c r="E75"/>
  <c r="E76"/>
  <c r="I76" s="1"/>
  <c r="F76"/>
  <c r="H76"/>
  <c r="E77"/>
  <c r="F77" s="1"/>
  <c r="E78"/>
  <c r="F78" s="1"/>
  <c r="E79"/>
  <c r="H79" s="1"/>
  <c r="E80"/>
  <c r="E81"/>
  <c r="E82"/>
  <c r="I82" s="1"/>
  <c r="E83"/>
  <c r="F83" s="1"/>
  <c r="E84"/>
  <c r="F84" s="1"/>
  <c r="E85"/>
  <c r="H85" s="1"/>
  <c r="E86"/>
  <c r="E87"/>
  <c r="E88"/>
  <c r="I88" s="1"/>
  <c r="F88"/>
  <c r="H88"/>
  <c r="E89"/>
  <c r="F89" s="1"/>
  <c r="E90"/>
  <c r="F90" s="1"/>
  <c r="E91"/>
  <c r="H91" s="1"/>
  <c r="E92"/>
  <c r="E93"/>
  <c r="E94"/>
  <c r="I94" s="1"/>
  <c r="H94"/>
  <c r="E95"/>
  <c r="I95" s="1"/>
  <c r="F95"/>
  <c r="H95"/>
  <c r="E96"/>
  <c r="F96" s="1"/>
  <c r="E97"/>
  <c r="H97" s="1"/>
  <c r="E98"/>
  <c r="E99"/>
  <c r="E100"/>
  <c r="F100"/>
  <c r="H100"/>
  <c r="I100"/>
  <c r="E101"/>
  <c r="F101" s="1"/>
  <c r="E102"/>
  <c r="F102" s="1"/>
  <c r="H102"/>
  <c r="I102"/>
  <c r="E103"/>
  <c r="H103" s="1"/>
  <c r="E104"/>
  <c r="E105"/>
  <c r="F105"/>
  <c r="E106"/>
  <c r="I106" s="1"/>
  <c r="H106"/>
  <c r="E107"/>
  <c r="F107" s="1"/>
  <c r="H107"/>
  <c r="I107"/>
  <c r="E108"/>
  <c r="F108" s="1"/>
  <c r="H108"/>
  <c r="I108"/>
  <c r="E109"/>
  <c r="H109" s="1"/>
  <c r="I109"/>
  <c r="E110"/>
  <c r="E111"/>
  <c r="E112"/>
  <c r="H112" s="1"/>
  <c r="E113"/>
  <c r="F113" s="1"/>
  <c r="E114"/>
  <c r="F114" s="1"/>
  <c r="H114"/>
  <c r="I114"/>
  <c r="E115"/>
  <c r="H115" s="1"/>
  <c r="I115"/>
  <c r="E116"/>
  <c r="E117"/>
  <c r="E118"/>
  <c r="H118" s="1"/>
  <c r="I118"/>
  <c r="E119"/>
  <c r="F119" s="1"/>
  <c r="H119"/>
  <c r="E120"/>
  <c r="F120" s="1"/>
  <c r="I120"/>
  <c r="E121"/>
  <c r="H121" s="1"/>
  <c r="I121"/>
  <c r="E122"/>
  <c r="E123"/>
  <c r="F123" s="1"/>
  <c r="E124"/>
  <c r="H124" s="1"/>
  <c r="E125"/>
  <c r="F125" s="1"/>
  <c r="I125"/>
  <c r="E126"/>
  <c r="F126" s="1"/>
  <c r="H126"/>
  <c r="E127"/>
  <c r="H127" s="1"/>
  <c r="E128"/>
  <c r="E129"/>
  <c r="F129"/>
  <c r="E130"/>
  <c r="H130" s="1"/>
  <c r="E131"/>
  <c r="F131" s="1"/>
  <c r="H131"/>
  <c r="I131"/>
  <c r="E132"/>
  <c r="F132" s="1"/>
  <c r="I132"/>
  <c r="E133"/>
  <c r="H133" s="1"/>
  <c r="I133"/>
  <c r="E134"/>
  <c r="E135"/>
  <c r="E136"/>
  <c r="I136" s="1"/>
  <c r="F136"/>
  <c r="E137"/>
  <c r="F137" s="1"/>
  <c r="E138"/>
  <c r="F138" s="1"/>
  <c r="E139"/>
  <c r="H139" s="1"/>
  <c r="E140"/>
  <c r="E141"/>
  <c r="E142"/>
  <c r="F142"/>
  <c r="H142"/>
  <c r="I142"/>
  <c r="E143"/>
  <c r="F143" s="1"/>
  <c r="E144"/>
  <c r="F144" s="1"/>
  <c r="H144"/>
  <c r="I144"/>
  <c r="E145"/>
  <c r="H145" s="1"/>
  <c r="E146"/>
  <c r="E147"/>
  <c r="F147"/>
  <c r="E148"/>
  <c r="I148" s="1"/>
  <c r="H148"/>
  <c r="E149"/>
  <c r="F149" s="1"/>
  <c r="H149"/>
  <c r="I149"/>
  <c r="E150"/>
  <c r="F150" s="1"/>
  <c r="H150"/>
  <c r="I150"/>
  <c r="E151"/>
  <c r="H151" s="1"/>
  <c r="I151"/>
  <c r="E152"/>
  <c r="E153"/>
  <c r="E154"/>
  <c r="H154" s="1"/>
  <c r="E155"/>
  <c r="F155" s="1"/>
  <c r="E156"/>
  <c r="F156" s="1"/>
  <c r="H156"/>
  <c r="I156"/>
  <c r="E157"/>
  <c r="H157" s="1"/>
  <c r="E158"/>
  <c r="E159"/>
  <c r="E160"/>
  <c r="I160" s="1"/>
  <c r="F160"/>
  <c r="H160"/>
  <c r="E161"/>
  <c r="F161" s="1"/>
  <c r="E162"/>
  <c r="F162" s="1"/>
  <c r="E163"/>
  <c r="H163" s="1"/>
  <c r="E164"/>
  <c r="E165"/>
  <c r="F165" s="1"/>
  <c r="E166"/>
  <c r="I166" s="1"/>
  <c r="F166"/>
  <c r="H166"/>
  <c r="E167"/>
  <c r="H167" s="1"/>
  <c r="I167"/>
  <c r="E168"/>
  <c r="F168" s="1"/>
  <c r="H168"/>
  <c r="I168"/>
  <c r="E169"/>
  <c r="H169" s="1"/>
  <c r="E170"/>
  <c r="E171"/>
  <c r="F171"/>
  <c r="E172"/>
  <c r="H172" s="1"/>
  <c r="I172"/>
  <c r="E173"/>
  <c r="F173" s="1"/>
  <c r="H173"/>
  <c r="I173"/>
  <c r="E174"/>
  <c r="F174" s="1"/>
  <c r="H174"/>
  <c r="E175"/>
  <c r="H175" s="1"/>
  <c r="I175"/>
  <c r="E176"/>
  <c r="E177"/>
  <c r="F177"/>
  <c r="E178"/>
  <c r="F178" s="1"/>
  <c r="H178"/>
  <c r="I178"/>
  <c r="E179"/>
  <c r="F179" s="1"/>
  <c r="H179"/>
  <c r="E180"/>
  <c r="F180" s="1"/>
  <c r="H180"/>
  <c r="I180"/>
  <c r="E181"/>
  <c r="H181" s="1"/>
  <c r="I181"/>
  <c r="E182"/>
  <c r="E183"/>
  <c r="E184"/>
  <c r="H184" s="1"/>
  <c r="I184"/>
  <c r="E185"/>
  <c r="F185" s="1"/>
  <c r="H185"/>
  <c r="E186"/>
  <c r="F186" s="1"/>
  <c r="I186"/>
  <c r="E187"/>
  <c r="H187" s="1"/>
  <c r="I187"/>
  <c r="E188"/>
  <c r="E189"/>
  <c r="E190"/>
  <c r="F190"/>
  <c r="H190"/>
  <c r="I190"/>
  <c r="E191"/>
  <c r="H191" s="1"/>
  <c r="E192"/>
  <c r="F192" s="1"/>
  <c r="H192"/>
  <c r="I192"/>
  <c r="E193"/>
  <c r="H193" s="1"/>
  <c r="E194"/>
  <c r="E195"/>
  <c r="E196"/>
  <c r="I196" s="1"/>
  <c r="F196"/>
  <c r="H196"/>
  <c r="E197"/>
  <c r="H197" s="1"/>
  <c r="E198"/>
  <c r="F198" s="1"/>
  <c r="E199"/>
  <c r="H199" s="1"/>
  <c r="I199"/>
  <c r="E200"/>
  <c r="E201"/>
  <c r="E202"/>
  <c r="I202" s="1"/>
  <c r="E203"/>
  <c r="H203" s="1"/>
  <c r="I203"/>
  <c r="E204"/>
  <c r="F204" s="1"/>
  <c r="E205"/>
  <c r="H205" s="1"/>
  <c r="E206"/>
  <c r="E207"/>
  <c r="E208"/>
  <c r="I208" s="1"/>
  <c r="E209"/>
  <c r="H209" s="1"/>
  <c r="E210"/>
  <c r="F210" s="1"/>
  <c r="I210"/>
  <c r="E211"/>
  <c r="H211" s="1"/>
  <c r="E212"/>
  <c r="E213"/>
  <c r="E214"/>
  <c r="I214" s="1"/>
  <c r="F214"/>
  <c r="E215"/>
  <c r="H215" s="1"/>
  <c r="E216"/>
  <c r="F216" s="1"/>
  <c r="H216"/>
  <c r="I216"/>
  <c r="E217"/>
  <c r="H217" s="1"/>
  <c r="E218"/>
  <c r="E219"/>
  <c r="E220"/>
  <c r="F220"/>
  <c r="H220"/>
  <c r="I220"/>
  <c r="E221"/>
  <c r="H221" s="1"/>
  <c r="E222"/>
  <c r="F222" s="1"/>
  <c r="I222"/>
  <c r="E223"/>
  <c r="H223" s="1"/>
  <c r="I223"/>
  <c r="E224"/>
  <c r="E225"/>
  <c r="E226"/>
  <c r="I226" s="1"/>
  <c r="F226"/>
  <c r="E227"/>
  <c r="I227" s="1"/>
  <c r="E228"/>
  <c r="F228" s="1"/>
  <c r="H228"/>
  <c r="E229"/>
  <c r="H229" s="1"/>
  <c r="E230"/>
  <c r="E231"/>
  <c r="E232"/>
  <c r="I232" s="1"/>
  <c r="F232"/>
  <c r="E233"/>
  <c r="H233" s="1"/>
  <c r="I233"/>
  <c r="E234"/>
  <c r="F234" s="1"/>
  <c r="E235"/>
  <c r="F235" s="1"/>
  <c r="E236"/>
  <c r="E237"/>
  <c r="F237"/>
  <c r="E238"/>
  <c r="I238" s="1"/>
  <c r="H238"/>
  <c r="E239"/>
  <c r="F239"/>
  <c r="H239"/>
  <c r="I239"/>
  <c r="E240"/>
  <c r="F240" s="1"/>
  <c r="E241"/>
  <c r="H241" s="1"/>
  <c r="E242"/>
  <c r="F242"/>
  <c r="E243"/>
  <c r="I243" s="1"/>
  <c r="F243"/>
  <c r="E244"/>
  <c r="I244" s="1"/>
  <c r="H244"/>
  <c r="E245"/>
  <c r="F245" s="1"/>
  <c r="H245"/>
  <c r="I245"/>
  <c r="E246"/>
  <c r="H246"/>
  <c r="E247"/>
  <c r="H247" s="1"/>
  <c r="E248"/>
  <c r="E249"/>
  <c r="I249" s="1"/>
  <c r="E250"/>
  <c r="I250" s="1"/>
  <c r="E251"/>
  <c r="F251" s="1"/>
  <c r="E252"/>
  <c r="F252" s="1"/>
  <c r="E253"/>
  <c r="E254"/>
  <c r="E255"/>
  <c r="E256"/>
  <c r="I256" s="1"/>
  <c r="F256"/>
  <c r="E257"/>
  <c r="F257" s="1"/>
  <c r="E258"/>
  <c r="F258" s="1"/>
  <c r="E259"/>
  <c r="H259" s="1"/>
  <c r="F259"/>
  <c r="E260"/>
  <c r="F260"/>
  <c r="E261"/>
  <c r="I261" s="1"/>
  <c r="F261"/>
  <c r="H261"/>
  <c r="E262"/>
  <c r="I262" s="1"/>
  <c r="E263"/>
  <c r="F263" s="1"/>
  <c r="H263"/>
  <c r="I263"/>
  <c r="E264"/>
  <c r="E265"/>
  <c r="H265" s="1"/>
  <c r="E266"/>
  <c r="F266" s="1"/>
  <c r="E267"/>
  <c r="I267" s="1"/>
  <c r="H267"/>
  <c r="E268"/>
  <c r="I268" s="1"/>
  <c r="H268"/>
  <c r="E269"/>
  <c r="F269" s="1"/>
  <c r="H269"/>
  <c r="I269"/>
  <c r="E270"/>
  <c r="F270" s="1"/>
  <c r="E271"/>
  <c r="H271" s="1"/>
  <c r="E272"/>
  <c r="F272" s="1"/>
  <c r="E273"/>
  <c r="I273" s="1"/>
  <c r="F273"/>
  <c r="E274"/>
  <c r="I274" s="1"/>
  <c r="E275"/>
  <c r="I275" s="1"/>
  <c r="E276"/>
  <c r="F276" s="1"/>
  <c r="I276"/>
  <c r="E277"/>
  <c r="E278"/>
  <c r="E279"/>
  <c r="E280"/>
  <c r="I280" s="1"/>
  <c r="H280"/>
  <c r="E281"/>
  <c r="I281" s="1"/>
  <c r="F281"/>
  <c r="E282"/>
  <c r="F282" s="1"/>
  <c r="E283"/>
  <c r="F283" s="1"/>
  <c r="E284"/>
  <c r="E285"/>
  <c r="E286"/>
  <c r="I286" s="1"/>
  <c r="E287"/>
  <c r="F287"/>
  <c r="H287"/>
  <c r="I287"/>
  <c r="E288"/>
  <c r="F288" s="1"/>
  <c r="E289"/>
  <c r="H289" s="1"/>
  <c r="F289"/>
  <c r="I289"/>
  <c r="E290"/>
  <c r="F290"/>
  <c r="E291"/>
  <c r="I291" s="1"/>
  <c r="H291"/>
  <c r="E292"/>
  <c r="I292" s="1"/>
  <c r="H292"/>
  <c r="E293"/>
  <c r="I293" s="1"/>
  <c r="E294"/>
  <c r="E295"/>
  <c r="H295" s="1"/>
  <c r="I295"/>
  <c r="E296"/>
  <c r="E297"/>
  <c r="I297" s="1"/>
  <c r="E298"/>
  <c r="H298" s="1"/>
  <c r="I298"/>
  <c r="E299"/>
  <c r="I299" s="1"/>
  <c r="H299"/>
  <c r="E300"/>
  <c r="H300" s="1"/>
  <c r="E301"/>
  <c r="H301" s="1"/>
  <c r="E302"/>
  <c r="E303"/>
  <c r="I303" s="1"/>
  <c r="H303"/>
  <c r="E304"/>
  <c r="I304" s="1"/>
  <c r="E305"/>
  <c r="I305" s="1"/>
  <c r="F305"/>
  <c r="E306"/>
  <c r="F306" s="1"/>
  <c r="E307"/>
  <c r="H307" s="1"/>
  <c r="E308"/>
  <c r="F308"/>
  <c r="E309"/>
  <c r="I309" s="1"/>
  <c r="E310"/>
  <c r="H310" s="1"/>
  <c r="I310"/>
  <c r="E311"/>
  <c r="I311" s="1"/>
  <c r="E312"/>
  <c r="F312" s="1"/>
  <c r="I312"/>
  <c r="E313"/>
  <c r="E314"/>
  <c r="E315"/>
  <c r="E316"/>
  <c r="F316"/>
  <c r="H316"/>
  <c r="I316"/>
  <c r="E317"/>
  <c r="I317" s="1"/>
  <c r="E318"/>
  <c r="F318" s="1"/>
  <c r="E319"/>
  <c r="E320"/>
  <c r="E321"/>
  <c r="E322"/>
  <c r="I322" s="1"/>
  <c r="E323"/>
  <c r="F323" s="1"/>
  <c r="H323"/>
  <c r="E324"/>
  <c r="E325"/>
  <c r="H325" s="1"/>
  <c r="E326"/>
  <c r="E327"/>
  <c r="I327" s="1"/>
  <c r="E328"/>
  <c r="I328" s="1"/>
  <c r="F328"/>
  <c r="H328"/>
  <c r="E329"/>
  <c r="F329" s="1"/>
  <c r="E330"/>
  <c r="F330" s="1"/>
  <c r="E331"/>
  <c r="H331" s="1"/>
  <c r="E332"/>
  <c r="F332"/>
  <c r="E333"/>
  <c r="I333" s="1"/>
  <c r="E334"/>
  <c r="H334" s="1"/>
  <c r="I334"/>
  <c r="E335"/>
  <c r="F335" s="1"/>
  <c r="I335"/>
  <c r="E336"/>
  <c r="F336" s="1"/>
  <c r="E337"/>
  <c r="E338"/>
  <c r="E339"/>
  <c r="F339" s="1"/>
  <c r="E340"/>
  <c r="H340" s="1"/>
  <c r="I340"/>
  <c r="E341"/>
  <c r="F341" s="1"/>
  <c r="E342"/>
  <c r="E343"/>
  <c r="H343" s="1"/>
  <c r="I343"/>
  <c r="E344"/>
  <c r="E345"/>
  <c r="I345" s="1"/>
  <c r="E346"/>
  <c r="F346"/>
  <c r="H346"/>
  <c r="I346"/>
  <c r="E347"/>
  <c r="F347" s="1"/>
  <c r="E348"/>
  <c r="F348" s="1"/>
  <c r="H348"/>
  <c r="I348"/>
  <c r="E349"/>
  <c r="H349" s="1"/>
  <c r="F349"/>
  <c r="E350"/>
  <c r="F350" s="1"/>
  <c r="E351"/>
  <c r="I351" s="1"/>
  <c r="E352"/>
  <c r="I352" s="1"/>
  <c r="F352"/>
  <c r="E353"/>
  <c r="F353" s="1"/>
  <c r="E354"/>
  <c r="F354" s="1"/>
  <c r="E355"/>
  <c r="F355"/>
  <c r="E356"/>
  <c r="E357"/>
  <c r="F357" s="1"/>
  <c r="E358"/>
  <c r="H358" s="1"/>
  <c r="E359"/>
  <c r="F359" s="1"/>
  <c r="I359"/>
  <c r="E360"/>
  <c r="E361"/>
  <c r="H361" s="1"/>
  <c r="I361"/>
  <c r="E362"/>
  <c r="E363"/>
  <c r="I363" s="1"/>
  <c r="H363"/>
  <c r="E364"/>
  <c r="I364" s="1"/>
  <c r="F364"/>
  <c r="H364"/>
  <c r="E365"/>
  <c r="F365" s="1"/>
  <c r="H365"/>
  <c r="E366"/>
  <c r="F366" s="1"/>
  <c r="H366"/>
  <c r="I366"/>
  <c r="E367"/>
  <c r="H367" s="1"/>
  <c r="F367"/>
  <c r="E368"/>
  <c r="F368"/>
  <c r="E369"/>
  <c r="I369" s="1"/>
  <c r="E370"/>
  <c r="I370" s="1"/>
  <c r="E371"/>
  <c r="F371" s="1"/>
  <c r="E372"/>
  <c r="F372" s="1"/>
  <c r="E373"/>
  <c r="E374"/>
  <c r="E375"/>
  <c r="E376"/>
  <c r="I376" s="1"/>
  <c r="E377"/>
  <c r="F377" s="1"/>
  <c r="H377"/>
  <c r="I377"/>
  <c r="E378"/>
  <c r="E379"/>
  <c r="H379" s="1"/>
  <c r="E380"/>
  <c r="E381"/>
  <c r="I381" s="1"/>
  <c r="E382"/>
  <c r="I382" s="1"/>
  <c r="F382"/>
  <c r="E383"/>
  <c r="F383" s="1"/>
  <c r="E384"/>
  <c r="F384" s="1"/>
  <c r="E385"/>
  <c r="H385" s="1"/>
  <c r="E386"/>
  <c r="F386"/>
  <c r="E387"/>
  <c r="H387" s="1"/>
  <c r="F387"/>
  <c r="E388"/>
  <c r="I388" s="1"/>
  <c r="H388"/>
  <c r="E389"/>
  <c r="E390"/>
  <c r="I390" s="1"/>
  <c r="E391"/>
  <c r="F391" s="1"/>
  <c r="E392"/>
  <c r="F392" s="1"/>
  <c r="I392"/>
  <c r="E393"/>
  <c r="H393" s="1"/>
  <c r="F393"/>
  <c r="E394"/>
  <c r="E395"/>
  <c r="E396"/>
  <c r="H396" s="1"/>
  <c r="I396"/>
  <c r="E397"/>
  <c r="F397" s="1"/>
  <c r="E398"/>
  <c r="F398" s="1"/>
  <c r="H398"/>
  <c r="I398"/>
  <c r="E399"/>
  <c r="H399" s="1"/>
  <c r="I399"/>
  <c r="E400"/>
  <c r="E401"/>
  <c r="E402"/>
  <c r="I402" s="1"/>
  <c r="E403"/>
  <c r="F403" s="1"/>
  <c r="H403"/>
  <c r="I403"/>
  <c r="E404"/>
  <c r="E405"/>
  <c r="H405" s="1"/>
  <c r="F405"/>
  <c r="E406"/>
  <c r="E407"/>
  <c r="I407" s="1"/>
  <c r="E408"/>
  <c r="H408" s="1"/>
  <c r="E409"/>
  <c r="F409" s="1"/>
  <c r="I409"/>
  <c r="E410"/>
  <c r="F410" s="1"/>
  <c r="H410"/>
  <c r="I410"/>
  <c r="E411"/>
  <c r="H411" s="1"/>
  <c r="I411"/>
  <c r="E412"/>
  <c r="E413"/>
  <c r="I413" s="1"/>
  <c r="H413"/>
  <c r="E414"/>
  <c r="I414" s="1"/>
  <c r="E415"/>
  <c r="F415" s="1"/>
  <c r="H415"/>
  <c r="I415"/>
  <c r="E416"/>
  <c r="F416" s="1"/>
  <c r="I416"/>
  <c r="E417"/>
  <c r="H417" s="1"/>
  <c r="F417"/>
  <c r="I417"/>
  <c r="E418"/>
  <c r="E419"/>
  <c r="E420"/>
  <c r="H420" s="1"/>
  <c r="E421"/>
  <c r="F421" s="1"/>
  <c r="I421"/>
  <c r="E422"/>
  <c r="E423"/>
  <c r="H423" s="1"/>
  <c r="F423"/>
  <c r="E424"/>
  <c r="E425"/>
  <c r="I425" s="1"/>
  <c r="E426"/>
  <c r="I426" s="1"/>
  <c r="E427"/>
  <c r="F427" s="1"/>
  <c r="H427"/>
  <c r="E428"/>
  <c r="F428" s="1"/>
  <c r="I428"/>
  <c r="E429"/>
  <c r="H429" s="1"/>
  <c r="F429"/>
  <c r="I429"/>
  <c r="E430"/>
  <c r="E431"/>
  <c r="I431" s="1"/>
  <c r="H431"/>
  <c r="E432"/>
  <c r="I432" s="1"/>
  <c r="F432"/>
  <c r="H432"/>
  <c r="E433"/>
  <c r="F433" s="1"/>
  <c r="H433"/>
  <c r="E434"/>
  <c r="F434" s="1"/>
  <c r="I434"/>
  <c r="E435"/>
  <c r="H435" s="1"/>
  <c r="E436"/>
  <c r="E437"/>
  <c r="E438"/>
  <c r="I438" s="1"/>
  <c r="E439"/>
  <c r="F439" s="1"/>
  <c r="H439"/>
  <c r="E440"/>
  <c r="E441"/>
  <c r="H441" s="1"/>
  <c r="F441"/>
  <c r="E442"/>
  <c r="E443"/>
  <c r="I443" s="1"/>
  <c r="E444"/>
  <c r="I444" s="1"/>
  <c r="F444"/>
  <c r="E445"/>
  <c r="I445" s="1"/>
  <c r="E446"/>
  <c r="F446" s="1"/>
  <c r="E447"/>
  <c r="H447" s="1"/>
  <c r="F447"/>
  <c r="E448"/>
  <c r="E449"/>
  <c r="I449" s="1"/>
  <c r="E450"/>
  <c r="I450" s="1"/>
  <c r="F450"/>
  <c r="H450"/>
  <c r="E451"/>
  <c r="H451" s="1"/>
  <c r="I451"/>
  <c r="E452"/>
  <c r="E453"/>
  <c r="H453" s="1"/>
  <c r="F453"/>
  <c r="E454"/>
  <c r="E455"/>
  <c r="I455" s="1"/>
  <c r="E456"/>
  <c r="I456" s="1"/>
  <c r="F456"/>
  <c r="E457"/>
  <c r="I457" s="1"/>
  <c r="E458"/>
  <c r="F458" s="1"/>
  <c r="E459"/>
  <c r="H459" s="1"/>
  <c r="F459"/>
  <c r="I459"/>
  <c r="E460"/>
  <c r="E461"/>
  <c r="I461" s="1"/>
  <c r="E462"/>
  <c r="I462" s="1"/>
  <c r="E463"/>
  <c r="H463" s="1"/>
  <c r="I463"/>
  <c r="E464"/>
  <c r="E465"/>
  <c r="H465" s="1"/>
  <c r="E466"/>
  <c r="E467"/>
  <c r="I467" s="1"/>
  <c r="E468"/>
  <c r="I468" s="1"/>
  <c r="F468"/>
  <c r="E469"/>
  <c r="I469" s="1"/>
  <c r="E470"/>
  <c r="F470" s="1"/>
  <c r="E471"/>
  <c r="E472"/>
  <c r="E473"/>
  <c r="E474"/>
  <c r="I474" s="1"/>
  <c r="E475"/>
  <c r="I475" s="1"/>
  <c r="E476"/>
  <c r="F476" s="1"/>
  <c r="E477"/>
  <c r="H477" s="1"/>
  <c r="E478"/>
  <c r="F478"/>
  <c r="E479"/>
  <c r="I479" s="1"/>
  <c r="H479"/>
  <c r="E480"/>
  <c r="I480" s="1"/>
  <c r="H480"/>
  <c r="E481"/>
  <c r="I481" s="1"/>
  <c r="F481"/>
  <c r="E482"/>
  <c r="F482" s="1"/>
  <c r="E483"/>
  <c r="H483" s="1"/>
  <c r="E484"/>
  <c r="F484"/>
  <c r="E485"/>
  <c r="I485" s="1"/>
  <c r="E486"/>
  <c r="F486"/>
  <c r="H486"/>
  <c r="I486"/>
  <c r="E487"/>
  <c r="H487" s="1"/>
  <c r="E488"/>
  <c r="E489"/>
  <c r="H489" s="1"/>
  <c r="E490"/>
  <c r="E491"/>
  <c r="I491" s="1"/>
  <c r="E492"/>
  <c r="I492" s="1"/>
  <c r="E493"/>
  <c r="F493" s="1"/>
  <c r="H493"/>
  <c r="I493"/>
  <c r="E494"/>
  <c r="F494" s="1"/>
  <c r="H494"/>
  <c r="E495"/>
  <c r="H495" s="1"/>
  <c r="E496"/>
  <c r="F496" s="1"/>
  <c r="E497"/>
  <c r="I497" s="1"/>
  <c r="F497"/>
  <c r="E498"/>
  <c r="F498" s="1"/>
  <c r="H498"/>
  <c r="I498"/>
  <c r="E499"/>
  <c r="I499" s="1"/>
  <c r="F499"/>
  <c r="E500"/>
  <c r="F500" s="1"/>
  <c r="E501"/>
  <c r="H501" s="1"/>
  <c r="F501"/>
  <c r="E502"/>
  <c r="E503"/>
  <c r="I503" s="1"/>
  <c r="E504"/>
  <c r="H504" s="1"/>
  <c r="I504"/>
  <c r="E505"/>
  <c r="I505" s="1"/>
  <c r="H505"/>
  <c r="E506"/>
  <c r="F506" s="1"/>
  <c r="E507"/>
  <c r="E508"/>
  <c r="F508" s="1"/>
  <c r="E509"/>
  <c r="E510"/>
  <c r="H510" s="1"/>
  <c r="I510"/>
  <c r="E511"/>
  <c r="I511" s="1"/>
  <c r="E512"/>
  <c r="F512" s="1"/>
  <c r="H512"/>
  <c r="E513"/>
  <c r="H513" s="1"/>
  <c r="E514"/>
  <c r="F514" s="1"/>
  <c r="E515"/>
  <c r="I515" s="1"/>
  <c r="E516"/>
  <c r="I516" s="1"/>
  <c r="F516"/>
  <c r="E517"/>
  <c r="I517" s="1"/>
  <c r="E518"/>
  <c r="F518" s="1"/>
  <c r="E519"/>
  <c r="H519" s="1"/>
  <c r="E520"/>
  <c r="F520" s="1"/>
  <c r="E521"/>
  <c r="I521" s="1"/>
  <c r="E522"/>
  <c r="I522" s="1"/>
  <c r="E523"/>
  <c r="F523" s="1"/>
  <c r="H523"/>
  <c r="I523"/>
  <c r="E524"/>
  <c r="E525"/>
  <c r="H525" s="1"/>
  <c r="E526"/>
  <c r="E527"/>
  <c r="I527" s="1"/>
  <c r="H527"/>
  <c r="E528"/>
  <c r="I528" s="1"/>
  <c r="H528"/>
  <c r="E529"/>
  <c r="F529" s="1"/>
  <c r="E530"/>
  <c r="F530" s="1"/>
  <c r="I530"/>
  <c r="E531"/>
  <c r="H531" s="1"/>
  <c r="F531"/>
  <c r="E532"/>
  <c r="E533"/>
  <c r="I533" s="1"/>
  <c r="F533"/>
  <c r="E534"/>
  <c r="I534" s="1"/>
  <c r="F534"/>
  <c r="E535"/>
  <c r="F535" s="1"/>
  <c r="E536"/>
  <c r="F536" s="1"/>
  <c r="E537"/>
  <c r="H537" s="1"/>
  <c r="F537"/>
  <c r="E538"/>
  <c r="F538" s="1"/>
  <c r="E539"/>
  <c r="I539" s="1"/>
  <c r="E540"/>
  <c r="H540" s="1"/>
  <c r="I540"/>
  <c r="E541"/>
  <c r="F541" s="1"/>
  <c r="E542"/>
  <c r="E543"/>
  <c r="H543" s="1"/>
  <c r="E544"/>
  <c r="E545"/>
  <c r="I545" s="1"/>
  <c r="E546"/>
  <c r="H546" s="1"/>
  <c r="E547"/>
  <c r="F547" s="1"/>
  <c r="I547"/>
  <c r="E548"/>
  <c r="F548" s="1"/>
  <c r="E549"/>
  <c r="H549" s="1"/>
  <c r="E550"/>
  <c r="E551"/>
  <c r="I551" s="1"/>
  <c r="H551"/>
  <c r="E552"/>
  <c r="I552" s="1"/>
  <c r="H552"/>
  <c r="E553"/>
  <c r="F553" s="1"/>
  <c r="H553"/>
  <c r="E554"/>
  <c r="F554" s="1"/>
  <c r="H554"/>
  <c r="E555"/>
  <c r="H555" s="1"/>
  <c r="E556"/>
  <c r="F556" s="1"/>
  <c r="E557"/>
  <c r="I557" s="1"/>
  <c r="E558"/>
  <c r="F558"/>
  <c r="H558"/>
  <c r="I558"/>
  <c r="E559"/>
  <c r="F559" s="1"/>
  <c r="E560"/>
  <c r="E561"/>
  <c r="E562"/>
  <c r="E563"/>
  <c r="H563" s="1"/>
  <c r="E564"/>
  <c r="I564" s="1"/>
  <c r="F564"/>
  <c r="E565"/>
  <c r="F565" s="1"/>
  <c r="E566"/>
  <c r="F566" s="1"/>
  <c r="E567"/>
  <c r="H567" s="1"/>
  <c r="F567"/>
  <c r="E568"/>
  <c r="E569"/>
  <c r="I569" s="1"/>
  <c r="E570"/>
  <c r="H570" s="1"/>
  <c r="I570"/>
  <c r="E571"/>
  <c r="F571" s="1"/>
  <c r="I571"/>
  <c r="E572"/>
  <c r="F572" s="1"/>
  <c r="E573"/>
  <c r="H573" s="1"/>
  <c r="E574"/>
  <c r="F574"/>
  <c r="E575"/>
  <c r="I575" s="1"/>
  <c r="H575"/>
  <c r="E576"/>
  <c r="I576" s="1"/>
  <c r="H576"/>
  <c r="E577"/>
  <c r="F577" s="1"/>
  <c r="H577"/>
  <c r="I577"/>
  <c r="E578"/>
  <c r="E579"/>
  <c r="E580"/>
  <c r="E581"/>
  <c r="H581"/>
  <c r="E582"/>
  <c r="I582" s="1"/>
  <c r="H582"/>
  <c r="E583"/>
  <c r="F583"/>
  <c r="H583"/>
  <c r="I583"/>
  <c r="E584"/>
  <c r="F584" s="1"/>
  <c r="E585"/>
  <c r="H585" s="1"/>
  <c r="E586"/>
  <c r="F586" s="1"/>
  <c r="E587"/>
  <c r="I587" s="1"/>
  <c r="E588"/>
  <c r="I588" s="1"/>
  <c r="F588"/>
  <c r="H588"/>
  <c r="E589"/>
  <c r="H589" s="1"/>
  <c r="I589"/>
  <c r="E590"/>
  <c r="F590" s="1"/>
  <c r="E591"/>
  <c r="H591" s="1"/>
  <c r="E592"/>
  <c r="E593"/>
  <c r="I593" s="1"/>
  <c r="E594"/>
  <c r="F594" s="1"/>
  <c r="H594"/>
  <c r="I594"/>
  <c r="E595"/>
  <c r="I595" s="1"/>
  <c r="E596"/>
  <c r="E597"/>
  <c r="E598"/>
  <c r="E599"/>
  <c r="H599" s="1"/>
  <c r="E600"/>
  <c r="F600" s="1"/>
  <c r="E601"/>
  <c r="I601" s="1"/>
  <c r="F601"/>
  <c r="E602"/>
  <c r="F602" s="1"/>
  <c r="E603"/>
  <c r="H603" s="1"/>
  <c r="E604"/>
  <c r="F604" s="1"/>
  <c r="E605"/>
  <c r="I605" s="1"/>
  <c r="E606"/>
  <c r="H606" s="1"/>
  <c r="I606"/>
  <c r="E607"/>
  <c r="I607" s="1"/>
  <c r="E608"/>
  <c r="F608" s="1"/>
  <c r="H608"/>
  <c r="I608"/>
  <c r="E609"/>
  <c r="H609" s="1"/>
  <c r="I609"/>
  <c r="E610"/>
  <c r="F610" s="1"/>
  <c r="E611"/>
  <c r="I611" s="1"/>
  <c r="E612"/>
  <c r="I612" s="1"/>
  <c r="H612"/>
  <c r="E613"/>
  <c r="I613" s="1"/>
  <c r="F613"/>
  <c r="E614"/>
  <c r="E615"/>
  <c r="E616"/>
  <c r="E617"/>
  <c r="H617" s="1"/>
  <c r="E618"/>
  <c r="I618" s="1"/>
  <c r="F618"/>
  <c r="E619"/>
  <c r="I619" s="1"/>
  <c r="E620"/>
  <c r="F620" s="1"/>
  <c r="H620"/>
  <c r="E621"/>
  <c r="H621" s="1"/>
  <c r="E622"/>
  <c r="F622" s="1"/>
  <c r="E623"/>
  <c r="I623" s="1"/>
  <c r="F623"/>
  <c r="E624"/>
  <c r="I624" s="1"/>
  <c r="E625"/>
  <c r="I625" s="1"/>
  <c r="E626"/>
  <c r="F626" s="1"/>
  <c r="I626"/>
  <c r="E627"/>
  <c r="H627" s="1"/>
  <c r="E628"/>
  <c r="E629"/>
  <c r="I629" s="1"/>
  <c r="F629"/>
  <c r="E630"/>
  <c r="I630" s="1"/>
  <c r="E631"/>
  <c r="H631" s="1"/>
  <c r="I631"/>
  <c r="E632"/>
  <c r="E633"/>
  <c r="E634"/>
  <c r="E635"/>
  <c r="H635" s="1"/>
  <c r="E636"/>
  <c r="I636" s="1"/>
  <c r="E637"/>
  <c r="I637" s="1"/>
  <c r="F637"/>
  <c r="E638"/>
  <c r="F638" s="1"/>
  <c r="H638"/>
  <c r="E639"/>
  <c r="H639" s="1"/>
  <c r="F639"/>
  <c r="E640"/>
  <c r="F640" s="1"/>
  <c r="E641"/>
  <c r="I641" s="1"/>
  <c r="F641"/>
  <c r="E642"/>
  <c r="I642" s="1"/>
  <c r="F642"/>
  <c r="H642"/>
  <c r="E643"/>
  <c r="H643" s="1"/>
  <c r="I643"/>
  <c r="E644"/>
  <c r="F644" s="1"/>
  <c r="I644"/>
  <c r="E645"/>
  <c r="H645" s="1"/>
  <c r="E646"/>
  <c r="F646" s="1"/>
  <c r="E647"/>
  <c r="I647" s="1"/>
  <c r="E648"/>
  <c r="H648" s="1"/>
  <c r="I648"/>
  <c r="E649"/>
  <c r="F649" s="1"/>
  <c r="E650"/>
  <c r="F650" s="1"/>
  <c r="E651"/>
  <c r="H651" s="1"/>
  <c r="E652"/>
  <c r="F652"/>
  <c r="E653"/>
  <c r="I653" s="1"/>
  <c r="E654"/>
  <c r="I654" s="1"/>
  <c r="E655"/>
  <c r="F655" s="1"/>
  <c r="H655"/>
  <c r="I655"/>
  <c r="E656"/>
  <c r="F656" s="1"/>
  <c r="I656"/>
  <c r="E657"/>
  <c r="H657" s="1"/>
  <c r="I657"/>
  <c r="E658"/>
  <c r="E659"/>
  <c r="I659" s="1"/>
  <c r="F659"/>
  <c r="E660"/>
  <c r="I660" s="1"/>
  <c r="E661"/>
  <c r="H661" s="1"/>
  <c r="I661"/>
  <c r="E662"/>
  <c r="E663"/>
  <c r="E664"/>
  <c r="E665"/>
  <c r="H665" s="1"/>
  <c r="E666"/>
  <c r="I666" s="1"/>
  <c r="E667"/>
  <c r="F667" s="1"/>
  <c r="H667"/>
  <c r="E668"/>
  <c r="F668" s="1"/>
  <c r="H668"/>
  <c r="E669"/>
  <c r="H669" s="1"/>
  <c r="E670"/>
  <c r="F670" s="1"/>
  <c r="E671"/>
  <c r="I671" s="1"/>
  <c r="E672"/>
  <c r="F672"/>
  <c r="H672"/>
  <c r="I672"/>
  <c r="E673"/>
  <c r="F673" s="1"/>
  <c r="E674"/>
  <c r="E675"/>
  <c r="E676"/>
  <c r="E677"/>
  <c r="H677" s="1"/>
  <c r="E678"/>
  <c r="I678" s="1"/>
  <c r="F678"/>
  <c r="E679"/>
  <c r="F679" s="1"/>
  <c r="E680"/>
  <c r="F680" s="1"/>
  <c r="E681"/>
  <c r="H681" s="1"/>
  <c r="F681"/>
  <c r="E682"/>
  <c r="E683"/>
  <c r="I683" s="1"/>
  <c r="E684"/>
  <c r="H684" s="1"/>
  <c r="I684"/>
  <c r="E685"/>
  <c r="F685" s="1"/>
  <c r="I685"/>
  <c r="E686"/>
  <c r="F686" s="1"/>
  <c r="E687"/>
  <c r="H687" s="1"/>
  <c r="E688"/>
  <c r="F688"/>
  <c r="E689"/>
  <c r="I689" s="1"/>
  <c r="H689"/>
  <c r="E690"/>
  <c r="I690" s="1"/>
  <c r="H690"/>
  <c r="E691"/>
  <c r="F691" s="1"/>
  <c r="H691"/>
  <c r="I691"/>
  <c r="E692"/>
  <c r="E693"/>
  <c r="E694"/>
  <c r="E695"/>
  <c r="H695"/>
  <c r="E696"/>
  <c r="I696" s="1"/>
  <c r="H696"/>
  <c r="E697"/>
  <c r="F697" s="1"/>
  <c r="H697"/>
  <c r="I697"/>
  <c r="E698"/>
  <c r="F698" s="1"/>
  <c r="I698"/>
  <c r="E699"/>
  <c r="H699" s="1"/>
  <c r="E700"/>
  <c r="E701"/>
  <c r="I701" s="1"/>
  <c r="F701"/>
  <c r="E702"/>
  <c r="I702" s="1"/>
  <c r="E703"/>
  <c r="F703" s="1"/>
  <c r="E704"/>
  <c r="F704" s="1"/>
  <c r="E705"/>
  <c r="H705" s="1"/>
  <c r="E706"/>
  <c r="F706" s="1"/>
  <c r="E707"/>
  <c r="I707" s="1"/>
  <c r="E708"/>
  <c r="H708" s="1"/>
  <c r="I708"/>
  <c r="E709"/>
  <c r="F709" s="1"/>
  <c r="E710"/>
  <c r="E711"/>
  <c r="E712"/>
  <c r="E713"/>
  <c r="H713" s="1"/>
  <c r="E714"/>
  <c r="H714" s="1"/>
  <c r="E715"/>
  <c r="F715" s="1"/>
  <c r="I715"/>
  <c r="E716"/>
  <c r="F716" s="1"/>
  <c r="I716"/>
  <c r="E717"/>
  <c r="H717" s="1"/>
  <c r="E718"/>
  <c r="E719"/>
  <c r="I719" s="1"/>
  <c r="F719"/>
  <c r="H719"/>
  <c r="E720"/>
  <c r="I720" s="1"/>
  <c r="H720"/>
  <c r="E721"/>
  <c r="F721" s="1"/>
  <c r="H721"/>
  <c r="I721"/>
  <c r="E722"/>
  <c r="F722" s="1"/>
  <c r="H722"/>
  <c r="E723"/>
  <c r="H723" s="1"/>
  <c r="E724"/>
  <c r="F724" s="1"/>
  <c r="E725"/>
  <c r="I725" s="1"/>
  <c r="F725"/>
  <c r="E726"/>
  <c r="I726" s="1"/>
  <c r="F726"/>
  <c r="E727"/>
  <c r="F727" s="1"/>
  <c r="E728"/>
  <c r="E729"/>
  <c r="H729" s="1"/>
  <c r="E730"/>
  <c r="H730" s="1"/>
  <c r="E731"/>
  <c r="I731" s="1"/>
  <c r="E732"/>
  <c r="E733"/>
  <c r="F733"/>
  <c r="H733"/>
  <c r="I733"/>
  <c r="E734"/>
  <c r="H734" s="1"/>
  <c r="E735"/>
  <c r="H735"/>
  <c r="E736"/>
  <c r="H736" s="1"/>
  <c r="I736"/>
  <c r="E737"/>
  <c r="F737" s="1"/>
  <c r="E738"/>
  <c r="H738"/>
  <c r="E739"/>
  <c r="F739" s="1"/>
  <c r="H739"/>
  <c r="E740"/>
  <c r="H740" s="1"/>
  <c r="I740"/>
  <c r="E741"/>
  <c r="H741" s="1"/>
  <c r="E742"/>
  <c r="H742" s="1"/>
  <c r="E743"/>
  <c r="H743" s="1"/>
  <c r="E744"/>
  <c r="H744" s="1"/>
  <c r="E745"/>
  <c r="H745" s="1"/>
  <c r="I745"/>
  <c r="E746"/>
  <c r="H746" s="1"/>
  <c r="E747"/>
  <c r="H747" s="1"/>
  <c r="E748"/>
  <c r="H748" s="1"/>
  <c r="I748"/>
  <c r="E749"/>
  <c r="I749" s="1"/>
  <c r="H749"/>
  <c r="E750"/>
  <c r="H750"/>
  <c r="E751"/>
  <c r="I751" s="1"/>
  <c r="H751"/>
  <c r="E752"/>
  <c r="H752" s="1"/>
  <c r="I752"/>
  <c r="E753"/>
  <c r="E754"/>
  <c r="H754" s="1"/>
  <c r="E755"/>
  <c r="F755"/>
  <c r="H755"/>
  <c r="I755"/>
  <c r="E756"/>
  <c r="H756" s="1"/>
  <c r="E757"/>
  <c r="F757"/>
  <c r="H757"/>
  <c r="I757"/>
  <c r="E758"/>
  <c r="H758" s="1"/>
  <c r="E759"/>
  <c r="H759" s="1"/>
  <c r="E760"/>
  <c r="H760" s="1"/>
  <c r="I760"/>
  <c r="E761"/>
  <c r="I761" s="1"/>
  <c r="F761"/>
  <c r="H761"/>
  <c r="E762"/>
  <c r="H762" s="1"/>
  <c r="E763"/>
  <c r="H763" s="1"/>
  <c r="I763"/>
  <c r="E764"/>
  <c r="H764" s="1"/>
  <c r="E765"/>
  <c r="H765" s="1"/>
  <c r="E766"/>
  <c r="H766" s="1"/>
  <c r="F766"/>
  <c r="I766"/>
  <c r="E767"/>
  <c r="I767" s="1"/>
  <c r="F767"/>
  <c r="E768"/>
  <c r="E769"/>
  <c r="I769" s="1"/>
  <c r="H769"/>
  <c r="E770"/>
  <c r="H770" s="1"/>
  <c r="I770"/>
  <c r="E771"/>
  <c r="H771" s="1"/>
  <c r="E772"/>
  <c r="H772" s="1"/>
  <c r="E773"/>
  <c r="I773" s="1"/>
  <c r="E774"/>
  <c r="H774"/>
  <c r="E775"/>
  <c r="I775" s="1"/>
  <c r="E776"/>
  <c r="H776" s="1"/>
  <c r="I776"/>
  <c r="E777"/>
  <c r="H777" s="1"/>
  <c r="E778"/>
  <c r="H778" s="1"/>
  <c r="F778"/>
  <c r="E779"/>
  <c r="I779" s="1"/>
  <c r="F779"/>
  <c r="H779"/>
  <c r="E780"/>
  <c r="H780" s="1"/>
  <c r="E781"/>
  <c r="F781"/>
  <c r="H781"/>
  <c r="I781"/>
  <c r="E782"/>
  <c r="H782" s="1"/>
  <c r="E783"/>
  <c r="H783" s="1"/>
  <c r="E784"/>
  <c r="H784" s="1"/>
  <c r="E785"/>
  <c r="H785" s="1"/>
  <c r="I785"/>
  <c r="E786"/>
  <c r="H786" s="1"/>
  <c r="E787"/>
  <c r="H787" s="1"/>
  <c r="E788"/>
  <c r="H788" s="1"/>
  <c r="E789"/>
  <c r="E790"/>
  <c r="H790" s="1"/>
  <c r="F790"/>
  <c r="E791"/>
  <c r="I791" s="1"/>
  <c r="H791"/>
  <c r="E792"/>
  <c r="H792"/>
  <c r="E793"/>
  <c r="I793" s="1"/>
  <c r="E794"/>
  <c r="H794" s="1"/>
  <c r="I794"/>
  <c r="E795"/>
  <c r="H795" s="1"/>
  <c r="E796"/>
  <c r="H796" s="1"/>
  <c r="E797"/>
  <c r="I797" s="1"/>
  <c r="E798"/>
  <c r="H798" s="1"/>
  <c r="E799"/>
  <c r="F799"/>
  <c r="H799"/>
  <c r="I799"/>
  <c r="E800"/>
  <c r="H800" s="1"/>
  <c r="E801"/>
  <c r="H801" s="1"/>
  <c r="E802"/>
  <c r="H802" s="1"/>
  <c r="I802"/>
  <c r="E803"/>
  <c r="I803" s="1"/>
  <c r="F803"/>
  <c r="E804"/>
  <c r="E805"/>
  <c r="H805" s="1"/>
  <c r="I805"/>
  <c r="E806"/>
  <c r="H806" s="1"/>
  <c r="E807"/>
  <c r="H807" s="1"/>
  <c r="E808"/>
  <c r="H808" s="1"/>
  <c r="F808"/>
  <c r="I808"/>
  <c r="E809"/>
  <c r="I809" s="1"/>
  <c r="F809"/>
  <c r="E810"/>
  <c r="H810" s="1"/>
  <c r="E811"/>
  <c r="I811" s="1"/>
  <c r="F811"/>
  <c r="E812"/>
  <c r="H812" s="1"/>
  <c r="E813"/>
  <c r="H813"/>
  <c r="E814"/>
  <c r="H814" s="1"/>
  <c r="I814"/>
  <c r="E815"/>
  <c r="I815" s="1"/>
  <c r="H815"/>
  <c r="E816"/>
  <c r="H816" s="1"/>
  <c r="E817"/>
  <c r="I817" s="1"/>
  <c r="H817"/>
  <c r="E818"/>
  <c r="H818" s="1"/>
  <c r="I818"/>
  <c r="E819"/>
  <c r="H819" s="1"/>
  <c r="E820"/>
  <c r="H820" s="1"/>
  <c r="E821"/>
  <c r="F821"/>
  <c r="H821"/>
  <c r="I821"/>
  <c r="E822"/>
  <c r="H822" s="1"/>
  <c r="E823"/>
  <c r="F823"/>
  <c r="H823"/>
  <c r="I823"/>
  <c r="E824"/>
  <c r="H824" s="1"/>
  <c r="E825"/>
  <c r="E826"/>
  <c r="H826" s="1"/>
  <c r="E827"/>
  <c r="H827" s="1"/>
  <c r="I827"/>
  <c r="E828"/>
  <c r="H828" s="1"/>
  <c r="E829"/>
  <c r="H829" s="1"/>
  <c r="E830"/>
  <c r="H830" s="1"/>
  <c r="E831"/>
  <c r="H831" s="1"/>
  <c r="E832"/>
  <c r="H832" s="1"/>
  <c r="F832"/>
  <c r="I832"/>
  <c r="E833"/>
  <c r="I833" s="1"/>
  <c r="E834"/>
  <c r="H834" s="1"/>
  <c r="E835"/>
  <c r="I835" s="1"/>
  <c r="H835"/>
  <c r="E836"/>
  <c r="H836" s="1"/>
  <c r="E837"/>
  <c r="H837" s="1"/>
  <c r="E838"/>
  <c r="H838" s="1"/>
  <c r="E839"/>
  <c r="I839" s="1"/>
  <c r="E840"/>
  <c r="E841"/>
  <c r="I841" s="1"/>
  <c r="E842"/>
  <c r="H842" s="1"/>
  <c r="E843"/>
  <c r="H843"/>
  <c r="E844"/>
  <c r="H844" s="1"/>
  <c r="E845"/>
  <c r="F845"/>
  <c r="H845"/>
  <c r="I845"/>
  <c r="E846"/>
  <c r="H846" s="1"/>
  <c r="E847"/>
  <c r="F847"/>
  <c r="H847"/>
  <c r="I847"/>
  <c r="E848"/>
  <c r="H848" s="1"/>
  <c r="E849"/>
  <c r="H849"/>
  <c r="E850"/>
  <c r="H850" s="1"/>
  <c r="E851"/>
  <c r="H851" s="1"/>
  <c r="E852"/>
  <c r="H852" s="1"/>
  <c r="E853"/>
  <c r="H853" s="1"/>
  <c r="I853"/>
  <c r="E854"/>
  <c r="H854" s="1"/>
  <c r="E855"/>
  <c r="H855" s="1"/>
  <c r="E856"/>
  <c r="H856" s="1"/>
  <c r="I856"/>
  <c r="E857"/>
  <c r="I857" s="1"/>
  <c r="H857"/>
  <c r="E858"/>
  <c r="H858" s="1"/>
  <c r="E859"/>
  <c r="I859" s="1"/>
  <c r="H859"/>
  <c r="E860"/>
  <c r="H860" s="1"/>
  <c r="I860"/>
  <c r="E861"/>
  <c r="E862"/>
  <c r="H862" s="1"/>
  <c r="F862"/>
  <c r="E863"/>
  <c r="F863"/>
  <c r="H863"/>
  <c r="I863"/>
  <c r="E864"/>
  <c r="H864" s="1"/>
  <c r="E865"/>
  <c r="F865"/>
  <c r="H865"/>
  <c r="I865"/>
  <c r="E866"/>
  <c r="H866" s="1"/>
  <c r="E867"/>
  <c r="H867" s="1"/>
  <c r="E868"/>
  <c r="H868" s="1"/>
  <c r="I868"/>
  <c r="E869"/>
  <c r="F869" s="1"/>
  <c r="H869"/>
  <c r="E870"/>
  <c r="H870" s="1"/>
  <c r="E871"/>
  <c r="H871" s="1"/>
  <c r="I871"/>
  <c r="E872"/>
  <c r="H872" s="1"/>
  <c r="E873"/>
  <c r="H873" s="1"/>
  <c r="E874"/>
  <c r="H874" s="1"/>
  <c r="F874"/>
  <c r="I874"/>
  <c r="E875"/>
  <c r="I875" s="1"/>
  <c r="F875"/>
  <c r="E876"/>
  <c r="H876" s="1"/>
  <c r="E877"/>
  <c r="I877" s="1"/>
  <c r="F877"/>
  <c r="E878"/>
  <c r="H878" s="1"/>
  <c r="E879"/>
  <c r="H879"/>
  <c r="E880"/>
  <c r="H880" s="1"/>
  <c r="E881"/>
  <c r="I881" s="1"/>
  <c r="H881"/>
  <c r="E882"/>
  <c r="H882"/>
  <c r="E883"/>
  <c r="I883" s="1"/>
  <c r="E884"/>
  <c r="H884" s="1"/>
  <c r="I884"/>
  <c r="E885"/>
  <c r="H885" s="1"/>
  <c r="E886"/>
  <c r="H886" s="1"/>
  <c r="E887"/>
  <c r="I887" s="1"/>
  <c r="E888"/>
  <c r="H888"/>
  <c r="E889"/>
  <c r="I889" s="1"/>
  <c r="E890"/>
  <c r="H890" s="1"/>
  <c r="I890"/>
  <c r="E891"/>
  <c r="H891" s="1"/>
  <c r="E892"/>
  <c r="H892" s="1"/>
  <c r="I892"/>
  <c r="E893"/>
  <c r="I893" s="1"/>
  <c r="F893"/>
  <c r="H893"/>
  <c r="E894"/>
  <c r="H894"/>
  <c r="E895"/>
  <c r="I895" s="1"/>
  <c r="F895"/>
  <c r="H895"/>
  <c r="E896"/>
  <c r="H896" s="1"/>
  <c r="I896"/>
  <c r="E897"/>
  <c r="E898"/>
  <c r="H898" s="1"/>
  <c r="F898"/>
  <c r="E899"/>
  <c r="I899" s="1"/>
  <c r="F899"/>
  <c r="E900"/>
  <c r="H900" s="1"/>
  <c r="E901"/>
  <c r="I901" s="1"/>
  <c r="F901"/>
  <c r="E902"/>
  <c r="H902" s="1"/>
  <c r="E903"/>
  <c r="H903"/>
  <c r="E904"/>
  <c r="H904" s="1"/>
  <c r="I904"/>
  <c r="E905"/>
  <c r="I905" s="1"/>
  <c r="E906"/>
  <c r="H906" s="1"/>
  <c r="E907"/>
  <c r="I907" s="1"/>
  <c r="E908"/>
  <c r="H908" s="1"/>
  <c r="E909"/>
  <c r="H909" s="1"/>
  <c r="E910"/>
  <c r="H910" s="1"/>
  <c r="E911"/>
  <c r="F911"/>
  <c r="H911"/>
  <c r="I911"/>
  <c r="E912"/>
  <c r="E913"/>
  <c r="F913" s="1"/>
  <c r="I913"/>
  <c r="E914"/>
  <c r="H914" s="1"/>
  <c r="I914"/>
  <c r="E915"/>
  <c r="H915" s="1"/>
  <c r="E916"/>
  <c r="H916" s="1"/>
  <c r="E917"/>
  <c r="H917" s="1"/>
  <c r="I917"/>
  <c r="E918"/>
  <c r="H918" s="1"/>
  <c r="E919"/>
  <c r="H919" s="1"/>
  <c r="I919"/>
  <c r="E920"/>
  <c r="H920" s="1"/>
  <c r="E921"/>
  <c r="H921" s="1"/>
  <c r="E922"/>
  <c r="H922" s="1"/>
  <c r="F922"/>
  <c r="I922"/>
  <c r="E923"/>
  <c r="I923" s="1"/>
  <c r="E924"/>
  <c r="H924" s="1"/>
  <c r="E925"/>
  <c r="I925" s="1"/>
  <c r="F925"/>
  <c r="E926"/>
  <c r="H926" s="1"/>
  <c r="E927"/>
  <c r="E928"/>
  <c r="H928" s="1"/>
  <c r="E929"/>
  <c r="I929" s="1"/>
  <c r="E930"/>
  <c r="H930"/>
  <c r="E931"/>
  <c r="I931" s="1"/>
  <c r="E932"/>
  <c r="H932" s="1"/>
  <c r="E933"/>
  <c r="E934"/>
  <c r="H934" s="1"/>
  <c r="I934"/>
  <c r="E935"/>
  <c r="I935" s="1"/>
  <c r="F935"/>
  <c r="E936"/>
  <c r="H936"/>
  <c r="E937"/>
  <c r="I937" s="1"/>
  <c r="F937"/>
  <c r="E938"/>
  <c r="H938" s="1"/>
  <c r="I938"/>
  <c r="E939"/>
  <c r="H939"/>
  <c r="E940"/>
  <c r="H940" s="1"/>
  <c r="E941"/>
  <c r="H941" s="1"/>
  <c r="I941"/>
  <c r="E942"/>
  <c r="H942" s="1"/>
  <c r="E943"/>
  <c r="I943" s="1"/>
  <c r="F943"/>
  <c r="E944"/>
  <c r="H944" s="1"/>
  <c r="E945"/>
  <c r="H945"/>
  <c r="E946"/>
  <c r="H946" s="1"/>
  <c r="I946"/>
  <c r="E947"/>
  <c r="I947" s="1"/>
  <c r="E948"/>
  <c r="E949"/>
  <c r="I949" s="1"/>
  <c r="E950"/>
  <c r="H950" s="1"/>
  <c r="E951"/>
  <c r="H951" s="1"/>
  <c r="E952"/>
  <c r="H952" s="1"/>
  <c r="E953"/>
  <c r="F953"/>
  <c r="H953"/>
  <c r="I953"/>
  <c r="E954"/>
  <c r="H954" s="1"/>
  <c r="E955"/>
  <c r="F955" s="1"/>
  <c r="H955"/>
  <c r="I955"/>
  <c r="E956"/>
  <c r="H956" s="1"/>
  <c r="E957"/>
  <c r="H957" s="1"/>
  <c r="E958"/>
  <c r="H958" s="1"/>
  <c r="I958"/>
  <c r="E959"/>
  <c r="F959" s="1"/>
  <c r="H959"/>
  <c r="I959"/>
  <c r="E960"/>
  <c r="E961"/>
  <c r="H961" s="1"/>
  <c r="I961"/>
  <c r="E962"/>
  <c r="H962" s="1"/>
  <c r="E963"/>
  <c r="H963" s="1"/>
  <c r="E964"/>
  <c r="H964" s="1"/>
  <c r="E965"/>
  <c r="I965" s="1"/>
  <c r="H965"/>
  <c r="E966"/>
  <c r="H966"/>
  <c r="E967"/>
  <c r="I967" s="1"/>
  <c r="E968"/>
  <c r="H968" s="1"/>
  <c r="I968"/>
  <c r="E969"/>
  <c r="E970"/>
  <c r="H970" s="1"/>
  <c r="F970"/>
  <c r="E971"/>
  <c r="F971"/>
  <c r="H971"/>
  <c r="I971"/>
  <c r="E972"/>
  <c r="H972" s="1"/>
  <c r="E973"/>
  <c r="I973" s="1"/>
  <c r="E974"/>
  <c r="H974" s="1"/>
  <c r="E975"/>
  <c r="H975"/>
  <c r="E976"/>
  <c r="H976" s="1"/>
  <c r="I976"/>
  <c r="E977"/>
  <c r="F977" s="1"/>
  <c r="H977"/>
  <c r="I977"/>
  <c r="E978"/>
  <c r="H978" s="1"/>
  <c r="E979"/>
  <c r="H979" s="1"/>
  <c r="I979"/>
  <c r="E980"/>
  <c r="H980" s="1"/>
  <c r="E981"/>
  <c r="E982"/>
  <c r="H982" s="1"/>
  <c r="I982"/>
  <c r="E983"/>
  <c r="I983" s="1"/>
  <c r="H983"/>
  <c r="E984"/>
  <c r="E985"/>
  <c r="I985" s="1"/>
  <c r="E986"/>
  <c r="H986" s="1"/>
  <c r="E987"/>
  <c r="H987" s="1"/>
  <c r="E988"/>
  <c r="H988" s="1"/>
  <c r="E989"/>
  <c r="F989"/>
  <c r="H989"/>
  <c r="I989"/>
  <c r="E990"/>
  <c r="H990" s="1"/>
  <c r="E991"/>
  <c r="F991"/>
  <c r="H991"/>
  <c r="I991"/>
  <c r="E992"/>
  <c r="H992" s="1"/>
  <c r="E993"/>
  <c r="H993" s="1"/>
  <c r="E994"/>
  <c r="H994" s="1"/>
  <c r="I994"/>
  <c r="E995"/>
  <c r="F995" s="1"/>
  <c r="H995"/>
  <c r="E996"/>
  <c r="E997"/>
  <c r="H997" s="1"/>
  <c r="I997"/>
  <c r="E998"/>
  <c r="H998" s="1"/>
  <c r="E999"/>
  <c r="H999" s="1"/>
  <c r="E1000"/>
  <c r="H1000" s="1"/>
  <c r="E1001"/>
  <c r="I1001" s="1"/>
  <c r="H1001"/>
  <c r="H1001" i="6"/>
  <c r="F1001"/>
  <c r="E1001"/>
  <c r="I1001" s="1"/>
  <c r="F1000"/>
  <c r="E1000"/>
  <c r="I1000" s="1"/>
  <c r="E999"/>
  <c r="E998"/>
  <c r="H998" s="1"/>
  <c r="I997"/>
  <c r="H997"/>
  <c r="E997"/>
  <c r="F997" s="1"/>
  <c r="I996"/>
  <c r="H996"/>
  <c r="F996"/>
  <c r="E996"/>
  <c r="H995"/>
  <c r="F995"/>
  <c r="E995"/>
  <c r="I995" s="1"/>
  <c r="F994"/>
  <c r="E994"/>
  <c r="I994" s="1"/>
  <c r="E993"/>
  <c r="E992"/>
  <c r="H992" s="1"/>
  <c r="I991"/>
  <c r="H991"/>
  <c r="E991"/>
  <c r="F991" s="1"/>
  <c r="I990"/>
  <c r="H990"/>
  <c r="F990"/>
  <c r="E990"/>
  <c r="H989"/>
  <c r="F989"/>
  <c r="E989"/>
  <c r="I989" s="1"/>
  <c r="F988"/>
  <c r="E988"/>
  <c r="I988" s="1"/>
  <c r="E987"/>
  <c r="E986"/>
  <c r="H986" s="1"/>
  <c r="I985"/>
  <c r="H985"/>
  <c r="E985"/>
  <c r="F985" s="1"/>
  <c r="I984"/>
  <c r="H984"/>
  <c r="F984"/>
  <c r="E984"/>
  <c r="H983"/>
  <c r="F983"/>
  <c r="E983"/>
  <c r="I983" s="1"/>
  <c r="F982"/>
  <c r="E982"/>
  <c r="I982" s="1"/>
  <c r="E981"/>
  <c r="E980"/>
  <c r="H980" s="1"/>
  <c r="I979"/>
  <c r="H979"/>
  <c r="E979"/>
  <c r="F979" s="1"/>
  <c r="I978"/>
  <c r="H978"/>
  <c r="F978"/>
  <c r="E978"/>
  <c r="H977"/>
  <c r="F977"/>
  <c r="E977"/>
  <c r="I977" s="1"/>
  <c r="F976"/>
  <c r="E976"/>
  <c r="I976" s="1"/>
  <c r="F975"/>
  <c r="E975"/>
  <c r="E974"/>
  <c r="I973"/>
  <c r="H973"/>
  <c r="E973"/>
  <c r="F973" s="1"/>
  <c r="I972"/>
  <c r="H972"/>
  <c r="F972"/>
  <c r="E972"/>
  <c r="H971"/>
  <c r="F971"/>
  <c r="E971"/>
  <c r="I971" s="1"/>
  <c r="F970"/>
  <c r="E970"/>
  <c r="I970" s="1"/>
  <c r="E969"/>
  <c r="F969" s="1"/>
  <c r="E968"/>
  <c r="I967"/>
  <c r="H967"/>
  <c r="E967"/>
  <c r="F967" s="1"/>
  <c r="I966"/>
  <c r="H966"/>
  <c r="F966"/>
  <c r="E966"/>
  <c r="H965"/>
  <c r="F965"/>
  <c r="E965"/>
  <c r="I965" s="1"/>
  <c r="F964"/>
  <c r="E964"/>
  <c r="I964" s="1"/>
  <c r="E963"/>
  <c r="E962"/>
  <c r="I961"/>
  <c r="H961"/>
  <c r="E961"/>
  <c r="F961" s="1"/>
  <c r="I960"/>
  <c r="H960"/>
  <c r="F960"/>
  <c r="E960"/>
  <c r="H959"/>
  <c r="F959"/>
  <c r="E959"/>
  <c r="I959" s="1"/>
  <c r="F958"/>
  <c r="E958"/>
  <c r="I958" s="1"/>
  <c r="F957"/>
  <c r="E957"/>
  <c r="E956"/>
  <c r="I955"/>
  <c r="H955"/>
  <c r="E955"/>
  <c r="F955" s="1"/>
  <c r="I954"/>
  <c r="H954"/>
  <c r="F954"/>
  <c r="E954"/>
  <c r="H953"/>
  <c r="F953"/>
  <c r="E953"/>
  <c r="I953" s="1"/>
  <c r="F952"/>
  <c r="E952"/>
  <c r="I952" s="1"/>
  <c r="E951"/>
  <c r="F951" s="1"/>
  <c r="E950"/>
  <c r="I949"/>
  <c r="H949"/>
  <c r="E949"/>
  <c r="F949" s="1"/>
  <c r="I948"/>
  <c r="H948"/>
  <c r="F948"/>
  <c r="E948"/>
  <c r="H947"/>
  <c r="F947"/>
  <c r="E947"/>
  <c r="I947" s="1"/>
  <c r="F946"/>
  <c r="E946"/>
  <c r="I946" s="1"/>
  <c r="F945"/>
  <c r="E945"/>
  <c r="E944"/>
  <c r="I943"/>
  <c r="H943"/>
  <c r="E943"/>
  <c r="F943" s="1"/>
  <c r="I942"/>
  <c r="H942"/>
  <c r="F942"/>
  <c r="E942"/>
  <c r="H941"/>
  <c r="F941"/>
  <c r="E941"/>
  <c r="I941" s="1"/>
  <c r="F940"/>
  <c r="E940"/>
  <c r="I940" s="1"/>
  <c r="E939"/>
  <c r="F939" s="1"/>
  <c r="E938"/>
  <c r="I937"/>
  <c r="H937"/>
  <c r="E937"/>
  <c r="F937" s="1"/>
  <c r="I936"/>
  <c r="H936"/>
  <c r="F936"/>
  <c r="E936"/>
  <c r="H935"/>
  <c r="F935"/>
  <c r="E935"/>
  <c r="I935" s="1"/>
  <c r="F934"/>
  <c r="E934"/>
  <c r="I934" s="1"/>
  <c r="E933"/>
  <c r="F933" s="1"/>
  <c r="E932"/>
  <c r="I931"/>
  <c r="H931"/>
  <c r="E931"/>
  <c r="F931" s="1"/>
  <c r="I930"/>
  <c r="H930"/>
  <c r="F930"/>
  <c r="E930"/>
  <c r="H929"/>
  <c r="F929"/>
  <c r="E929"/>
  <c r="I929" s="1"/>
  <c r="F928"/>
  <c r="E928"/>
  <c r="I928" s="1"/>
  <c r="F927"/>
  <c r="E927"/>
  <c r="E926"/>
  <c r="I925"/>
  <c r="H925"/>
  <c r="E925"/>
  <c r="F925" s="1"/>
  <c r="I924"/>
  <c r="H924"/>
  <c r="F924"/>
  <c r="E924"/>
  <c r="H923"/>
  <c r="F923"/>
  <c r="E923"/>
  <c r="I923" s="1"/>
  <c r="F922"/>
  <c r="E922"/>
  <c r="I922" s="1"/>
  <c r="F921"/>
  <c r="E921"/>
  <c r="E920"/>
  <c r="I919"/>
  <c r="H919"/>
  <c r="E919"/>
  <c r="F919" s="1"/>
  <c r="I918"/>
  <c r="H918"/>
  <c r="F918"/>
  <c r="E918"/>
  <c r="H917"/>
  <c r="F917"/>
  <c r="E917"/>
  <c r="I917" s="1"/>
  <c r="F916"/>
  <c r="E916"/>
  <c r="I916" s="1"/>
  <c r="E915"/>
  <c r="F915" s="1"/>
  <c r="E914"/>
  <c r="I913"/>
  <c r="H913"/>
  <c r="E913"/>
  <c r="F913" s="1"/>
  <c r="I912"/>
  <c r="H912"/>
  <c r="F912"/>
  <c r="E912"/>
  <c r="H911"/>
  <c r="F911"/>
  <c r="E911"/>
  <c r="I911" s="1"/>
  <c r="F910"/>
  <c r="E910"/>
  <c r="I910" s="1"/>
  <c r="F909"/>
  <c r="E909"/>
  <c r="E908"/>
  <c r="I907"/>
  <c r="H907"/>
  <c r="E907"/>
  <c r="F907" s="1"/>
  <c r="I906"/>
  <c r="H906"/>
  <c r="F906"/>
  <c r="E906"/>
  <c r="H905"/>
  <c r="F905"/>
  <c r="E905"/>
  <c r="I905" s="1"/>
  <c r="F904"/>
  <c r="E904"/>
  <c r="I904" s="1"/>
  <c r="E903"/>
  <c r="F903" s="1"/>
  <c r="E902"/>
  <c r="I901"/>
  <c r="H901"/>
  <c r="E901"/>
  <c r="F901" s="1"/>
  <c r="I900"/>
  <c r="H900"/>
  <c r="F900"/>
  <c r="E900"/>
  <c r="H899"/>
  <c r="F899"/>
  <c r="E899"/>
  <c r="I899" s="1"/>
  <c r="F898"/>
  <c r="E898"/>
  <c r="I898" s="1"/>
  <c r="E897"/>
  <c r="F897" s="1"/>
  <c r="E896"/>
  <c r="I895"/>
  <c r="H895"/>
  <c r="E895"/>
  <c r="F895" s="1"/>
  <c r="I894"/>
  <c r="H894"/>
  <c r="F894"/>
  <c r="E894"/>
  <c r="H893"/>
  <c r="F893"/>
  <c r="E893"/>
  <c r="I893" s="1"/>
  <c r="F892"/>
  <c r="E892"/>
  <c r="I892" s="1"/>
  <c r="F891"/>
  <c r="E891"/>
  <c r="E890"/>
  <c r="I889"/>
  <c r="H889"/>
  <c r="E889"/>
  <c r="F889" s="1"/>
  <c r="I888"/>
  <c r="H888"/>
  <c r="F888"/>
  <c r="E888"/>
  <c r="H887"/>
  <c r="F887"/>
  <c r="E887"/>
  <c r="I887" s="1"/>
  <c r="F886"/>
  <c r="E886"/>
  <c r="I886" s="1"/>
  <c r="F885"/>
  <c r="E885"/>
  <c r="E884"/>
  <c r="I883"/>
  <c r="H883"/>
  <c r="E883"/>
  <c r="F883" s="1"/>
  <c r="I882"/>
  <c r="H882"/>
  <c r="F882"/>
  <c r="E882"/>
  <c r="H881"/>
  <c r="F881"/>
  <c r="E881"/>
  <c r="I881" s="1"/>
  <c r="F880"/>
  <c r="E880"/>
  <c r="I880" s="1"/>
  <c r="E879"/>
  <c r="F879" s="1"/>
  <c r="E878"/>
  <c r="I877"/>
  <c r="H877"/>
  <c r="E877"/>
  <c r="F877" s="1"/>
  <c r="I876"/>
  <c r="H876"/>
  <c r="F876"/>
  <c r="E876"/>
  <c r="H875"/>
  <c r="F875"/>
  <c r="E875"/>
  <c r="I875" s="1"/>
  <c r="F874"/>
  <c r="E874"/>
  <c r="I874" s="1"/>
  <c r="F873"/>
  <c r="E873"/>
  <c r="E872"/>
  <c r="I871"/>
  <c r="H871"/>
  <c r="E871"/>
  <c r="F871" s="1"/>
  <c r="I870"/>
  <c r="H870"/>
  <c r="F870"/>
  <c r="E870"/>
  <c r="H869"/>
  <c r="F869"/>
  <c r="E869"/>
  <c r="I869" s="1"/>
  <c r="E868"/>
  <c r="F868" s="1"/>
  <c r="F867"/>
  <c r="E867"/>
  <c r="I866"/>
  <c r="E866"/>
  <c r="I865"/>
  <c r="H865"/>
  <c r="E865"/>
  <c r="F865" s="1"/>
  <c r="I864"/>
  <c r="H864"/>
  <c r="F864"/>
  <c r="E864"/>
  <c r="H863"/>
  <c r="F863"/>
  <c r="E863"/>
  <c r="I863" s="1"/>
  <c r="E862"/>
  <c r="F862" s="1"/>
  <c r="E861"/>
  <c r="F861" s="1"/>
  <c r="I860"/>
  <c r="E860"/>
  <c r="I859"/>
  <c r="H859"/>
  <c r="E859"/>
  <c r="F859" s="1"/>
  <c r="I858"/>
  <c r="H858"/>
  <c r="F858"/>
  <c r="E858"/>
  <c r="H857"/>
  <c r="F857"/>
  <c r="E857"/>
  <c r="I857" s="1"/>
  <c r="F856"/>
  <c r="E856"/>
  <c r="F855"/>
  <c r="E855"/>
  <c r="E854"/>
  <c r="I854" s="1"/>
  <c r="I853"/>
  <c r="H853"/>
  <c r="E853"/>
  <c r="F853" s="1"/>
  <c r="I852"/>
  <c r="H852"/>
  <c r="F852"/>
  <c r="E852"/>
  <c r="H851"/>
  <c r="F851"/>
  <c r="E851"/>
  <c r="I851" s="1"/>
  <c r="E850"/>
  <c r="F850" s="1"/>
  <c r="F849"/>
  <c r="E849"/>
  <c r="E848"/>
  <c r="I848" s="1"/>
  <c r="I847"/>
  <c r="H847"/>
  <c r="E847"/>
  <c r="F847" s="1"/>
  <c r="I846"/>
  <c r="H846"/>
  <c r="F846"/>
  <c r="E846"/>
  <c r="H845"/>
  <c r="F845"/>
  <c r="E845"/>
  <c r="I845" s="1"/>
  <c r="F844"/>
  <c r="E844"/>
  <c r="E843"/>
  <c r="F843" s="1"/>
  <c r="I842"/>
  <c r="E842"/>
  <c r="I841"/>
  <c r="H841"/>
  <c r="E841"/>
  <c r="F841" s="1"/>
  <c r="I840"/>
  <c r="H840"/>
  <c r="F840"/>
  <c r="E840"/>
  <c r="H839"/>
  <c r="F839"/>
  <c r="E839"/>
  <c r="I839" s="1"/>
  <c r="F838"/>
  <c r="E838"/>
  <c r="E837"/>
  <c r="F837" s="1"/>
  <c r="E836"/>
  <c r="I836" s="1"/>
  <c r="I835"/>
  <c r="H835"/>
  <c r="E835"/>
  <c r="F835" s="1"/>
  <c r="I834"/>
  <c r="H834"/>
  <c r="F834"/>
  <c r="E834"/>
  <c r="H833"/>
  <c r="F833"/>
  <c r="E833"/>
  <c r="I833" s="1"/>
  <c r="E832"/>
  <c r="F832" s="1"/>
  <c r="F831"/>
  <c r="E831"/>
  <c r="I830"/>
  <c r="E830"/>
  <c r="I829"/>
  <c r="H829"/>
  <c r="E829"/>
  <c r="F829" s="1"/>
  <c r="I828"/>
  <c r="H828"/>
  <c r="F828"/>
  <c r="E828"/>
  <c r="H827"/>
  <c r="F827"/>
  <c r="E827"/>
  <c r="I827" s="1"/>
  <c r="E826"/>
  <c r="F826" s="1"/>
  <c r="E825"/>
  <c r="F825" s="1"/>
  <c r="I824"/>
  <c r="E824"/>
  <c r="I823"/>
  <c r="H823"/>
  <c r="E823"/>
  <c r="F823" s="1"/>
  <c r="I822"/>
  <c r="H822"/>
  <c r="F822"/>
  <c r="E822"/>
  <c r="H821"/>
  <c r="F821"/>
  <c r="E821"/>
  <c r="I821" s="1"/>
  <c r="F820"/>
  <c r="E820"/>
  <c r="F819"/>
  <c r="E819"/>
  <c r="E818"/>
  <c r="I818" s="1"/>
  <c r="I817"/>
  <c r="H817"/>
  <c r="E817"/>
  <c r="F817" s="1"/>
  <c r="I816"/>
  <c r="H816"/>
  <c r="F816"/>
  <c r="E816"/>
  <c r="H815"/>
  <c r="F815"/>
  <c r="E815"/>
  <c r="I815" s="1"/>
  <c r="E814"/>
  <c r="F814" s="1"/>
  <c r="F813"/>
  <c r="E813"/>
  <c r="E812"/>
  <c r="I812" s="1"/>
  <c r="I811"/>
  <c r="H811"/>
  <c r="E811"/>
  <c r="F811" s="1"/>
  <c r="I810"/>
  <c r="H810"/>
  <c r="F810"/>
  <c r="E810"/>
  <c r="H809"/>
  <c r="F809"/>
  <c r="E809"/>
  <c r="I809" s="1"/>
  <c r="F808"/>
  <c r="E808"/>
  <c r="E807"/>
  <c r="F807" s="1"/>
  <c r="I806"/>
  <c r="E806"/>
  <c r="I805"/>
  <c r="H805"/>
  <c r="E805"/>
  <c r="F805" s="1"/>
  <c r="I804"/>
  <c r="H804"/>
  <c r="F804"/>
  <c r="E804"/>
  <c r="H803"/>
  <c r="F803"/>
  <c r="E803"/>
  <c r="I803" s="1"/>
  <c r="F802"/>
  <c r="E802"/>
  <c r="E801"/>
  <c r="F801" s="1"/>
  <c r="E800"/>
  <c r="I800" s="1"/>
  <c r="I799"/>
  <c r="H799"/>
  <c r="E799"/>
  <c r="F799" s="1"/>
  <c r="I798"/>
  <c r="H798"/>
  <c r="F798"/>
  <c r="E798"/>
  <c r="H797"/>
  <c r="F797"/>
  <c r="E797"/>
  <c r="I797" s="1"/>
  <c r="E796"/>
  <c r="F796" s="1"/>
  <c r="F795"/>
  <c r="E795"/>
  <c r="I794"/>
  <c r="E794"/>
  <c r="I793"/>
  <c r="H793"/>
  <c r="E793"/>
  <c r="F793" s="1"/>
  <c r="I792"/>
  <c r="H792"/>
  <c r="F792"/>
  <c r="E792"/>
  <c r="H791"/>
  <c r="F791"/>
  <c r="E791"/>
  <c r="I791" s="1"/>
  <c r="E790"/>
  <c r="F790" s="1"/>
  <c r="E789"/>
  <c r="F789" s="1"/>
  <c r="I788"/>
  <c r="E788"/>
  <c r="I787"/>
  <c r="H787"/>
  <c r="E787"/>
  <c r="F787" s="1"/>
  <c r="I786"/>
  <c r="H786"/>
  <c r="F786"/>
  <c r="E786"/>
  <c r="H785"/>
  <c r="F785"/>
  <c r="E785"/>
  <c r="I785" s="1"/>
  <c r="F784"/>
  <c r="E784"/>
  <c r="F783"/>
  <c r="E783"/>
  <c r="E782"/>
  <c r="I782" s="1"/>
  <c r="I781"/>
  <c r="H781"/>
  <c r="E781"/>
  <c r="F781" s="1"/>
  <c r="I780"/>
  <c r="H780"/>
  <c r="F780"/>
  <c r="E780"/>
  <c r="H779"/>
  <c r="F779"/>
  <c r="E779"/>
  <c r="I779" s="1"/>
  <c r="E778"/>
  <c r="F778" s="1"/>
  <c r="F777"/>
  <c r="E777"/>
  <c r="E776"/>
  <c r="I776" s="1"/>
  <c r="I775"/>
  <c r="H775"/>
  <c r="E775"/>
  <c r="F775" s="1"/>
  <c r="I774"/>
  <c r="H774"/>
  <c r="F774"/>
  <c r="E774"/>
  <c r="H773"/>
  <c r="F773"/>
  <c r="E773"/>
  <c r="I773" s="1"/>
  <c r="F772"/>
  <c r="E772"/>
  <c r="E771"/>
  <c r="F771" s="1"/>
  <c r="I770"/>
  <c r="E770"/>
  <c r="I769"/>
  <c r="H769"/>
  <c r="E769"/>
  <c r="F769" s="1"/>
  <c r="I768"/>
  <c r="H768"/>
  <c r="F768"/>
  <c r="E768"/>
  <c r="H767"/>
  <c r="F767"/>
  <c r="E767"/>
  <c r="I767" s="1"/>
  <c r="F766"/>
  <c r="E766"/>
  <c r="E765"/>
  <c r="F765" s="1"/>
  <c r="E764"/>
  <c r="I764" s="1"/>
  <c r="I763"/>
  <c r="H763"/>
  <c r="E763"/>
  <c r="F763" s="1"/>
  <c r="I762"/>
  <c r="H762"/>
  <c r="F762"/>
  <c r="E762"/>
  <c r="H761"/>
  <c r="F761"/>
  <c r="E761"/>
  <c r="I761" s="1"/>
  <c r="E760"/>
  <c r="F760" s="1"/>
  <c r="F759"/>
  <c r="E759"/>
  <c r="I758"/>
  <c r="E758"/>
  <c r="I757"/>
  <c r="H757"/>
  <c r="E757"/>
  <c r="F757" s="1"/>
  <c r="I756"/>
  <c r="H756"/>
  <c r="F756"/>
  <c r="E756"/>
  <c r="H755"/>
  <c r="F755"/>
  <c r="E755"/>
  <c r="I755" s="1"/>
  <c r="E754"/>
  <c r="F754" s="1"/>
  <c r="E753"/>
  <c r="F753" s="1"/>
  <c r="I752"/>
  <c r="E752"/>
  <c r="I751"/>
  <c r="H751"/>
  <c r="E751"/>
  <c r="F751" s="1"/>
  <c r="I750"/>
  <c r="H750"/>
  <c r="F750"/>
  <c r="E750"/>
  <c r="H749"/>
  <c r="F749"/>
  <c r="E749"/>
  <c r="I749" s="1"/>
  <c r="F748"/>
  <c r="E748"/>
  <c r="F747"/>
  <c r="E747"/>
  <c r="E746"/>
  <c r="I746" s="1"/>
  <c r="I745"/>
  <c r="H745"/>
  <c r="E745"/>
  <c r="F745" s="1"/>
  <c r="I744"/>
  <c r="H744"/>
  <c r="F744"/>
  <c r="E744"/>
  <c r="H743"/>
  <c r="F743"/>
  <c r="E743"/>
  <c r="I743" s="1"/>
  <c r="E742"/>
  <c r="F742" s="1"/>
  <c r="F741"/>
  <c r="E741"/>
  <c r="E740"/>
  <c r="I740" s="1"/>
  <c r="I739"/>
  <c r="H739"/>
  <c r="E739"/>
  <c r="F739" s="1"/>
  <c r="I738"/>
  <c r="H738"/>
  <c r="F738"/>
  <c r="E738"/>
  <c r="H737"/>
  <c r="F737"/>
  <c r="E737"/>
  <c r="I737" s="1"/>
  <c r="F736"/>
  <c r="E736"/>
  <c r="E735"/>
  <c r="F735" s="1"/>
  <c r="I734"/>
  <c r="E734"/>
  <c r="I733"/>
  <c r="H733"/>
  <c r="E733"/>
  <c r="F733" s="1"/>
  <c r="I732"/>
  <c r="H732"/>
  <c r="F732"/>
  <c r="E732"/>
  <c r="H731"/>
  <c r="F731"/>
  <c r="E731"/>
  <c r="I731" s="1"/>
  <c r="F730"/>
  <c r="E730"/>
  <c r="E729"/>
  <c r="F729" s="1"/>
  <c r="E728"/>
  <c r="I728" s="1"/>
  <c r="I727"/>
  <c r="H727"/>
  <c r="E727"/>
  <c r="F727" s="1"/>
  <c r="I726"/>
  <c r="H726"/>
  <c r="F726"/>
  <c r="E726"/>
  <c r="H725"/>
  <c r="F725"/>
  <c r="E725"/>
  <c r="I725" s="1"/>
  <c r="E724"/>
  <c r="F724" s="1"/>
  <c r="I723"/>
  <c r="E723"/>
  <c r="H723" s="1"/>
  <c r="E722"/>
  <c r="F722" s="1"/>
  <c r="I721"/>
  <c r="H721"/>
  <c r="E721"/>
  <c r="F721" s="1"/>
  <c r="I720"/>
  <c r="H720"/>
  <c r="F720"/>
  <c r="E720"/>
  <c r="E719"/>
  <c r="I719" s="1"/>
  <c r="F718"/>
  <c r="E718"/>
  <c r="E717"/>
  <c r="H717" s="1"/>
  <c r="H716"/>
  <c r="E716"/>
  <c r="F716" s="1"/>
  <c r="I715"/>
  <c r="H715"/>
  <c r="E715"/>
  <c r="F715" s="1"/>
  <c r="I714"/>
  <c r="H714"/>
  <c r="F714"/>
  <c r="E714"/>
  <c r="H713"/>
  <c r="F713"/>
  <c r="E713"/>
  <c r="I713" s="1"/>
  <c r="F712"/>
  <c r="E712"/>
  <c r="I711"/>
  <c r="F711"/>
  <c r="E711"/>
  <c r="H711" s="1"/>
  <c r="I710"/>
  <c r="H710"/>
  <c r="E710"/>
  <c r="F710" s="1"/>
  <c r="I709"/>
  <c r="H709"/>
  <c r="E709"/>
  <c r="F709" s="1"/>
  <c r="I708"/>
  <c r="H708"/>
  <c r="F708"/>
  <c r="E708"/>
  <c r="H707"/>
  <c r="E707"/>
  <c r="I707" s="1"/>
  <c r="E706"/>
  <c r="F706" s="1"/>
  <c r="I705"/>
  <c r="E705"/>
  <c r="H705" s="1"/>
  <c r="E704"/>
  <c r="F704" s="1"/>
  <c r="I703"/>
  <c r="H703"/>
  <c r="E703"/>
  <c r="F703" s="1"/>
  <c r="I702"/>
  <c r="H702"/>
  <c r="F702"/>
  <c r="E702"/>
  <c r="E701"/>
  <c r="I701" s="1"/>
  <c r="F700"/>
  <c r="E700"/>
  <c r="E699"/>
  <c r="H699" s="1"/>
  <c r="H698"/>
  <c r="E698"/>
  <c r="F698" s="1"/>
  <c r="I697"/>
  <c r="H697"/>
  <c r="E697"/>
  <c r="F697" s="1"/>
  <c r="I696"/>
  <c r="H696"/>
  <c r="F696"/>
  <c r="E696"/>
  <c r="H695"/>
  <c r="F695"/>
  <c r="E695"/>
  <c r="I695" s="1"/>
  <c r="F694"/>
  <c r="E694"/>
  <c r="I693"/>
  <c r="F693"/>
  <c r="E693"/>
  <c r="H693" s="1"/>
  <c r="I692"/>
  <c r="H692"/>
  <c r="E692"/>
  <c r="F692" s="1"/>
  <c r="I691"/>
  <c r="H691"/>
  <c r="E691"/>
  <c r="F691" s="1"/>
  <c r="I690"/>
  <c r="H690"/>
  <c r="F690"/>
  <c r="E690"/>
  <c r="H689"/>
  <c r="E689"/>
  <c r="I689" s="1"/>
  <c r="E688"/>
  <c r="F688" s="1"/>
  <c r="I687"/>
  <c r="E687"/>
  <c r="H687" s="1"/>
  <c r="E686"/>
  <c r="F686" s="1"/>
  <c r="I685"/>
  <c r="H685"/>
  <c r="E685"/>
  <c r="F685" s="1"/>
  <c r="I684"/>
  <c r="H684"/>
  <c r="F684"/>
  <c r="E684"/>
  <c r="E683"/>
  <c r="I683" s="1"/>
  <c r="F682"/>
  <c r="E682"/>
  <c r="E681"/>
  <c r="H681" s="1"/>
  <c r="I680"/>
  <c r="H680"/>
  <c r="E680"/>
  <c r="F680" s="1"/>
  <c r="I679"/>
  <c r="H679"/>
  <c r="E679"/>
  <c r="F679" s="1"/>
  <c r="I678"/>
  <c r="H678"/>
  <c r="F678"/>
  <c r="E678"/>
  <c r="H677"/>
  <c r="F677"/>
  <c r="E677"/>
  <c r="I677" s="1"/>
  <c r="F676"/>
  <c r="E676"/>
  <c r="I675"/>
  <c r="F675"/>
  <c r="E675"/>
  <c r="H675" s="1"/>
  <c r="I674"/>
  <c r="H674"/>
  <c r="E674"/>
  <c r="F674" s="1"/>
  <c r="I673"/>
  <c r="H673"/>
  <c r="E673"/>
  <c r="F673" s="1"/>
  <c r="I672"/>
  <c r="H672"/>
  <c r="F672"/>
  <c r="E672"/>
  <c r="H671"/>
  <c r="E671"/>
  <c r="I671" s="1"/>
  <c r="E670"/>
  <c r="F670" s="1"/>
  <c r="I669"/>
  <c r="F669"/>
  <c r="E669"/>
  <c r="H669" s="1"/>
  <c r="H668"/>
  <c r="F668"/>
  <c r="E668"/>
  <c r="I668" s="1"/>
  <c r="E667"/>
  <c r="F667" s="1"/>
  <c r="I666"/>
  <c r="H666"/>
  <c r="F666"/>
  <c r="E666"/>
  <c r="I665"/>
  <c r="H665"/>
  <c r="F665"/>
  <c r="E665"/>
  <c r="F664"/>
  <c r="E664"/>
  <c r="I664" s="1"/>
  <c r="E663"/>
  <c r="H663" s="1"/>
  <c r="I662"/>
  <c r="H662"/>
  <c r="F662"/>
  <c r="E662"/>
  <c r="H661"/>
  <c r="E661"/>
  <c r="F661" s="1"/>
  <c r="I660"/>
  <c r="H660"/>
  <c r="F660"/>
  <c r="E660"/>
  <c r="E659"/>
  <c r="H659" s="1"/>
  <c r="H658"/>
  <c r="F658"/>
  <c r="E658"/>
  <c r="I658" s="1"/>
  <c r="F657"/>
  <c r="E657"/>
  <c r="H657" s="1"/>
  <c r="E656"/>
  <c r="H656" s="1"/>
  <c r="I655"/>
  <c r="H655"/>
  <c r="E655"/>
  <c r="F655" s="1"/>
  <c r="I654"/>
  <c r="H654"/>
  <c r="F654"/>
  <c r="E654"/>
  <c r="F653"/>
  <c r="E653"/>
  <c r="I653" s="1"/>
  <c r="E652"/>
  <c r="I652" s="1"/>
  <c r="I651"/>
  <c r="F651"/>
  <c r="E651"/>
  <c r="H651" s="1"/>
  <c r="H650"/>
  <c r="F650"/>
  <c r="E650"/>
  <c r="I650" s="1"/>
  <c r="E649"/>
  <c r="F649" s="1"/>
  <c r="I648"/>
  <c r="H648"/>
  <c r="F648"/>
  <c r="E648"/>
  <c r="I647"/>
  <c r="H647"/>
  <c r="F647"/>
  <c r="E647"/>
  <c r="F646"/>
  <c r="E646"/>
  <c r="I646" s="1"/>
  <c r="E645"/>
  <c r="H645" s="1"/>
  <c r="I644"/>
  <c r="H644"/>
  <c r="F644"/>
  <c r="E644"/>
  <c r="H643"/>
  <c r="E643"/>
  <c r="F643" s="1"/>
  <c r="I642"/>
  <c r="H642"/>
  <c r="F642"/>
  <c r="E642"/>
  <c r="E641"/>
  <c r="H641" s="1"/>
  <c r="H640"/>
  <c r="F640"/>
  <c r="E640"/>
  <c r="I640" s="1"/>
  <c r="F639"/>
  <c r="E639"/>
  <c r="H639" s="1"/>
  <c r="E638"/>
  <c r="H638" s="1"/>
  <c r="I637"/>
  <c r="H637"/>
  <c r="E637"/>
  <c r="F637" s="1"/>
  <c r="I636"/>
  <c r="H636"/>
  <c r="F636"/>
  <c r="E636"/>
  <c r="F635"/>
  <c r="E635"/>
  <c r="I635" s="1"/>
  <c r="E634"/>
  <c r="I634" s="1"/>
  <c r="I633"/>
  <c r="F633"/>
  <c r="E633"/>
  <c r="H633" s="1"/>
  <c r="H632"/>
  <c r="F632"/>
  <c r="E632"/>
  <c r="I632" s="1"/>
  <c r="E631"/>
  <c r="F631" s="1"/>
  <c r="I630"/>
  <c r="H630"/>
  <c r="F630"/>
  <c r="E630"/>
  <c r="I629"/>
  <c r="H629"/>
  <c r="F629"/>
  <c r="E629"/>
  <c r="F628"/>
  <c r="E628"/>
  <c r="I628" s="1"/>
  <c r="E627"/>
  <c r="H627" s="1"/>
  <c r="I626"/>
  <c r="H626"/>
  <c r="F626"/>
  <c r="E626"/>
  <c r="H625"/>
  <c r="E625"/>
  <c r="F625" s="1"/>
  <c r="I624"/>
  <c r="H624"/>
  <c r="F624"/>
  <c r="E624"/>
  <c r="E623"/>
  <c r="H623" s="1"/>
  <c r="H622"/>
  <c r="F622"/>
  <c r="E622"/>
  <c r="I622" s="1"/>
  <c r="F621"/>
  <c r="E621"/>
  <c r="H621" s="1"/>
  <c r="E620"/>
  <c r="H620" s="1"/>
  <c r="I619"/>
  <c r="H619"/>
  <c r="E619"/>
  <c r="F619" s="1"/>
  <c r="H618"/>
  <c r="E618"/>
  <c r="F618" s="1"/>
  <c r="F617"/>
  <c r="E617"/>
  <c r="I617" s="1"/>
  <c r="E616"/>
  <c r="E615"/>
  <c r="H615" s="1"/>
  <c r="I614"/>
  <c r="H614"/>
  <c r="F614"/>
  <c r="E614"/>
  <c r="I613"/>
  <c r="H613"/>
  <c r="F613"/>
  <c r="E613"/>
  <c r="H612"/>
  <c r="E612"/>
  <c r="F612" s="1"/>
  <c r="F611"/>
  <c r="E611"/>
  <c r="I611" s="1"/>
  <c r="E610"/>
  <c r="E609"/>
  <c r="H609" s="1"/>
  <c r="I608"/>
  <c r="H608"/>
  <c r="F608"/>
  <c r="E608"/>
  <c r="I607"/>
  <c r="H607"/>
  <c r="F607"/>
  <c r="E607"/>
  <c r="H606"/>
  <c r="E606"/>
  <c r="F606" s="1"/>
  <c r="F605"/>
  <c r="E605"/>
  <c r="I605" s="1"/>
  <c r="E604"/>
  <c r="E603"/>
  <c r="H603" s="1"/>
  <c r="I602"/>
  <c r="H602"/>
  <c r="F602"/>
  <c r="E602"/>
  <c r="I601"/>
  <c r="H601"/>
  <c r="F601"/>
  <c r="E601"/>
  <c r="H600"/>
  <c r="E600"/>
  <c r="F600" s="1"/>
  <c r="F599"/>
  <c r="E599"/>
  <c r="I599" s="1"/>
  <c r="F598"/>
  <c r="E598"/>
  <c r="E597"/>
  <c r="I596"/>
  <c r="H596"/>
  <c r="F596"/>
  <c r="E596"/>
  <c r="I595"/>
  <c r="H595"/>
  <c r="F595"/>
  <c r="E595"/>
  <c r="H594"/>
  <c r="E594"/>
  <c r="F594" s="1"/>
  <c r="F593"/>
  <c r="E593"/>
  <c r="I593" s="1"/>
  <c r="E592"/>
  <c r="F592" s="1"/>
  <c r="E591"/>
  <c r="I590"/>
  <c r="H590"/>
  <c r="F590"/>
  <c r="E590"/>
  <c r="I589"/>
  <c r="H589"/>
  <c r="F589"/>
  <c r="E589"/>
  <c r="H588"/>
  <c r="E588"/>
  <c r="F588" s="1"/>
  <c r="F587"/>
  <c r="E587"/>
  <c r="I587" s="1"/>
  <c r="E586"/>
  <c r="F586" s="1"/>
  <c r="E585"/>
  <c r="I584"/>
  <c r="H584"/>
  <c r="F584"/>
  <c r="E584"/>
  <c r="I583"/>
  <c r="H583"/>
  <c r="F583"/>
  <c r="E583"/>
  <c r="H582"/>
  <c r="E582"/>
  <c r="F582" s="1"/>
  <c r="F581"/>
  <c r="E581"/>
  <c r="I581" s="1"/>
  <c r="F580"/>
  <c r="E580"/>
  <c r="E579"/>
  <c r="I578"/>
  <c r="H578"/>
  <c r="F578"/>
  <c r="E578"/>
  <c r="I577"/>
  <c r="H577"/>
  <c r="F577"/>
  <c r="E577"/>
  <c r="H576"/>
  <c r="E576"/>
  <c r="F576" s="1"/>
  <c r="F575"/>
  <c r="E575"/>
  <c r="I575" s="1"/>
  <c r="E574"/>
  <c r="F574" s="1"/>
  <c r="E573"/>
  <c r="I572"/>
  <c r="H572"/>
  <c r="F572"/>
  <c r="E572"/>
  <c r="I571"/>
  <c r="H571"/>
  <c r="F571"/>
  <c r="E571"/>
  <c r="H570"/>
  <c r="E570"/>
  <c r="F570" s="1"/>
  <c r="F569"/>
  <c r="E569"/>
  <c r="I569" s="1"/>
  <c r="E568"/>
  <c r="F568" s="1"/>
  <c r="E567"/>
  <c r="I566"/>
  <c r="H566"/>
  <c r="F566"/>
  <c r="E566"/>
  <c r="I565"/>
  <c r="H565"/>
  <c r="F565"/>
  <c r="E565"/>
  <c r="H564"/>
  <c r="E564"/>
  <c r="F564" s="1"/>
  <c r="F563"/>
  <c r="E563"/>
  <c r="I563" s="1"/>
  <c r="F562"/>
  <c r="E562"/>
  <c r="E561"/>
  <c r="I560"/>
  <c r="H560"/>
  <c r="F560"/>
  <c r="E560"/>
  <c r="I559"/>
  <c r="H559"/>
  <c r="F559"/>
  <c r="E559"/>
  <c r="H558"/>
  <c r="E558"/>
  <c r="F558" s="1"/>
  <c r="F557"/>
  <c r="E557"/>
  <c r="I557" s="1"/>
  <c r="E556"/>
  <c r="F556" s="1"/>
  <c r="E555"/>
  <c r="I554"/>
  <c r="H554"/>
  <c r="F554"/>
  <c r="E554"/>
  <c r="I553"/>
  <c r="H553"/>
  <c r="F553"/>
  <c r="E553"/>
  <c r="H552"/>
  <c r="E552"/>
  <c r="F552" s="1"/>
  <c r="F551"/>
  <c r="E551"/>
  <c r="I551" s="1"/>
  <c r="E550"/>
  <c r="F550" s="1"/>
  <c r="E549"/>
  <c r="I548"/>
  <c r="H548"/>
  <c r="F548"/>
  <c r="E548"/>
  <c r="I547"/>
  <c r="H547"/>
  <c r="F547"/>
  <c r="E547"/>
  <c r="H546"/>
  <c r="E546"/>
  <c r="F546" s="1"/>
  <c r="F545"/>
  <c r="E545"/>
  <c r="I545" s="1"/>
  <c r="F544"/>
  <c r="E544"/>
  <c r="E543"/>
  <c r="I542"/>
  <c r="H542"/>
  <c r="F542"/>
  <c r="E542"/>
  <c r="I541"/>
  <c r="H541"/>
  <c r="F541"/>
  <c r="E541"/>
  <c r="H540"/>
  <c r="E540"/>
  <c r="F540" s="1"/>
  <c r="F539"/>
  <c r="E539"/>
  <c r="I539" s="1"/>
  <c r="E538"/>
  <c r="F538" s="1"/>
  <c r="E537"/>
  <c r="I536"/>
  <c r="H536"/>
  <c r="F536"/>
  <c r="E536"/>
  <c r="I535"/>
  <c r="H535"/>
  <c r="F535"/>
  <c r="E535"/>
  <c r="H534"/>
  <c r="E534"/>
  <c r="F534" s="1"/>
  <c r="F533"/>
  <c r="E533"/>
  <c r="I533" s="1"/>
  <c r="F532"/>
  <c r="E532"/>
  <c r="E531"/>
  <c r="I530"/>
  <c r="H530"/>
  <c r="F530"/>
  <c r="E530"/>
  <c r="I529"/>
  <c r="H529"/>
  <c r="F529"/>
  <c r="E529"/>
  <c r="H528"/>
  <c r="E528"/>
  <c r="F528" s="1"/>
  <c r="F527"/>
  <c r="E527"/>
  <c r="I527" s="1"/>
  <c r="F526"/>
  <c r="E526"/>
  <c r="E525"/>
  <c r="I524"/>
  <c r="H524"/>
  <c r="F524"/>
  <c r="E524"/>
  <c r="I523"/>
  <c r="H523"/>
  <c r="F523"/>
  <c r="E523"/>
  <c r="H522"/>
  <c r="E522"/>
  <c r="F522" s="1"/>
  <c r="F521"/>
  <c r="E521"/>
  <c r="I521" s="1"/>
  <c r="E520"/>
  <c r="F520" s="1"/>
  <c r="E519"/>
  <c r="I518"/>
  <c r="H518"/>
  <c r="F518"/>
  <c r="E518"/>
  <c r="I517"/>
  <c r="H517"/>
  <c r="F517"/>
  <c r="E517"/>
  <c r="H516"/>
  <c r="E516"/>
  <c r="F516" s="1"/>
  <c r="F515"/>
  <c r="E515"/>
  <c r="I515" s="1"/>
  <c r="E514"/>
  <c r="F514" s="1"/>
  <c r="E513"/>
  <c r="I512"/>
  <c r="H512"/>
  <c r="F512"/>
  <c r="E512"/>
  <c r="I511"/>
  <c r="H511"/>
  <c r="F511"/>
  <c r="E511"/>
  <c r="H510"/>
  <c r="E510"/>
  <c r="F510" s="1"/>
  <c r="F509"/>
  <c r="E509"/>
  <c r="I509" s="1"/>
  <c r="F508"/>
  <c r="E508"/>
  <c r="E507"/>
  <c r="I506"/>
  <c r="H506"/>
  <c r="F506"/>
  <c r="E506"/>
  <c r="I505"/>
  <c r="H505"/>
  <c r="F505"/>
  <c r="E505"/>
  <c r="H504"/>
  <c r="E504"/>
  <c r="F503"/>
  <c r="E503"/>
  <c r="I503" s="1"/>
  <c r="I502"/>
  <c r="E502"/>
  <c r="H502" s="1"/>
  <c r="H501"/>
  <c r="E501"/>
  <c r="I500"/>
  <c r="H500"/>
  <c r="F500"/>
  <c r="E500"/>
  <c r="I499"/>
  <c r="H499"/>
  <c r="F499"/>
  <c r="E499"/>
  <c r="H498"/>
  <c r="E498"/>
  <c r="F497"/>
  <c r="E497"/>
  <c r="I497" s="1"/>
  <c r="I496"/>
  <c r="F496"/>
  <c r="E496"/>
  <c r="H496" s="1"/>
  <c r="E495"/>
  <c r="H495" s="1"/>
  <c r="I494"/>
  <c r="H494"/>
  <c r="F494"/>
  <c r="E494"/>
  <c r="I493"/>
  <c r="H493"/>
  <c r="F493"/>
  <c r="E493"/>
  <c r="E492"/>
  <c r="I492" s="1"/>
  <c r="E491"/>
  <c r="H491" s="1"/>
  <c r="H490"/>
  <c r="F490"/>
  <c r="E490"/>
  <c r="I490" s="1"/>
  <c r="H489"/>
  <c r="E489"/>
  <c r="F489" s="1"/>
  <c r="I488"/>
  <c r="H488"/>
  <c r="F488"/>
  <c r="E488"/>
  <c r="E487"/>
  <c r="F487" s="1"/>
  <c r="F486"/>
  <c r="E486"/>
  <c r="I486" s="1"/>
  <c r="E485"/>
  <c r="H485" s="1"/>
  <c r="E484"/>
  <c r="F484" s="1"/>
  <c r="H483"/>
  <c r="E483"/>
  <c r="F483" s="1"/>
  <c r="I482"/>
  <c r="H482"/>
  <c r="F482"/>
  <c r="E482"/>
  <c r="E481"/>
  <c r="H481" s="1"/>
  <c r="E480"/>
  <c r="I480" s="1"/>
  <c r="F479"/>
  <c r="E479"/>
  <c r="H479" s="1"/>
  <c r="H478"/>
  <c r="E478"/>
  <c r="I478" s="1"/>
  <c r="E477"/>
  <c r="F477" s="1"/>
  <c r="I476"/>
  <c r="H476"/>
  <c r="F476"/>
  <c r="E476"/>
  <c r="I475"/>
  <c r="F475"/>
  <c r="E475"/>
  <c r="H475" s="1"/>
  <c r="E474"/>
  <c r="I474" s="1"/>
  <c r="E473"/>
  <c r="H473" s="1"/>
  <c r="H472"/>
  <c r="F472"/>
  <c r="E472"/>
  <c r="I472" s="1"/>
  <c r="H471"/>
  <c r="E471"/>
  <c r="F471" s="1"/>
  <c r="I470"/>
  <c r="H470"/>
  <c r="F470"/>
  <c r="E470"/>
  <c r="E469"/>
  <c r="F469" s="1"/>
  <c r="F468"/>
  <c r="E468"/>
  <c r="I468" s="1"/>
  <c r="E467"/>
  <c r="H467" s="1"/>
  <c r="E466"/>
  <c r="F466" s="1"/>
  <c r="H465"/>
  <c r="E465"/>
  <c r="F465" s="1"/>
  <c r="I464"/>
  <c r="H464"/>
  <c r="F464"/>
  <c r="E464"/>
  <c r="E463"/>
  <c r="H463" s="1"/>
  <c r="E462"/>
  <c r="I462" s="1"/>
  <c r="F461"/>
  <c r="E461"/>
  <c r="H461" s="1"/>
  <c r="H460"/>
  <c r="E460"/>
  <c r="I460" s="1"/>
  <c r="E459"/>
  <c r="F459" s="1"/>
  <c r="I458"/>
  <c r="H458"/>
  <c r="F458"/>
  <c r="E458"/>
  <c r="I457"/>
  <c r="F457"/>
  <c r="E457"/>
  <c r="H457" s="1"/>
  <c r="E456"/>
  <c r="I456" s="1"/>
  <c r="E455"/>
  <c r="H455" s="1"/>
  <c r="H454"/>
  <c r="F454"/>
  <c r="E454"/>
  <c r="I454" s="1"/>
  <c r="H453"/>
  <c r="E453"/>
  <c r="F453" s="1"/>
  <c r="I452"/>
  <c r="H452"/>
  <c r="F452"/>
  <c r="E452"/>
  <c r="E451"/>
  <c r="F451" s="1"/>
  <c r="F450"/>
  <c r="E450"/>
  <c r="I450" s="1"/>
  <c r="E449"/>
  <c r="H449" s="1"/>
  <c r="E448"/>
  <c r="F448" s="1"/>
  <c r="H447"/>
  <c r="E447"/>
  <c r="F447" s="1"/>
  <c r="I446"/>
  <c r="H446"/>
  <c r="F446"/>
  <c r="E446"/>
  <c r="E445"/>
  <c r="H445" s="1"/>
  <c r="E444"/>
  <c r="I444" s="1"/>
  <c r="F443"/>
  <c r="E443"/>
  <c r="H443" s="1"/>
  <c r="H442"/>
  <c r="E442"/>
  <c r="I442" s="1"/>
  <c r="E441"/>
  <c r="F441" s="1"/>
  <c r="I440"/>
  <c r="H440"/>
  <c r="F440"/>
  <c r="E440"/>
  <c r="I439"/>
  <c r="F439"/>
  <c r="E439"/>
  <c r="H439" s="1"/>
  <c r="E438"/>
  <c r="I438" s="1"/>
  <c r="E437"/>
  <c r="H437" s="1"/>
  <c r="H436"/>
  <c r="F436"/>
  <c r="E436"/>
  <c r="I436" s="1"/>
  <c r="H435"/>
  <c r="E435"/>
  <c r="F435" s="1"/>
  <c r="I434"/>
  <c r="H434"/>
  <c r="F434"/>
  <c r="E434"/>
  <c r="E433"/>
  <c r="F433" s="1"/>
  <c r="F432"/>
  <c r="E432"/>
  <c r="I432" s="1"/>
  <c r="E431"/>
  <c r="H431" s="1"/>
  <c r="E430"/>
  <c r="F430" s="1"/>
  <c r="H429"/>
  <c r="E429"/>
  <c r="F429" s="1"/>
  <c r="I428"/>
  <c r="H428"/>
  <c r="F428"/>
  <c r="E428"/>
  <c r="E427"/>
  <c r="H427" s="1"/>
  <c r="E426"/>
  <c r="I426" s="1"/>
  <c r="F425"/>
  <c r="E425"/>
  <c r="H425" s="1"/>
  <c r="H424"/>
  <c r="E424"/>
  <c r="I424" s="1"/>
  <c r="E423"/>
  <c r="F423" s="1"/>
  <c r="I422"/>
  <c r="H422"/>
  <c r="F422"/>
  <c r="E422"/>
  <c r="I421"/>
  <c r="F421"/>
  <c r="E421"/>
  <c r="H421" s="1"/>
  <c r="E420"/>
  <c r="I420" s="1"/>
  <c r="E419"/>
  <c r="H419" s="1"/>
  <c r="H418"/>
  <c r="F418"/>
  <c r="E418"/>
  <c r="I418" s="1"/>
  <c r="H417"/>
  <c r="E417"/>
  <c r="F417" s="1"/>
  <c r="I416"/>
  <c r="H416"/>
  <c r="F416"/>
  <c r="E416"/>
  <c r="E415"/>
  <c r="F415" s="1"/>
  <c r="F414"/>
  <c r="E414"/>
  <c r="I414" s="1"/>
  <c r="E413"/>
  <c r="H413" s="1"/>
  <c r="E412"/>
  <c r="F412" s="1"/>
  <c r="H411"/>
  <c r="E411"/>
  <c r="F411" s="1"/>
  <c r="I410"/>
  <c r="H410"/>
  <c r="F410"/>
  <c r="E410"/>
  <c r="E409"/>
  <c r="H409" s="1"/>
  <c r="E408"/>
  <c r="I408" s="1"/>
  <c r="F407"/>
  <c r="E407"/>
  <c r="H407" s="1"/>
  <c r="H406"/>
  <c r="E406"/>
  <c r="I406" s="1"/>
  <c r="E405"/>
  <c r="F405" s="1"/>
  <c r="I404"/>
  <c r="H404"/>
  <c r="F404"/>
  <c r="E404"/>
  <c r="I403"/>
  <c r="F403"/>
  <c r="E403"/>
  <c r="H403" s="1"/>
  <c r="E402"/>
  <c r="I402" s="1"/>
  <c r="E401"/>
  <c r="H401" s="1"/>
  <c r="H400"/>
  <c r="F400"/>
  <c r="E400"/>
  <c r="I400" s="1"/>
  <c r="H399"/>
  <c r="E399"/>
  <c r="F399" s="1"/>
  <c r="I398"/>
  <c r="H398"/>
  <c r="F398"/>
  <c r="E398"/>
  <c r="E397"/>
  <c r="F397" s="1"/>
  <c r="F396"/>
  <c r="E396"/>
  <c r="I396" s="1"/>
  <c r="E395"/>
  <c r="H395" s="1"/>
  <c r="E394"/>
  <c r="F394" s="1"/>
  <c r="H393"/>
  <c r="E393"/>
  <c r="F393" s="1"/>
  <c r="I392"/>
  <c r="H392"/>
  <c r="F392"/>
  <c r="E392"/>
  <c r="E391"/>
  <c r="H391" s="1"/>
  <c r="E390"/>
  <c r="I390" s="1"/>
  <c r="F389"/>
  <c r="E389"/>
  <c r="H389" s="1"/>
  <c r="H388"/>
  <c r="E388"/>
  <c r="I388" s="1"/>
  <c r="E387"/>
  <c r="F387" s="1"/>
  <c r="I386"/>
  <c r="H386"/>
  <c r="F386"/>
  <c r="E386"/>
  <c r="I385"/>
  <c r="F385"/>
  <c r="E385"/>
  <c r="H385" s="1"/>
  <c r="E384"/>
  <c r="I384" s="1"/>
  <c r="E383"/>
  <c r="H383" s="1"/>
  <c r="H382"/>
  <c r="F382"/>
  <c r="E382"/>
  <c r="I382" s="1"/>
  <c r="H381"/>
  <c r="E381"/>
  <c r="F381" s="1"/>
  <c r="I380"/>
  <c r="H380"/>
  <c r="F380"/>
  <c r="E380"/>
  <c r="E379"/>
  <c r="F379" s="1"/>
  <c r="F378"/>
  <c r="E378"/>
  <c r="I378" s="1"/>
  <c r="E377"/>
  <c r="H377" s="1"/>
  <c r="E376"/>
  <c r="F376" s="1"/>
  <c r="H375"/>
  <c r="E375"/>
  <c r="F375" s="1"/>
  <c r="I374"/>
  <c r="H374"/>
  <c r="F374"/>
  <c r="E374"/>
  <c r="E373"/>
  <c r="H373" s="1"/>
  <c r="E372"/>
  <c r="I372" s="1"/>
  <c r="F371"/>
  <c r="E371"/>
  <c r="H371" s="1"/>
  <c r="H370"/>
  <c r="E370"/>
  <c r="I370" s="1"/>
  <c r="E369"/>
  <c r="F369" s="1"/>
  <c r="I368"/>
  <c r="H368"/>
  <c r="F368"/>
  <c r="E368"/>
  <c r="I367"/>
  <c r="F367"/>
  <c r="E367"/>
  <c r="H367" s="1"/>
  <c r="E366"/>
  <c r="I366" s="1"/>
  <c r="E365"/>
  <c r="H365" s="1"/>
  <c r="H364"/>
  <c r="F364"/>
  <c r="E364"/>
  <c r="I364" s="1"/>
  <c r="H363"/>
  <c r="E363"/>
  <c r="F363" s="1"/>
  <c r="I362"/>
  <c r="H362"/>
  <c r="F362"/>
  <c r="E362"/>
  <c r="E361"/>
  <c r="F361" s="1"/>
  <c r="F360"/>
  <c r="E360"/>
  <c r="I360" s="1"/>
  <c r="H359"/>
  <c r="F359"/>
  <c r="E359"/>
  <c r="I359" s="1"/>
  <c r="E358"/>
  <c r="H358" s="1"/>
  <c r="I357"/>
  <c r="H357"/>
  <c r="F357"/>
  <c r="E357"/>
  <c r="E356"/>
  <c r="F356" s="1"/>
  <c r="H355"/>
  <c r="F355"/>
  <c r="E355"/>
  <c r="I355" s="1"/>
  <c r="I354"/>
  <c r="F354"/>
  <c r="E354"/>
  <c r="H354" s="1"/>
  <c r="H353"/>
  <c r="F353"/>
  <c r="E353"/>
  <c r="I353" s="1"/>
  <c r="E352"/>
  <c r="H352" s="1"/>
  <c r="I351"/>
  <c r="H351"/>
  <c r="F351"/>
  <c r="E351"/>
  <c r="E350"/>
  <c r="F350" s="1"/>
  <c r="H349"/>
  <c r="F349"/>
  <c r="E349"/>
  <c r="I349" s="1"/>
  <c r="I348"/>
  <c r="F348"/>
  <c r="E348"/>
  <c r="H348" s="1"/>
  <c r="H347"/>
  <c r="F347"/>
  <c r="E347"/>
  <c r="I347" s="1"/>
  <c r="E346"/>
  <c r="H346" s="1"/>
  <c r="I345"/>
  <c r="H345"/>
  <c r="F345"/>
  <c r="E345"/>
  <c r="E344"/>
  <c r="F344" s="1"/>
  <c r="H343"/>
  <c r="F343"/>
  <c r="E343"/>
  <c r="I343" s="1"/>
  <c r="I342"/>
  <c r="F342"/>
  <c r="E342"/>
  <c r="H342" s="1"/>
  <c r="H341"/>
  <c r="F341"/>
  <c r="E341"/>
  <c r="I341" s="1"/>
  <c r="E340"/>
  <c r="H340" s="1"/>
  <c r="I339"/>
  <c r="H339"/>
  <c r="F339"/>
  <c r="E339"/>
  <c r="E338"/>
  <c r="H337"/>
  <c r="F337"/>
  <c r="E337"/>
  <c r="I337" s="1"/>
  <c r="I336"/>
  <c r="F336"/>
  <c r="E336"/>
  <c r="H336" s="1"/>
  <c r="H335"/>
  <c r="F335"/>
  <c r="E335"/>
  <c r="I335" s="1"/>
  <c r="E334"/>
  <c r="H334" s="1"/>
  <c r="I333"/>
  <c r="H333"/>
  <c r="F333"/>
  <c r="E333"/>
  <c r="E332"/>
  <c r="H331"/>
  <c r="F331"/>
  <c r="E331"/>
  <c r="I331" s="1"/>
  <c r="I330"/>
  <c r="F330"/>
  <c r="E330"/>
  <c r="H330" s="1"/>
  <c r="H329"/>
  <c r="F329"/>
  <c r="E329"/>
  <c r="I329" s="1"/>
  <c r="E328"/>
  <c r="H328" s="1"/>
  <c r="I327"/>
  <c r="H327"/>
  <c r="F327"/>
  <c r="E327"/>
  <c r="E326"/>
  <c r="H325"/>
  <c r="F325"/>
  <c r="E325"/>
  <c r="I325" s="1"/>
  <c r="I324"/>
  <c r="F324"/>
  <c r="E324"/>
  <c r="H324" s="1"/>
  <c r="H323"/>
  <c r="F323"/>
  <c r="E323"/>
  <c r="I323" s="1"/>
  <c r="E322"/>
  <c r="H322" s="1"/>
  <c r="I321"/>
  <c r="H321"/>
  <c r="F321"/>
  <c r="E321"/>
  <c r="E320"/>
  <c r="H319"/>
  <c r="F319"/>
  <c r="E319"/>
  <c r="I319" s="1"/>
  <c r="I318"/>
  <c r="F318"/>
  <c r="E318"/>
  <c r="H318" s="1"/>
  <c r="H317"/>
  <c r="F317"/>
  <c r="E317"/>
  <c r="I317" s="1"/>
  <c r="E316"/>
  <c r="H316" s="1"/>
  <c r="I315"/>
  <c r="H315"/>
  <c r="F315"/>
  <c r="E315"/>
  <c r="E314"/>
  <c r="H313"/>
  <c r="F313"/>
  <c r="E313"/>
  <c r="I313" s="1"/>
  <c r="I312"/>
  <c r="F312"/>
  <c r="E312"/>
  <c r="H312" s="1"/>
  <c r="H311"/>
  <c r="F311"/>
  <c r="E311"/>
  <c r="I311" s="1"/>
  <c r="E310"/>
  <c r="H310" s="1"/>
  <c r="I309"/>
  <c r="H309"/>
  <c r="F309"/>
  <c r="E309"/>
  <c r="E308"/>
  <c r="H307"/>
  <c r="F307"/>
  <c r="E307"/>
  <c r="I307" s="1"/>
  <c r="I306"/>
  <c r="F306"/>
  <c r="E306"/>
  <c r="H306" s="1"/>
  <c r="H305"/>
  <c r="F305"/>
  <c r="E305"/>
  <c r="I305" s="1"/>
  <c r="E304"/>
  <c r="H304" s="1"/>
  <c r="I303"/>
  <c r="H303"/>
  <c r="F303"/>
  <c r="E303"/>
  <c r="E302"/>
  <c r="H301"/>
  <c r="F301"/>
  <c r="E301"/>
  <c r="I301" s="1"/>
  <c r="I300"/>
  <c r="F300"/>
  <c r="E300"/>
  <c r="H300" s="1"/>
  <c r="H299"/>
  <c r="F299"/>
  <c r="E299"/>
  <c r="I299" s="1"/>
  <c r="E298"/>
  <c r="H298" s="1"/>
  <c r="I297"/>
  <c r="H297"/>
  <c r="F297"/>
  <c r="E297"/>
  <c r="E296"/>
  <c r="H295"/>
  <c r="F295"/>
  <c r="E295"/>
  <c r="I295" s="1"/>
  <c r="I294"/>
  <c r="F294"/>
  <c r="E294"/>
  <c r="H294" s="1"/>
  <c r="H293"/>
  <c r="F293"/>
  <c r="E293"/>
  <c r="I293" s="1"/>
  <c r="E292"/>
  <c r="H292" s="1"/>
  <c r="I291"/>
  <c r="H291"/>
  <c r="F291"/>
  <c r="E291"/>
  <c r="E290"/>
  <c r="H289"/>
  <c r="F289"/>
  <c r="E289"/>
  <c r="I289" s="1"/>
  <c r="I288"/>
  <c r="F288"/>
  <c r="E288"/>
  <c r="H288" s="1"/>
  <c r="H287"/>
  <c r="F287"/>
  <c r="E287"/>
  <c r="I287" s="1"/>
  <c r="E286"/>
  <c r="H286" s="1"/>
  <c r="I285"/>
  <c r="H285"/>
  <c r="F285"/>
  <c r="E285"/>
  <c r="I284"/>
  <c r="E284"/>
  <c r="H283"/>
  <c r="F283"/>
  <c r="E283"/>
  <c r="I283" s="1"/>
  <c r="I282"/>
  <c r="F282"/>
  <c r="E282"/>
  <c r="H282" s="1"/>
  <c r="H281"/>
  <c r="F281"/>
  <c r="E281"/>
  <c r="I281" s="1"/>
  <c r="E280"/>
  <c r="I279"/>
  <c r="H279"/>
  <c r="F279"/>
  <c r="E279"/>
  <c r="I278"/>
  <c r="E278"/>
  <c r="H277"/>
  <c r="F277"/>
  <c r="E277"/>
  <c r="I277" s="1"/>
  <c r="I276"/>
  <c r="F276"/>
  <c r="E276"/>
  <c r="H276" s="1"/>
  <c r="H275"/>
  <c r="F275"/>
  <c r="E275"/>
  <c r="I275" s="1"/>
  <c r="E274"/>
  <c r="I273"/>
  <c r="H273"/>
  <c r="F273"/>
  <c r="E273"/>
  <c r="I272"/>
  <c r="E272"/>
  <c r="H271"/>
  <c r="F271"/>
  <c r="E271"/>
  <c r="I271" s="1"/>
  <c r="I270"/>
  <c r="F270"/>
  <c r="E270"/>
  <c r="H270" s="1"/>
  <c r="H269"/>
  <c r="F269"/>
  <c r="E269"/>
  <c r="I269" s="1"/>
  <c r="E268"/>
  <c r="I267"/>
  <c r="H267"/>
  <c r="F267"/>
  <c r="E267"/>
  <c r="I266"/>
  <c r="E266"/>
  <c r="H265"/>
  <c r="F265"/>
  <c r="E265"/>
  <c r="I265" s="1"/>
  <c r="I264"/>
  <c r="F264"/>
  <c r="E264"/>
  <c r="H264" s="1"/>
  <c r="H263"/>
  <c r="F263"/>
  <c r="E263"/>
  <c r="I263" s="1"/>
  <c r="E262"/>
  <c r="I261"/>
  <c r="H261"/>
  <c r="F261"/>
  <c r="E261"/>
  <c r="I260"/>
  <c r="E260"/>
  <c r="H259"/>
  <c r="F259"/>
  <c r="E259"/>
  <c r="I259" s="1"/>
  <c r="I258"/>
  <c r="F258"/>
  <c r="E258"/>
  <c r="H258" s="1"/>
  <c r="H257"/>
  <c r="F257"/>
  <c r="E257"/>
  <c r="I257" s="1"/>
  <c r="E256"/>
  <c r="I255"/>
  <c r="H255"/>
  <c r="F255"/>
  <c r="E255"/>
  <c r="I254"/>
  <c r="E254"/>
  <c r="H253"/>
  <c r="F253"/>
  <c r="E253"/>
  <c r="I253" s="1"/>
  <c r="I252"/>
  <c r="F252"/>
  <c r="E252"/>
  <c r="H252" s="1"/>
  <c r="H251"/>
  <c r="F251"/>
  <c r="E251"/>
  <c r="I251" s="1"/>
  <c r="E250"/>
  <c r="I249"/>
  <c r="H249"/>
  <c r="F249"/>
  <c r="E249"/>
  <c r="I248"/>
  <c r="E248"/>
  <c r="H247"/>
  <c r="F247"/>
  <c r="E247"/>
  <c r="I247" s="1"/>
  <c r="I246"/>
  <c r="F246"/>
  <c r="E246"/>
  <c r="H246" s="1"/>
  <c r="H245"/>
  <c r="F245"/>
  <c r="E245"/>
  <c r="I245" s="1"/>
  <c r="E244"/>
  <c r="I243"/>
  <c r="H243"/>
  <c r="F243"/>
  <c r="E243"/>
  <c r="I242"/>
  <c r="H242"/>
  <c r="E242"/>
  <c r="F242" s="1"/>
  <c r="H241"/>
  <c r="F241"/>
  <c r="E241"/>
  <c r="I241" s="1"/>
  <c r="I240"/>
  <c r="F240"/>
  <c r="E240"/>
  <c r="H240" s="1"/>
  <c r="F239"/>
  <c r="E239"/>
  <c r="I239" s="1"/>
  <c r="E238"/>
  <c r="I237"/>
  <c r="H237"/>
  <c r="F237"/>
  <c r="E237"/>
  <c r="I236"/>
  <c r="H236"/>
  <c r="E236"/>
  <c r="F236" s="1"/>
  <c r="H235"/>
  <c r="F235"/>
  <c r="E235"/>
  <c r="I235" s="1"/>
  <c r="I234"/>
  <c r="F234"/>
  <c r="E234"/>
  <c r="H234" s="1"/>
  <c r="H233"/>
  <c r="E233"/>
  <c r="I233" s="1"/>
  <c r="E232"/>
  <c r="I231"/>
  <c r="H231"/>
  <c r="F231"/>
  <c r="E231"/>
  <c r="E230"/>
  <c r="F230" s="1"/>
  <c r="H229"/>
  <c r="F229"/>
  <c r="E229"/>
  <c r="I229" s="1"/>
  <c r="I228"/>
  <c r="F228"/>
  <c r="E228"/>
  <c r="H228" s="1"/>
  <c r="H227"/>
  <c r="E227"/>
  <c r="I227" s="1"/>
  <c r="E226"/>
  <c r="I225"/>
  <c r="H225"/>
  <c r="F225"/>
  <c r="E225"/>
  <c r="I224"/>
  <c r="H224"/>
  <c r="E224"/>
  <c r="F224" s="1"/>
  <c r="H223"/>
  <c r="F223"/>
  <c r="E223"/>
  <c r="I223" s="1"/>
  <c r="I222"/>
  <c r="F222"/>
  <c r="E222"/>
  <c r="H222" s="1"/>
  <c r="F221"/>
  <c r="E221"/>
  <c r="I221" s="1"/>
  <c r="E220"/>
  <c r="I219"/>
  <c r="H219"/>
  <c r="F219"/>
  <c r="E219"/>
  <c r="I218"/>
  <c r="H218"/>
  <c r="E218"/>
  <c r="F218" s="1"/>
  <c r="H217"/>
  <c r="F217"/>
  <c r="E217"/>
  <c r="I217" s="1"/>
  <c r="I216"/>
  <c r="F216"/>
  <c r="E216"/>
  <c r="H216" s="1"/>
  <c r="H215"/>
  <c r="E215"/>
  <c r="I215" s="1"/>
  <c r="E214"/>
  <c r="I213"/>
  <c r="H213"/>
  <c r="F213"/>
  <c r="E213"/>
  <c r="E212"/>
  <c r="F212" s="1"/>
  <c r="H211"/>
  <c r="F211"/>
  <c r="E211"/>
  <c r="I211" s="1"/>
  <c r="I210"/>
  <c r="F210"/>
  <c r="E210"/>
  <c r="H210" s="1"/>
  <c r="H209"/>
  <c r="E209"/>
  <c r="I209" s="1"/>
  <c r="I208"/>
  <c r="E208"/>
  <c r="I207"/>
  <c r="H207"/>
  <c r="F207"/>
  <c r="E207"/>
  <c r="I206"/>
  <c r="H206"/>
  <c r="E206"/>
  <c r="F206" s="1"/>
  <c r="H205"/>
  <c r="F205"/>
  <c r="E205"/>
  <c r="I205" s="1"/>
  <c r="E204"/>
  <c r="H204" s="1"/>
  <c r="E203"/>
  <c r="I203" s="1"/>
  <c r="E202"/>
  <c r="I201"/>
  <c r="H201"/>
  <c r="F201"/>
  <c r="E201"/>
  <c r="H200"/>
  <c r="E200"/>
  <c r="F200" s="1"/>
  <c r="H199"/>
  <c r="F199"/>
  <c r="E199"/>
  <c r="I199" s="1"/>
  <c r="I198"/>
  <c r="F198"/>
  <c r="E198"/>
  <c r="H198" s="1"/>
  <c r="F197"/>
  <c r="E197"/>
  <c r="I197" s="1"/>
  <c r="I196"/>
  <c r="E196"/>
  <c r="I195"/>
  <c r="H195"/>
  <c r="F195"/>
  <c r="E195"/>
  <c r="E194"/>
  <c r="F194" s="1"/>
  <c r="H193"/>
  <c r="F193"/>
  <c r="E193"/>
  <c r="I193" s="1"/>
  <c r="F192"/>
  <c r="E192"/>
  <c r="H192" s="1"/>
  <c r="H191"/>
  <c r="E191"/>
  <c r="I191" s="1"/>
  <c r="I190"/>
  <c r="E190"/>
  <c r="I189"/>
  <c r="H189"/>
  <c r="F189"/>
  <c r="E189"/>
  <c r="I188"/>
  <c r="H188"/>
  <c r="E188"/>
  <c r="F188" s="1"/>
  <c r="H187"/>
  <c r="F187"/>
  <c r="E187"/>
  <c r="I187" s="1"/>
  <c r="I186"/>
  <c r="E186"/>
  <c r="H186" s="1"/>
  <c r="E185"/>
  <c r="I185" s="1"/>
  <c r="E184"/>
  <c r="I183"/>
  <c r="H183"/>
  <c r="F183"/>
  <c r="E183"/>
  <c r="H182"/>
  <c r="E182"/>
  <c r="F182" s="1"/>
  <c r="H181"/>
  <c r="F181"/>
  <c r="E181"/>
  <c r="I181" s="1"/>
  <c r="I180"/>
  <c r="F180"/>
  <c r="E180"/>
  <c r="H180" s="1"/>
  <c r="F179"/>
  <c r="E179"/>
  <c r="I179" s="1"/>
  <c r="I178"/>
  <c r="E178"/>
  <c r="I177"/>
  <c r="H177"/>
  <c r="F177"/>
  <c r="E177"/>
  <c r="I176"/>
  <c r="E176"/>
  <c r="F176" s="1"/>
  <c r="H175"/>
  <c r="F175"/>
  <c r="E175"/>
  <c r="I175" s="1"/>
  <c r="F174"/>
  <c r="E174"/>
  <c r="H174" s="1"/>
  <c r="H173"/>
  <c r="E173"/>
  <c r="I173" s="1"/>
  <c r="I172"/>
  <c r="E172"/>
  <c r="I171"/>
  <c r="H171"/>
  <c r="F171"/>
  <c r="E171"/>
  <c r="I170"/>
  <c r="H170"/>
  <c r="E170"/>
  <c r="F170" s="1"/>
  <c r="H169"/>
  <c r="F169"/>
  <c r="E169"/>
  <c r="I169" s="1"/>
  <c r="I168"/>
  <c r="E168"/>
  <c r="H168" s="1"/>
  <c r="E167"/>
  <c r="I167" s="1"/>
  <c r="E166"/>
  <c r="I165"/>
  <c r="H165"/>
  <c r="F165"/>
  <c r="E165"/>
  <c r="H164"/>
  <c r="E164"/>
  <c r="F164" s="1"/>
  <c r="H163"/>
  <c r="F163"/>
  <c r="E163"/>
  <c r="I163" s="1"/>
  <c r="I162"/>
  <c r="F162"/>
  <c r="E162"/>
  <c r="H162" s="1"/>
  <c r="F161"/>
  <c r="E161"/>
  <c r="I161" s="1"/>
  <c r="I160"/>
  <c r="E160"/>
  <c r="I159"/>
  <c r="H159"/>
  <c r="F159"/>
  <c r="E159"/>
  <c r="I158"/>
  <c r="E158"/>
  <c r="F158" s="1"/>
  <c r="H157"/>
  <c r="F157"/>
  <c r="E157"/>
  <c r="I157" s="1"/>
  <c r="F156"/>
  <c r="E156"/>
  <c r="H156" s="1"/>
  <c r="H155"/>
  <c r="E155"/>
  <c r="I155" s="1"/>
  <c r="I154"/>
  <c r="E154"/>
  <c r="I153"/>
  <c r="H153"/>
  <c r="F153"/>
  <c r="E153"/>
  <c r="I152"/>
  <c r="H152"/>
  <c r="E152"/>
  <c r="F152" s="1"/>
  <c r="H151"/>
  <c r="F151"/>
  <c r="E151"/>
  <c r="I151" s="1"/>
  <c r="I150"/>
  <c r="E150"/>
  <c r="H150" s="1"/>
  <c r="E149"/>
  <c r="I149" s="1"/>
  <c r="E148"/>
  <c r="I147"/>
  <c r="H147"/>
  <c r="F147"/>
  <c r="E147"/>
  <c r="H146"/>
  <c r="E146"/>
  <c r="F146" s="1"/>
  <c r="H145"/>
  <c r="F145"/>
  <c r="E145"/>
  <c r="I145" s="1"/>
  <c r="I144"/>
  <c r="F144"/>
  <c r="E144"/>
  <c r="H144" s="1"/>
  <c r="F143"/>
  <c r="E143"/>
  <c r="I143" s="1"/>
  <c r="I142"/>
  <c r="E142"/>
  <c r="I141"/>
  <c r="H141"/>
  <c r="F141"/>
  <c r="E141"/>
  <c r="I140"/>
  <c r="E140"/>
  <c r="F140" s="1"/>
  <c r="H139"/>
  <c r="F139"/>
  <c r="E139"/>
  <c r="I139" s="1"/>
  <c r="F138"/>
  <c r="E138"/>
  <c r="H138" s="1"/>
  <c r="H137"/>
  <c r="E137"/>
  <c r="I137" s="1"/>
  <c r="I136"/>
  <c r="E136"/>
  <c r="I135"/>
  <c r="H135"/>
  <c r="F135"/>
  <c r="E135"/>
  <c r="I134"/>
  <c r="H134"/>
  <c r="E134"/>
  <c r="F134" s="1"/>
  <c r="H133"/>
  <c r="F133"/>
  <c r="E133"/>
  <c r="I133" s="1"/>
  <c r="I132"/>
  <c r="E132"/>
  <c r="H132" s="1"/>
  <c r="E131"/>
  <c r="I131" s="1"/>
  <c r="E130"/>
  <c r="I129"/>
  <c r="H129"/>
  <c r="F129"/>
  <c r="E129"/>
  <c r="H128"/>
  <c r="E128"/>
  <c r="F128" s="1"/>
  <c r="H127"/>
  <c r="F127"/>
  <c r="E127"/>
  <c r="I127" s="1"/>
  <c r="I126"/>
  <c r="F126"/>
  <c r="E126"/>
  <c r="H126" s="1"/>
  <c r="F125"/>
  <c r="E125"/>
  <c r="I125" s="1"/>
  <c r="I124"/>
  <c r="E124"/>
  <c r="I123"/>
  <c r="H123"/>
  <c r="F123"/>
  <c r="E123"/>
  <c r="I122"/>
  <c r="E122"/>
  <c r="F122" s="1"/>
  <c r="H121"/>
  <c r="F121"/>
  <c r="E121"/>
  <c r="I121" s="1"/>
  <c r="F120"/>
  <c r="E120"/>
  <c r="H120" s="1"/>
  <c r="H119"/>
  <c r="E119"/>
  <c r="I119" s="1"/>
  <c r="I118"/>
  <c r="E118"/>
  <c r="I117"/>
  <c r="H117"/>
  <c r="F117"/>
  <c r="E117"/>
  <c r="I116"/>
  <c r="H116"/>
  <c r="E116"/>
  <c r="F116" s="1"/>
  <c r="F115"/>
  <c r="E115"/>
  <c r="I115" s="1"/>
  <c r="I114"/>
  <c r="E114"/>
  <c r="H114" s="1"/>
  <c r="I113"/>
  <c r="H113"/>
  <c r="F113"/>
  <c r="E113"/>
  <c r="H112"/>
  <c r="E112"/>
  <c r="F112" s="1"/>
  <c r="I111"/>
  <c r="H111"/>
  <c r="F111"/>
  <c r="E111"/>
  <c r="H110"/>
  <c r="E110"/>
  <c r="I110" s="1"/>
  <c r="H109"/>
  <c r="F109"/>
  <c r="E109"/>
  <c r="I109" s="1"/>
  <c r="F108"/>
  <c r="E108"/>
  <c r="H108" s="1"/>
  <c r="I107"/>
  <c r="E107"/>
  <c r="H107" s="1"/>
  <c r="I106"/>
  <c r="H106"/>
  <c r="E106"/>
  <c r="F106" s="1"/>
  <c r="I105"/>
  <c r="H105"/>
  <c r="F105"/>
  <c r="E105"/>
  <c r="F104"/>
  <c r="E104"/>
  <c r="I104" s="1"/>
  <c r="H103"/>
  <c r="E103"/>
  <c r="I103" s="1"/>
  <c r="I102"/>
  <c r="F102"/>
  <c r="E102"/>
  <c r="H102" s="1"/>
  <c r="H101"/>
  <c r="F101"/>
  <c r="E101"/>
  <c r="I101" s="1"/>
  <c r="I100"/>
  <c r="E100"/>
  <c r="F100" s="1"/>
  <c r="I99"/>
  <c r="H99"/>
  <c r="F99"/>
  <c r="E99"/>
  <c r="I98"/>
  <c r="H98"/>
  <c r="F98"/>
  <c r="E98"/>
  <c r="F97"/>
  <c r="E97"/>
  <c r="I97" s="1"/>
  <c r="I96"/>
  <c r="E96"/>
  <c r="H96" s="1"/>
  <c r="I95"/>
  <c r="H95"/>
  <c r="F95"/>
  <c r="E95"/>
  <c r="H94"/>
  <c r="E94"/>
  <c r="F94" s="1"/>
  <c r="I93"/>
  <c r="H93"/>
  <c r="F93"/>
  <c r="E93"/>
  <c r="H92"/>
  <c r="E92"/>
  <c r="I92" s="1"/>
  <c r="H91"/>
  <c r="F91"/>
  <c r="E91"/>
  <c r="I91" s="1"/>
  <c r="F90"/>
  <c r="E90"/>
  <c r="H90" s="1"/>
  <c r="I89"/>
  <c r="E89"/>
  <c r="H89" s="1"/>
  <c r="I88"/>
  <c r="H88"/>
  <c r="E88"/>
  <c r="F88" s="1"/>
  <c r="I87"/>
  <c r="H87"/>
  <c r="F87"/>
  <c r="E87"/>
  <c r="F86"/>
  <c r="E86"/>
  <c r="I86" s="1"/>
  <c r="H85"/>
  <c r="E85"/>
  <c r="I85" s="1"/>
  <c r="I84"/>
  <c r="F84"/>
  <c r="E84"/>
  <c r="H84" s="1"/>
  <c r="H83"/>
  <c r="F83"/>
  <c r="E83"/>
  <c r="I83" s="1"/>
  <c r="I82"/>
  <c r="E82"/>
  <c r="F82" s="1"/>
  <c r="I81"/>
  <c r="H81"/>
  <c r="F81"/>
  <c r="E81"/>
  <c r="I80"/>
  <c r="H80"/>
  <c r="F80"/>
  <c r="E80"/>
  <c r="F79"/>
  <c r="E79"/>
  <c r="I79" s="1"/>
  <c r="I78"/>
  <c r="E78"/>
  <c r="H78" s="1"/>
  <c r="I77"/>
  <c r="H77"/>
  <c r="F77"/>
  <c r="E77"/>
  <c r="H76"/>
  <c r="E76"/>
  <c r="F76" s="1"/>
  <c r="I75"/>
  <c r="H75"/>
  <c r="F75"/>
  <c r="E75"/>
  <c r="H74"/>
  <c r="E74"/>
  <c r="I74" s="1"/>
  <c r="H73"/>
  <c r="F73"/>
  <c r="E73"/>
  <c r="I73" s="1"/>
  <c r="F72"/>
  <c r="E72"/>
  <c r="H72" s="1"/>
  <c r="I71"/>
  <c r="E71"/>
  <c r="H71" s="1"/>
  <c r="I70"/>
  <c r="H70"/>
  <c r="E70"/>
  <c r="F70" s="1"/>
  <c r="I69"/>
  <c r="H69"/>
  <c r="F69"/>
  <c r="E69"/>
  <c r="F68"/>
  <c r="E68"/>
  <c r="I68" s="1"/>
  <c r="H67"/>
  <c r="E67"/>
  <c r="I67" s="1"/>
  <c r="I66"/>
  <c r="F66"/>
  <c r="E66"/>
  <c r="H66" s="1"/>
  <c r="H65"/>
  <c r="F65"/>
  <c r="E65"/>
  <c r="I65" s="1"/>
  <c r="I64"/>
  <c r="E64"/>
  <c r="F64" s="1"/>
  <c r="I63"/>
  <c r="H63"/>
  <c r="F63"/>
  <c r="E63"/>
  <c r="I62"/>
  <c r="H62"/>
  <c r="F62"/>
  <c r="E62"/>
  <c r="F61"/>
  <c r="E61"/>
  <c r="I61" s="1"/>
  <c r="I60"/>
  <c r="E60"/>
  <c r="H60" s="1"/>
  <c r="I59"/>
  <c r="H59"/>
  <c r="F59"/>
  <c r="E59"/>
  <c r="H58"/>
  <c r="E58"/>
  <c r="F58" s="1"/>
  <c r="I57"/>
  <c r="H57"/>
  <c r="F57"/>
  <c r="E57"/>
  <c r="H56"/>
  <c r="E56"/>
  <c r="I56" s="1"/>
  <c r="H55"/>
  <c r="F55"/>
  <c r="E55"/>
  <c r="I55" s="1"/>
  <c r="F54"/>
  <c r="E54"/>
  <c r="H54" s="1"/>
  <c r="I53"/>
  <c r="E53"/>
  <c r="H53" s="1"/>
  <c r="I52"/>
  <c r="H52"/>
  <c r="E52"/>
  <c r="F52" s="1"/>
  <c r="E51"/>
  <c r="F51" s="1"/>
  <c r="F50"/>
  <c r="E50"/>
  <c r="I50" s="1"/>
  <c r="I49"/>
  <c r="F49"/>
  <c r="E49"/>
  <c r="H49" s="1"/>
  <c r="H48"/>
  <c r="E48"/>
  <c r="I48" s="1"/>
  <c r="I47"/>
  <c r="H47"/>
  <c r="E47"/>
  <c r="F47" s="1"/>
  <c r="I46"/>
  <c r="H46"/>
  <c r="F46"/>
  <c r="E46"/>
  <c r="E45"/>
  <c r="F45" s="1"/>
  <c r="F44"/>
  <c r="E44"/>
  <c r="I44" s="1"/>
  <c r="I43"/>
  <c r="F43"/>
  <c r="E43"/>
  <c r="H43" s="1"/>
  <c r="H42"/>
  <c r="E42"/>
  <c r="I42" s="1"/>
  <c r="I41"/>
  <c r="H41"/>
  <c r="E41"/>
  <c r="F41" s="1"/>
  <c r="I40"/>
  <c r="H40"/>
  <c r="F40"/>
  <c r="E40"/>
  <c r="E39"/>
  <c r="F39" s="1"/>
  <c r="F38"/>
  <c r="E38"/>
  <c r="I38" s="1"/>
  <c r="I37"/>
  <c r="F37"/>
  <c r="E37"/>
  <c r="H37" s="1"/>
  <c r="H36"/>
  <c r="E36"/>
  <c r="I36" s="1"/>
  <c r="I35"/>
  <c r="H35"/>
  <c r="E35"/>
  <c r="F35" s="1"/>
  <c r="I34"/>
  <c r="H34"/>
  <c r="F34"/>
  <c r="E34"/>
  <c r="E33"/>
  <c r="F33" s="1"/>
  <c r="F32"/>
  <c r="E32"/>
  <c r="I32" s="1"/>
  <c r="I31"/>
  <c r="F31"/>
  <c r="E31"/>
  <c r="H31" s="1"/>
  <c r="H30"/>
  <c r="E30"/>
  <c r="I30" s="1"/>
  <c r="I29"/>
  <c r="H29"/>
  <c r="E29"/>
  <c r="F29" s="1"/>
  <c r="I28"/>
  <c r="H28"/>
  <c r="F28"/>
  <c r="E28"/>
  <c r="E27"/>
  <c r="F27" s="1"/>
  <c r="F26"/>
  <c r="E26"/>
  <c r="I26" s="1"/>
  <c r="I25"/>
  <c r="F25"/>
  <c r="E25"/>
  <c r="H25" s="1"/>
  <c r="H24"/>
  <c r="E24"/>
  <c r="I24" s="1"/>
  <c r="I23"/>
  <c r="H23"/>
  <c r="E23"/>
  <c r="F23" s="1"/>
  <c r="I22"/>
  <c r="H22"/>
  <c r="F22"/>
  <c r="E22"/>
  <c r="E21"/>
  <c r="F21" s="1"/>
  <c r="F20"/>
  <c r="E20"/>
  <c r="I20" s="1"/>
  <c r="I19"/>
  <c r="E19"/>
  <c r="H19" s="1"/>
  <c r="H18"/>
  <c r="E18"/>
  <c r="I18" s="1"/>
  <c r="I17"/>
  <c r="H17"/>
  <c r="E17"/>
  <c r="F17" s="1"/>
  <c r="I16"/>
  <c r="H16"/>
  <c r="F16"/>
  <c r="E16"/>
  <c r="E15"/>
  <c r="F15" s="1"/>
  <c r="F14"/>
  <c r="E14"/>
  <c r="I14" s="1"/>
  <c r="I13"/>
  <c r="E13"/>
  <c r="H13" s="1"/>
  <c r="H12"/>
  <c r="E12"/>
  <c r="I12" s="1"/>
  <c r="I11"/>
  <c r="H11"/>
  <c r="E11"/>
  <c r="F11" s="1"/>
  <c r="I10"/>
  <c r="H10"/>
  <c r="F10"/>
  <c r="E10"/>
  <c r="E9"/>
  <c r="F9" s="1"/>
  <c r="F8"/>
  <c r="E8"/>
  <c r="I8" s="1"/>
  <c r="I7"/>
  <c r="E7"/>
  <c r="H7" s="1"/>
  <c r="H6"/>
  <c r="E6"/>
  <c r="I6" s="1"/>
  <c r="I5"/>
  <c r="H5"/>
  <c r="E5"/>
  <c r="F5" s="1"/>
  <c r="I4"/>
  <c r="H4"/>
  <c r="F4"/>
  <c r="E4"/>
  <c r="E3"/>
  <c r="F3" s="1"/>
  <c r="I1001" i="11"/>
  <c r="H1001"/>
  <c r="E1001"/>
  <c r="F1001" s="1"/>
  <c r="H1000"/>
  <c r="F1000"/>
  <c r="E1000"/>
  <c r="I1000" s="1"/>
  <c r="F999"/>
  <c r="E999"/>
  <c r="H999" s="1"/>
  <c r="F998"/>
  <c r="E998"/>
  <c r="H998" s="1"/>
  <c r="E997"/>
  <c r="I996"/>
  <c r="H996"/>
  <c r="F996"/>
  <c r="E996"/>
  <c r="I995"/>
  <c r="H995"/>
  <c r="E995"/>
  <c r="F995" s="1"/>
  <c r="H994"/>
  <c r="F994"/>
  <c r="E994"/>
  <c r="I994" s="1"/>
  <c r="F993"/>
  <c r="E993"/>
  <c r="H993" s="1"/>
  <c r="F992"/>
  <c r="E992"/>
  <c r="H992" s="1"/>
  <c r="E991"/>
  <c r="I990"/>
  <c r="H990"/>
  <c r="F990"/>
  <c r="E990"/>
  <c r="I989"/>
  <c r="H989"/>
  <c r="E989"/>
  <c r="F989" s="1"/>
  <c r="H988"/>
  <c r="F988"/>
  <c r="E988"/>
  <c r="I988" s="1"/>
  <c r="F987"/>
  <c r="E987"/>
  <c r="H987" s="1"/>
  <c r="E986"/>
  <c r="E985"/>
  <c r="I984"/>
  <c r="H984"/>
  <c r="F984"/>
  <c r="E984"/>
  <c r="I983"/>
  <c r="H983"/>
  <c r="E983"/>
  <c r="F983" s="1"/>
  <c r="H982"/>
  <c r="F982"/>
  <c r="E982"/>
  <c r="I982" s="1"/>
  <c r="E981"/>
  <c r="F981" s="1"/>
  <c r="E980"/>
  <c r="I979"/>
  <c r="E979"/>
  <c r="I978"/>
  <c r="H978"/>
  <c r="F978"/>
  <c r="E978"/>
  <c r="I977"/>
  <c r="H977"/>
  <c r="E977"/>
  <c r="F977" s="1"/>
  <c r="H976"/>
  <c r="F976"/>
  <c r="E976"/>
  <c r="I976" s="1"/>
  <c r="F975"/>
  <c r="E975"/>
  <c r="E974"/>
  <c r="F974" s="1"/>
  <c r="I973"/>
  <c r="E973"/>
  <c r="I972"/>
  <c r="H972"/>
  <c r="F972"/>
  <c r="E972"/>
  <c r="I971"/>
  <c r="H971"/>
  <c r="E971"/>
  <c r="F971" s="1"/>
  <c r="H970"/>
  <c r="F970"/>
  <c r="E970"/>
  <c r="I970" s="1"/>
  <c r="E969"/>
  <c r="F968"/>
  <c r="E968"/>
  <c r="E967"/>
  <c r="I967" s="1"/>
  <c r="I966"/>
  <c r="H966"/>
  <c r="F966"/>
  <c r="E966"/>
  <c r="I965"/>
  <c r="H965"/>
  <c r="E965"/>
  <c r="F965" s="1"/>
  <c r="I964"/>
  <c r="H964"/>
  <c r="F964"/>
  <c r="E964"/>
  <c r="F963"/>
  <c r="E963"/>
  <c r="E962"/>
  <c r="F962" s="1"/>
  <c r="E961"/>
  <c r="I960"/>
  <c r="H960"/>
  <c r="F960"/>
  <c r="E960"/>
  <c r="I959"/>
  <c r="H959"/>
  <c r="E959"/>
  <c r="F959" s="1"/>
  <c r="I958"/>
  <c r="H958"/>
  <c r="F958"/>
  <c r="E958"/>
  <c r="E957"/>
  <c r="F957" s="1"/>
  <c r="E956"/>
  <c r="I955"/>
  <c r="E955"/>
  <c r="I954"/>
  <c r="H954"/>
  <c r="F954"/>
  <c r="E954"/>
  <c r="I953"/>
  <c r="H953"/>
  <c r="E953"/>
  <c r="F953" s="1"/>
  <c r="I952"/>
  <c r="H952"/>
  <c r="F952"/>
  <c r="E952"/>
  <c r="E951"/>
  <c r="F950"/>
  <c r="E950"/>
  <c r="E949"/>
  <c r="I949" s="1"/>
  <c r="I948"/>
  <c r="H948"/>
  <c r="F948"/>
  <c r="E948"/>
  <c r="I947"/>
  <c r="H947"/>
  <c r="E947"/>
  <c r="F947" s="1"/>
  <c r="I946"/>
  <c r="H946"/>
  <c r="F946"/>
  <c r="E946"/>
  <c r="F945"/>
  <c r="E945"/>
  <c r="E944"/>
  <c r="F944" s="1"/>
  <c r="E943"/>
  <c r="I942"/>
  <c r="H942"/>
  <c r="F942"/>
  <c r="E942"/>
  <c r="I941"/>
  <c r="H941"/>
  <c r="E941"/>
  <c r="F941" s="1"/>
  <c r="I940"/>
  <c r="H940"/>
  <c r="F940"/>
  <c r="E940"/>
  <c r="E939"/>
  <c r="F939" s="1"/>
  <c r="E938"/>
  <c r="I937"/>
  <c r="E937"/>
  <c r="I936"/>
  <c r="H936"/>
  <c r="F936"/>
  <c r="E936"/>
  <c r="I935"/>
  <c r="H935"/>
  <c r="E935"/>
  <c r="F935" s="1"/>
  <c r="I934"/>
  <c r="H934"/>
  <c r="F934"/>
  <c r="E934"/>
  <c r="E933"/>
  <c r="F932"/>
  <c r="E932"/>
  <c r="E931"/>
  <c r="I931" s="1"/>
  <c r="I930"/>
  <c r="H930"/>
  <c r="F930"/>
  <c r="E930"/>
  <c r="I929"/>
  <c r="H929"/>
  <c r="E929"/>
  <c r="F929" s="1"/>
  <c r="I928"/>
  <c r="H928"/>
  <c r="F928"/>
  <c r="E928"/>
  <c r="F927"/>
  <c r="E927"/>
  <c r="E926"/>
  <c r="F926" s="1"/>
  <c r="E925"/>
  <c r="I924"/>
  <c r="H924"/>
  <c r="F924"/>
  <c r="E924"/>
  <c r="I923"/>
  <c r="H923"/>
  <c r="E923"/>
  <c r="F923" s="1"/>
  <c r="I922"/>
  <c r="H922"/>
  <c r="F922"/>
  <c r="E922"/>
  <c r="E921"/>
  <c r="F921" s="1"/>
  <c r="E920"/>
  <c r="I919"/>
  <c r="E919"/>
  <c r="I918"/>
  <c r="H918"/>
  <c r="F918"/>
  <c r="E918"/>
  <c r="I917"/>
  <c r="H917"/>
  <c r="E917"/>
  <c r="F917" s="1"/>
  <c r="I916"/>
  <c r="H916"/>
  <c r="F916"/>
  <c r="E916"/>
  <c r="E915"/>
  <c r="F914"/>
  <c r="E914"/>
  <c r="E913"/>
  <c r="I913" s="1"/>
  <c r="I912"/>
  <c r="H912"/>
  <c r="F912"/>
  <c r="E912"/>
  <c r="I911"/>
  <c r="H911"/>
  <c r="E911"/>
  <c r="F911" s="1"/>
  <c r="I910"/>
  <c r="H910"/>
  <c r="F910"/>
  <c r="E910"/>
  <c r="F909"/>
  <c r="E909"/>
  <c r="E908"/>
  <c r="F908" s="1"/>
  <c r="E907"/>
  <c r="I906"/>
  <c r="H906"/>
  <c r="F906"/>
  <c r="E906"/>
  <c r="I905"/>
  <c r="H905"/>
  <c r="E905"/>
  <c r="F905" s="1"/>
  <c r="I904"/>
  <c r="H904"/>
  <c r="F904"/>
  <c r="E904"/>
  <c r="E903"/>
  <c r="F903" s="1"/>
  <c r="E902"/>
  <c r="I901"/>
  <c r="E901"/>
  <c r="I900"/>
  <c r="H900"/>
  <c r="F900"/>
  <c r="E900"/>
  <c r="I899"/>
  <c r="H899"/>
  <c r="E899"/>
  <c r="F899" s="1"/>
  <c r="I898"/>
  <c r="H898"/>
  <c r="F898"/>
  <c r="E898"/>
  <c r="E897"/>
  <c r="F896"/>
  <c r="E896"/>
  <c r="E895"/>
  <c r="I895" s="1"/>
  <c r="I894"/>
  <c r="H894"/>
  <c r="F894"/>
  <c r="E894"/>
  <c r="I893"/>
  <c r="H893"/>
  <c r="E893"/>
  <c r="F893" s="1"/>
  <c r="I892"/>
  <c r="H892"/>
  <c r="F892"/>
  <c r="E892"/>
  <c r="F891"/>
  <c r="E891"/>
  <c r="E890"/>
  <c r="F890" s="1"/>
  <c r="E889"/>
  <c r="I888"/>
  <c r="H888"/>
  <c r="F888"/>
  <c r="E888"/>
  <c r="I887"/>
  <c r="H887"/>
  <c r="E887"/>
  <c r="F887" s="1"/>
  <c r="I886"/>
  <c r="H886"/>
  <c r="F886"/>
  <c r="E886"/>
  <c r="E885"/>
  <c r="F885" s="1"/>
  <c r="E884"/>
  <c r="I883"/>
  <c r="E883"/>
  <c r="I882"/>
  <c r="H882"/>
  <c r="F882"/>
  <c r="E882"/>
  <c r="I881"/>
  <c r="H881"/>
  <c r="E881"/>
  <c r="F881" s="1"/>
  <c r="I880"/>
  <c r="H880"/>
  <c r="F880"/>
  <c r="E880"/>
  <c r="E879"/>
  <c r="F878"/>
  <c r="E878"/>
  <c r="E877"/>
  <c r="I877" s="1"/>
  <c r="I876"/>
  <c r="H876"/>
  <c r="F876"/>
  <c r="E876"/>
  <c r="I875"/>
  <c r="H875"/>
  <c r="E875"/>
  <c r="F875" s="1"/>
  <c r="I874"/>
  <c r="H874"/>
  <c r="F874"/>
  <c r="E874"/>
  <c r="F873"/>
  <c r="E873"/>
  <c r="E872"/>
  <c r="F872" s="1"/>
  <c r="E871"/>
  <c r="I870"/>
  <c r="H870"/>
  <c r="F870"/>
  <c r="E870"/>
  <c r="I869"/>
  <c r="H869"/>
  <c r="E869"/>
  <c r="F869" s="1"/>
  <c r="I868"/>
  <c r="H868"/>
  <c r="F868"/>
  <c r="E868"/>
  <c r="E867"/>
  <c r="F867" s="1"/>
  <c r="E866"/>
  <c r="I865"/>
  <c r="E865"/>
  <c r="I864"/>
  <c r="H864"/>
  <c r="F864"/>
  <c r="E864"/>
  <c r="I863"/>
  <c r="H863"/>
  <c r="E863"/>
  <c r="F863" s="1"/>
  <c r="I862"/>
  <c r="H862"/>
  <c r="F862"/>
  <c r="E862"/>
  <c r="E861"/>
  <c r="F860"/>
  <c r="E860"/>
  <c r="E859"/>
  <c r="I859" s="1"/>
  <c r="I858"/>
  <c r="H858"/>
  <c r="F858"/>
  <c r="E858"/>
  <c r="I857"/>
  <c r="H857"/>
  <c r="E857"/>
  <c r="F857" s="1"/>
  <c r="I856"/>
  <c r="H856"/>
  <c r="F856"/>
  <c r="E856"/>
  <c r="F855"/>
  <c r="E855"/>
  <c r="E854"/>
  <c r="F854" s="1"/>
  <c r="E853"/>
  <c r="I852"/>
  <c r="H852"/>
  <c r="F852"/>
  <c r="E852"/>
  <c r="I851"/>
  <c r="H851"/>
  <c r="E851"/>
  <c r="F851" s="1"/>
  <c r="I850"/>
  <c r="H850"/>
  <c r="F850"/>
  <c r="E850"/>
  <c r="E849"/>
  <c r="F849" s="1"/>
  <c r="E848"/>
  <c r="I847"/>
  <c r="E847"/>
  <c r="I846"/>
  <c r="H846"/>
  <c r="F846"/>
  <c r="E846"/>
  <c r="I845"/>
  <c r="H845"/>
  <c r="E845"/>
  <c r="F845" s="1"/>
  <c r="I844"/>
  <c r="H844"/>
  <c r="F844"/>
  <c r="E844"/>
  <c r="E843"/>
  <c r="F842"/>
  <c r="E842"/>
  <c r="E841"/>
  <c r="I841" s="1"/>
  <c r="I840"/>
  <c r="H840"/>
  <c r="F840"/>
  <c r="E840"/>
  <c r="I839"/>
  <c r="H839"/>
  <c r="E839"/>
  <c r="F839" s="1"/>
  <c r="I838"/>
  <c r="H838"/>
  <c r="F838"/>
  <c r="E838"/>
  <c r="F837"/>
  <c r="E837"/>
  <c r="E836"/>
  <c r="F836" s="1"/>
  <c r="E835"/>
  <c r="I834"/>
  <c r="H834"/>
  <c r="F834"/>
  <c r="E834"/>
  <c r="I833"/>
  <c r="H833"/>
  <c r="E833"/>
  <c r="F833" s="1"/>
  <c r="H832"/>
  <c r="F832"/>
  <c r="E832"/>
  <c r="I832" s="1"/>
  <c r="F831"/>
  <c r="E831"/>
  <c r="F830"/>
  <c r="E830"/>
  <c r="E829"/>
  <c r="I829" s="1"/>
  <c r="I828"/>
  <c r="H828"/>
  <c r="F828"/>
  <c r="E828"/>
  <c r="I827"/>
  <c r="H827"/>
  <c r="E827"/>
  <c r="F827" s="1"/>
  <c r="H826"/>
  <c r="F826"/>
  <c r="E826"/>
  <c r="I826" s="1"/>
  <c r="E825"/>
  <c r="F825" s="1"/>
  <c r="E824"/>
  <c r="I823"/>
  <c r="E823"/>
  <c r="I822"/>
  <c r="H822"/>
  <c r="F822"/>
  <c r="E822"/>
  <c r="I821"/>
  <c r="H821"/>
  <c r="E821"/>
  <c r="F821" s="1"/>
  <c r="I820"/>
  <c r="H820"/>
  <c r="F820"/>
  <c r="E820"/>
  <c r="E819"/>
  <c r="F818"/>
  <c r="E818"/>
  <c r="E817"/>
  <c r="I817" s="1"/>
  <c r="I816"/>
  <c r="H816"/>
  <c r="F816"/>
  <c r="E816"/>
  <c r="I815"/>
  <c r="H815"/>
  <c r="E815"/>
  <c r="F815" s="1"/>
  <c r="H814"/>
  <c r="F814"/>
  <c r="E814"/>
  <c r="I814" s="1"/>
  <c r="E813"/>
  <c r="F813" s="1"/>
  <c r="F812"/>
  <c r="E812"/>
  <c r="I811"/>
  <c r="E811"/>
  <c r="I810"/>
  <c r="H810"/>
  <c r="F810"/>
  <c r="E810"/>
  <c r="I809"/>
  <c r="H809"/>
  <c r="E809"/>
  <c r="F809" s="1"/>
  <c r="H808"/>
  <c r="F808"/>
  <c r="E808"/>
  <c r="I808" s="1"/>
  <c r="F807"/>
  <c r="E807"/>
  <c r="E806"/>
  <c r="F806" s="1"/>
  <c r="E805"/>
  <c r="I804"/>
  <c r="H804"/>
  <c r="F804"/>
  <c r="E804"/>
  <c r="I803"/>
  <c r="H803"/>
  <c r="E803"/>
  <c r="F803" s="1"/>
  <c r="H802"/>
  <c r="F802"/>
  <c r="E802"/>
  <c r="I802" s="1"/>
  <c r="F801"/>
  <c r="E801"/>
  <c r="F800"/>
  <c r="E800"/>
  <c r="E799"/>
  <c r="I799" s="1"/>
  <c r="I798"/>
  <c r="H798"/>
  <c r="F798"/>
  <c r="E798"/>
  <c r="I797"/>
  <c r="H797"/>
  <c r="E797"/>
  <c r="F797" s="1"/>
  <c r="H796"/>
  <c r="F796"/>
  <c r="E796"/>
  <c r="I796" s="1"/>
  <c r="E795"/>
  <c r="F795" s="1"/>
  <c r="E794"/>
  <c r="I793"/>
  <c r="E793"/>
  <c r="I792"/>
  <c r="H792"/>
  <c r="F792"/>
  <c r="E792"/>
  <c r="I791"/>
  <c r="H791"/>
  <c r="E791"/>
  <c r="F791" s="1"/>
  <c r="H790"/>
  <c r="F790"/>
  <c r="E790"/>
  <c r="I790" s="1"/>
  <c r="F789"/>
  <c r="E789"/>
  <c r="E788"/>
  <c r="F788" s="1"/>
  <c r="I787"/>
  <c r="E787"/>
  <c r="I786"/>
  <c r="H786"/>
  <c r="F786"/>
  <c r="E786"/>
  <c r="I785"/>
  <c r="H785"/>
  <c r="E785"/>
  <c r="F785" s="1"/>
  <c r="H784"/>
  <c r="F784"/>
  <c r="E784"/>
  <c r="I784" s="1"/>
  <c r="E783"/>
  <c r="F782"/>
  <c r="E782"/>
  <c r="E781"/>
  <c r="I781" s="1"/>
  <c r="I780"/>
  <c r="H780"/>
  <c r="F780"/>
  <c r="E780"/>
  <c r="I779"/>
  <c r="H779"/>
  <c r="E779"/>
  <c r="F779" s="1"/>
  <c r="H778"/>
  <c r="F778"/>
  <c r="E778"/>
  <c r="I778" s="1"/>
  <c r="E777"/>
  <c r="F777" s="1"/>
  <c r="F776"/>
  <c r="E776"/>
  <c r="I775"/>
  <c r="E775"/>
  <c r="I774"/>
  <c r="H774"/>
  <c r="F774"/>
  <c r="E774"/>
  <c r="I773"/>
  <c r="H773"/>
  <c r="E773"/>
  <c r="F773" s="1"/>
  <c r="H772"/>
  <c r="F772"/>
  <c r="E772"/>
  <c r="I772" s="1"/>
  <c r="F771"/>
  <c r="E771"/>
  <c r="E770"/>
  <c r="F770" s="1"/>
  <c r="E769"/>
  <c r="I768"/>
  <c r="H768"/>
  <c r="F768"/>
  <c r="E768"/>
  <c r="I767"/>
  <c r="H767"/>
  <c r="E767"/>
  <c r="F767" s="1"/>
  <c r="H766"/>
  <c r="F766"/>
  <c r="E766"/>
  <c r="I766" s="1"/>
  <c r="F765"/>
  <c r="E765"/>
  <c r="F764"/>
  <c r="E764"/>
  <c r="E763"/>
  <c r="I763" s="1"/>
  <c r="I762"/>
  <c r="H762"/>
  <c r="F762"/>
  <c r="E762"/>
  <c r="I761"/>
  <c r="H761"/>
  <c r="E761"/>
  <c r="F761" s="1"/>
  <c r="H760"/>
  <c r="F760"/>
  <c r="E760"/>
  <c r="I760" s="1"/>
  <c r="E759"/>
  <c r="F759" s="1"/>
  <c r="E758"/>
  <c r="I757"/>
  <c r="E757"/>
  <c r="I756"/>
  <c r="H756"/>
  <c r="F756"/>
  <c r="E756"/>
  <c r="I755"/>
  <c r="H755"/>
  <c r="E755"/>
  <c r="F755" s="1"/>
  <c r="H754"/>
  <c r="F754"/>
  <c r="E754"/>
  <c r="I754" s="1"/>
  <c r="F753"/>
  <c r="E753"/>
  <c r="E752"/>
  <c r="F752" s="1"/>
  <c r="I751"/>
  <c r="E751"/>
  <c r="I750"/>
  <c r="H750"/>
  <c r="F750"/>
  <c r="E750"/>
  <c r="I749"/>
  <c r="H749"/>
  <c r="E749"/>
  <c r="F749" s="1"/>
  <c r="H748"/>
  <c r="F748"/>
  <c r="E748"/>
  <c r="I748" s="1"/>
  <c r="E747"/>
  <c r="F746"/>
  <c r="E746"/>
  <c r="E745"/>
  <c r="I745" s="1"/>
  <c r="I744"/>
  <c r="H744"/>
  <c r="F744"/>
  <c r="E744"/>
  <c r="I743"/>
  <c r="H743"/>
  <c r="E743"/>
  <c r="F743" s="1"/>
  <c r="H742"/>
  <c r="F742"/>
  <c r="E742"/>
  <c r="I742" s="1"/>
  <c r="E741"/>
  <c r="F741" s="1"/>
  <c r="F740"/>
  <c r="E740"/>
  <c r="I739"/>
  <c r="E739"/>
  <c r="I738"/>
  <c r="H738"/>
  <c r="F738"/>
  <c r="E738"/>
  <c r="I737"/>
  <c r="H737"/>
  <c r="E737"/>
  <c r="F737" s="1"/>
  <c r="H736"/>
  <c r="F736"/>
  <c r="E736"/>
  <c r="I736" s="1"/>
  <c r="F735"/>
  <c r="E735"/>
  <c r="E734"/>
  <c r="F734" s="1"/>
  <c r="E733"/>
  <c r="I732"/>
  <c r="H732"/>
  <c r="F732"/>
  <c r="E732"/>
  <c r="I731"/>
  <c r="H731"/>
  <c r="E731"/>
  <c r="F731" s="1"/>
  <c r="H730"/>
  <c r="F730"/>
  <c r="E730"/>
  <c r="I730" s="1"/>
  <c r="F729"/>
  <c r="E729"/>
  <c r="F728"/>
  <c r="E728"/>
  <c r="E727"/>
  <c r="I727" s="1"/>
  <c r="I726"/>
  <c r="H726"/>
  <c r="F726"/>
  <c r="E726"/>
  <c r="I725"/>
  <c r="H725"/>
  <c r="E725"/>
  <c r="F725" s="1"/>
  <c r="H724"/>
  <c r="F724"/>
  <c r="E724"/>
  <c r="I724" s="1"/>
  <c r="E723"/>
  <c r="F723" s="1"/>
  <c r="E722"/>
  <c r="I721"/>
  <c r="E721"/>
  <c r="I720"/>
  <c r="H720"/>
  <c r="F720"/>
  <c r="E720"/>
  <c r="I719"/>
  <c r="H719"/>
  <c r="E719"/>
  <c r="F719" s="1"/>
  <c r="H718"/>
  <c r="F718"/>
  <c r="E718"/>
  <c r="I718" s="1"/>
  <c r="F717"/>
  <c r="E717"/>
  <c r="E716"/>
  <c r="F716" s="1"/>
  <c r="I715"/>
  <c r="E715"/>
  <c r="I714"/>
  <c r="H714"/>
  <c r="F714"/>
  <c r="E714"/>
  <c r="I713"/>
  <c r="H713"/>
  <c r="E713"/>
  <c r="F713" s="1"/>
  <c r="H712"/>
  <c r="F712"/>
  <c r="E712"/>
  <c r="I712" s="1"/>
  <c r="E711"/>
  <c r="F710"/>
  <c r="E710"/>
  <c r="E709"/>
  <c r="I709" s="1"/>
  <c r="I708"/>
  <c r="H708"/>
  <c r="F708"/>
  <c r="E708"/>
  <c r="I707"/>
  <c r="H707"/>
  <c r="E707"/>
  <c r="F707" s="1"/>
  <c r="H706"/>
  <c r="F706"/>
  <c r="E706"/>
  <c r="I706" s="1"/>
  <c r="E705"/>
  <c r="F705" s="1"/>
  <c r="F704"/>
  <c r="E704"/>
  <c r="I703"/>
  <c r="E703"/>
  <c r="I702"/>
  <c r="H702"/>
  <c r="F702"/>
  <c r="E702"/>
  <c r="I701"/>
  <c r="H701"/>
  <c r="E701"/>
  <c r="F701" s="1"/>
  <c r="H700"/>
  <c r="F700"/>
  <c r="E700"/>
  <c r="I700" s="1"/>
  <c r="F699"/>
  <c r="E699"/>
  <c r="E698"/>
  <c r="F698" s="1"/>
  <c r="E697"/>
  <c r="I696"/>
  <c r="H696"/>
  <c r="F696"/>
  <c r="E696"/>
  <c r="I695"/>
  <c r="H695"/>
  <c r="E695"/>
  <c r="F695" s="1"/>
  <c r="H694"/>
  <c r="F694"/>
  <c r="E694"/>
  <c r="I694" s="1"/>
  <c r="F693"/>
  <c r="E693"/>
  <c r="F692"/>
  <c r="E692"/>
  <c r="E691"/>
  <c r="I691" s="1"/>
  <c r="I690"/>
  <c r="H690"/>
  <c r="F690"/>
  <c r="E690"/>
  <c r="I689"/>
  <c r="H689"/>
  <c r="E689"/>
  <c r="F689" s="1"/>
  <c r="H688"/>
  <c r="F688"/>
  <c r="E688"/>
  <c r="I688" s="1"/>
  <c r="E687"/>
  <c r="F687" s="1"/>
  <c r="E686"/>
  <c r="I685"/>
  <c r="E685"/>
  <c r="I684"/>
  <c r="H684"/>
  <c r="F684"/>
  <c r="E684"/>
  <c r="I683"/>
  <c r="H683"/>
  <c r="E683"/>
  <c r="F683" s="1"/>
  <c r="H682"/>
  <c r="F682"/>
  <c r="E682"/>
  <c r="I682" s="1"/>
  <c r="F681"/>
  <c r="E681"/>
  <c r="E680"/>
  <c r="F680" s="1"/>
  <c r="I679"/>
  <c r="E679"/>
  <c r="I678"/>
  <c r="H678"/>
  <c r="F678"/>
  <c r="E678"/>
  <c r="I677"/>
  <c r="H677"/>
  <c r="E677"/>
  <c r="F677" s="1"/>
  <c r="I676"/>
  <c r="H676"/>
  <c r="F676"/>
  <c r="E676"/>
  <c r="E675"/>
  <c r="F675" s="1"/>
  <c r="F674"/>
  <c r="E674"/>
  <c r="I673"/>
  <c r="E673"/>
  <c r="I672"/>
  <c r="H672"/>
  <c r="F672"/>
  <c r="E672"/>
  <c r="I671"/>
  <c r="H671"/>
  <c r="E671"/>
  <c r="F671" s="1"/>
  <c r="I670"/>
  <c r="H670"/>
  <c r="F670"/>
  <c r="E670"/>
  <c r="F669"/>
  <c r="E669"/>
  <c r="F668"/>
  <c r="E668"/>
  <c r="E667"/>
  <c r="I667" s="1"/>
  <c r="I666"/>
  <c r="H666"/>
  <c r="F666"/>
  <c r="E666"/>
  <c r="I665"/>
  <c r="H665"/>
  <c r="E665"/>
  <c r="F665" s="1"/>
  <c r="I664"/>
  <c r="H664"/>
  <c r="F664"/>
  <c r="E664"/>
  <c r="E663"/>
  <c r="H663" s="1"/>
  <c r="H662"/>
  <c r="F662"/>
  <c r="E662"/>
  <c r="I662" s="1"/>
  <c r="I661"/>
  <c r="E661"/>
  <c r="I660"/>
  <c r="H660"/>
  <c r="F660"/>
  <c r="E660"/>
  <c r="E659"/>
  <c r="F659" s="1"/>
  <c r="I658"/>
  <c r="H658"/>
  <c r="F658"/>
  <c r="E658"/>
  <c r="I657"/>
  <c r="F657"/>
  <c r="E657"/>
  <c r="H657" s="1"/>
  <c r="F656"/>
  <c r="E656"/>
  <c r="I656" s="1"/>
  <c r="E655"/>
  <c r="I655" s="1"/>
  <c r="I654"/>
  <c r="H654"/>
  <c r="F654"/>
  <c r="E654"/>
  <c r="E653"/>
  <c r="F653" s="1"/>
  <c r="I652"/>
  <c r="H652"/>
  <c r="F652"/>
  <c r="E652"/>
  <c r="I651"/>
  <c r="E651"/>
  <c r="H651" s="1"/>
  <c r="E650"/>
  <c r="I650" s="1"/>
  <c r="I649"/>
  <c r="E649"/>
  <c r="I648"/>
  <c r="H648"/>
  <c r="F648"/>
  <c r="E648"/>
  <c r="H647"/>
  <c r="E647"/>
  <c r="F647" s="1"/>
  <c r="I646"/>
  <c r="H646"/>
  <c r="F646"/>
  <c r="E646"/>
  <c r="I645"/>
  <c r="F645"/>
  <c r="E645"/>
  <c r="H645" s="1"/>
  <c r="H644"/>
  <c r="E644"/>
  <c r="I644" s="1"/>
  <c r="I643"/>
  <c r="E643"/>
  <c r="I642"/>
  <c r="H642"/>
  <c r="F642"/>
  <c r="E642"/>
  <c r="I641"/>
  <c r="E641"/>
  <c r="F641" s="1"/>
  <c r="H640"/>
  <c r="F640"/>
  <c r="E640"/>
  <c r="I640" s="1"/>
  <c r="E639"/>
  <c r="H639" s="1"/>
  <c r="H638"/>
  <c r="E638"/>
  <c r="I638" s="1"/>
  <c r="E637"/>
  <c r="I636"/>
  <c r="H636"/>
  <c r="F636"/>
  <c r="E636"/>
  <c r="I635"/>
  <c r="H635"/>
  <c r="E635"/>
  <c r="F635" s="1"/>
  <c r="H634"/>
  <c r="F634"/>
  <c r="E634"/>
  <c r="I634" s="1"/>
  <c r="I633"/>
  <c r="F633"/>
  <c r="E633"/>
  <c r="H633" s="1"/>
  <c r="F632"/>
  <c r="E632"/>
  <c r="I632" s="1"/>
  <c r="E631"/>
  <c r="I631" s="1"/>
  <c r="I630"/>
  <c r="H630"/>
  <c r="F630"/>
  <c r="E630"/>
  <c r="E629"/>
  <c r="F629" s="1"/>
  <c r="H628"/>
  <c r="F628"/>
  <c r="E628"/>
  <c r="I628" s="1"/>
  <c r="I627"/>
  <c r="F627"/>
  <c r="E627"/>
  <c r="H627" s="1"/>
  <c r="H626"/>
  <c r="E626"/>
  <c r="I626" s="1"/>
  <c r="I625"/>
  <c r="E625"/>
  <c r="I624"/>
  <c r="H624"/>
  <c r="F624"/>
  <c r="E624"/>
  <c r="I623"/>
  <c r="E623"/>
  <c r="F623" s="1"/>
  <c r="H622"/>
  <c r="F622"/>
  <c r="E622"/>
  <c r="I622" s="1"/>
  <c r="E621"/>
  <c r="H621" s="1"/>
  <c r="H620"/>
  <c r="E620"/>
  <c r="I620" s="1"/>
  <c r="E619"/>
  <c r="I618"/>
  <c r="H618"/>
  <c r="F618"/>
  <c r="E618"/>
  <c r="H617"/>
  <c r="E617"/>
  <c r="F617" s="1"/>
  <c r="F616"/>
  <c r="E616"/>
  <c r="I616" s="1"/>
  <c r="E615"/>
  <c r="H615" s="1"/>
  <c r="I614"/>
  <c r="E614"/>
  <c r="F614" s="1"/>
  <c r="I613"/>
  <c r="H613"/>
  <c r="F613"/>
  <c r="E613"/>
  <c r="H612"/>
  <c r="E612"/>
  <c r="F612" s="1"/>
  <c r="H611"/>
  <c r="F611"/>
  <c r="E611"/>
  <c r="I611" s="1"/>
  <c r="F610"/>
  <c r="E610"/>
  <c r="H610" s="1"/>
  <c r="E609"/>
  <c r="H609" s="1"/>
  <c r="I608"/>
  <c r="E608"/>
  <c r="F608" s="1"/>
  <c r="I607"/>
  <c r="H607"/>
  <c r="F607"/>
  <c r="E607"/>
  <c r="H606"/>
  <c r="E606"/>
  <c r="F606" s="1"/>
  <c r="H605"/>
  <c r="F605"/>
  <c r="E605"/>
  <c r="I605" s="1"/>
  <c r="F604"/>
  <c r="E604"/>
  <c r="H604" s="1"/>
  <c r="E603"/>
  <c r="H603" s="1"/>
  <c r="I602"/>
  <c r="E602"/>
  <c r="F602" s="1"/>
  <c r="I601"/>
  <c r="H601"/>
  <c r="F601"/>
  <c r="E601"/>
  <c r="H600"/>
  <c r="E600"/>
  <c r="F600" s="1"/>
  <c r="H599"/>
  <c r="F599"/>
  <c r="E599"/>
  <c r="I599" s="1"/>
  <c r="F598"/>
  <c r="E598"/>
  <c r="H598" s="1"/>
  <c r="E597"/>
  <c r="H597" s="1"/>
  <c r="I596"/>
  <c r="E596"/>
  <c r="F596" s="1"/>
  <c r="I595"/>
  <c r="H595"/>
  <c r="F595"/>
  <c r="E595"/>
  <c r="H594"/>
  <c r="E594"/>
  <c r="F594" s="1"/>
  <c r="H593"/>
  <c r="F593"/>
  <c r="E593"/>
  <c r="I593" s="1"/>
  <c r="F592"/>
  <c r="E592"/>
  <c r="H592" s="1"/>
  <c r="E591"/>
  <c r="H591" s="1"/>
  <c r="I590"/>
  <c r="E590"/>
  <c r="F590" s="1"/>
  <c r="I589"/>
  <c r="H589"/>
  <c r="F589"/>
  <c r="E589"/>
  <c r="H588"/>
  <c r="E588"/>
  <c r="F588" s="1"/>
  <c r="H587"/>
  <c r="F587"/>
  <c r="E587"/>
  <c r="I587" s="1"/>
  <c r="F586"/>
  <c r="E586"/>
  <c r="H586" s="1"/>
  <c r="E585"/>
  <c r="H585" s="1"/>
  <c r="I584"/>
  <c r="E584"/>
  <c r="F584" s="1"/>
  <c r="I583"/>
  <c r="H583"/>
  <c r="F583"/>
  <c r="E583"/>
  <c r="H582"/>
  <c r="E582"/>
  <c r="F582" s="1"/>
  <c r="H581"/>
  <c r="F581"/>
  <c r="E581"/>
  <c r="I581" s="1"/>
  <c r="E580"/>
  <c r="F580" s="1"/>
  <c r="E579"/>
  <c r="I578"/>
  <c r="E578"/>
  <c r="F578" s="1"/>
  <c r="I577"/>
  <c r="H577"/>
  <c r="F577"/>
  <c r="E577"/>
  <c r="H576"/>
  <c r="E576"/>
  <c r="F576" s="1"/>
  <c r="I575"/>
  <c r="H575"/>
  <c r="F575"/>
  <c r="E575"/>
  <c r="F574"/>
  <c r="E574"/>
  <c r="E573"/>
  <c r="I572"/>
  <c r="E572"/>
  <c r="F572" s="1"/>
  <c r="I571"/>
  <c r="H571"/>
  <c r="F571"/>
  <c r="E571"/>
  <c r="H570"/>
  <c r="E570"/>
  <c r="F570" s="1"/>
  <c r="I569"/>
  <c r="H569"/>
  <c r="F569"/>
  <c r="E569"/>
  <c r="F568"/>
  <c r="E568"/>
  <c r="E567"/>
  <c r="I566"/>
  <c r="E566"/>
  <c r="F566" s="1"/>
  <c r="I565"/>
  <c r="H565"/>
  <c r="F565"/>
  <c r="E565"/>
  <c r="H564"/>
  <c r="E564"/>
  <c r="F564" s="1"/>
  <c r="I563"/>
  <c r="H563"/>
  <c r="F563"/>
  <c r="E563"/>
  <c r="E562"/>
  <c r="F562" s="1"/>
  <c r="E561"/>
  <c r="I560"/>
  <c r="E560"/>
  <c r="F560" s="1"/>
  <c r="I559"/>
  <c r="H559"/>
  <c r="F559"/>
  <c r="E559"/>
  <c r="H558"/>
  <c r="E558"/>
  <c r="F558" s="1"/>
  <c r="I557"/>
  <c r="H557"/>
  <c r="F557"/>
  <c r="E557"/>
  <c r="E556"/>
  <c r="E555"/>
  <c r="I554"/>
  <c r="E554"/>
  <c r="F554" s="1"/>
  <c r="I553"/>
  <c r="H553"/>
  <c r="F553"/>
  <c r="E553"/>
  <c r="H552"/>
  <c r="E552"/>
  <c r="F552" s="1"/>
  <c r="I551"/>
  <c r="H551"/>
  <c r="F551"/>
  <c r="E551"/>
  <c r="F550"/>
  <c r="E550"/>
  <c r="E549"/>
  <c r="I548"/>
  <c r="E548"/>
  <c r="F548" s="1"/>
  <c r="I547"/>
  <c r="H547"/>
  <c r="F547"/>
  <c r="E547"/>
  <c r="H546"/>
  <c r="E546"/>
  <c r="F546" s="1"/>
  <c r="I545"/>
  <c r="H545"/>
  <c r="F545"/>
  <c r="E545"/>
  <c r="E544"/>
  <c r="F544" s="1"/>
  <c r="E543"/>
  <c r="I542"/>
  <c r="E542"/>
  <c r="F542" s="1"/>
  <c r="I541"/>
  <c r="H541"/>
  <c r="F541"/>
  <c r="E541"/>
  <c r="H540"/>
  <c r="E540"/>
  <c r="F540" s="1"/>
  <c r="I539"/>
  <c r="H539"/>
  <c r="F539"/>
  <c r="E539"/>
  <c r="I538"/>
  <c r="E538"/>
  <c r="H538" s="1"/>
  <c r="E537"/>
  <c r="I536"/>
  <c r="E536"/>
  <c r="F536" s="1"/>
  <c r="I535"/>
  <c r="H535"/>
  <c r="F535"/>
  <c r="E535"/>
  <c r="H534"/>
  <c r="E534"/>
  <c r="I533"/>
  <c r="H533"/>
  <c r="F533"/>
  <c r="E533"/>
  <c r="I532"/>
  <c r="E532"/>
  <c r="H532" s="1"/>
  <c r="H531"/>
  <c r="E531"/>
  <c r="I530"/>
  <c r="E530"/>
  <c r="F530" s="1"/>
  <c r="I529"/>
  <c r="H529"/>
  <c r="F529"/>
  <c r="E529"/>
  <c r="H528"/>
  <c r="E528"/>
  <c r="I527"/>
  <c r="H527"/>
  <c r="F527"/>
  <c r="E527"/>
  <c r="F526"/>
  <c r="E526"/>
  <c r="H526" s="1"/>
  <c r="E525"/>
  <c r="H525" s="1"/>
  <c r="I524"/>
  <c r="E524"/>
  <c r="F524" s="1"/>
  <c r="I523"/>
  <c r="H523"/>
  <c r="F523"/>
  <c r="E523"/>
  <c r="E522"/>
  <c r="H522" s="1"/>
  <c r="I521"/>
  <c r="H521"/>
  <c r="F521"/>
  <c r="E521"/>
  <c r="I520"/>
  <c r="E520"/>
  <c r="H520" s="1"/>
  <c r="E519"/>
  <c r="I518"/>
  <c r="E518"/>
  <c r="F518" s="1"/>
  <c r="I517"/>
  <c r="H517"/>
  <c r="F517"/>
  <c r="E517"/>
  <c r="H516"/>
  <c r="E516"/>
  <c r="I515"/>
  <c r="H515"/>
  <c r="F515"/>
  <c r="E515"/>
  <c r="I514"/>
  <c r="E514"/>
  <c r="H514" s="1"/>
  <c r="H513"/>
  <c r="E513"/>
  <c r="I512"/>
  <c r="E512"/>
  <c r="F512" s="1"/>
  <c r="I511"/>
  <c r="H511"/>
  <c r="F511"/>
  <c r="E511"/>
  <c r="E510"/>
  <c r="F510" s="1"/>
  <c r="I509"/>
  <c r="H509"/>
  <c r="F509"/>
  <c r="E509"/>
  <c r="I508"/>
  <c r="E508"/>
  <c r="H508" s="1"/>
  <c r="E507"/>
  <c r="I507" s="1"/>
  <c r="I506"/>
  <c r="E506"/>
  <c r="I505"/>
  <c r="H505"/>
  <c r="F505"/>
  <c r="E505"/>
  <c r="H504"/>
  <c r="E504"/>
  <c r="F504" s="1"/>
  <c r="I503"/>
  <c r="H503"/>
  <c r="F503"/>
  <c r="E503"/>
  <c r="I502"/>
  <c r="F502"/>
  <c r="E502"/>
  <c r="H502" s="1"/>
  <c r="H501"/>
  <c r="E501"/>
  <c r="I501" s="1"/>
  <c r="I500"/>
  <c r="E500"/>
  <c r="I499"/>
  <c r="H499"/>
  <c r="F499"/>
  <c r="E499"/>
  <c r="I498"/>
  <c r="E498"/>
  <c r="F498" s="1"/>
  <c r="I497"/>
  <c r="H497"/>
  <c r="F497"/>
  <c r="E497"/>
  <c r="F496"/>
  <c r="E496"/>
  <c r="H496" s="1"/>
  <c r="F495"/>
  <c r="E495"/>
  <c r="I495" s="1"/>
  <c r="E494"/>
  <c r="I494" s="1"/>
  <c r="I493"/>
  <c r="H493"/>
  <c r="F493"/>
  <c r="E493"/>
  <c r="I492"/>
  <c r="H492"/>
  <c r="E492"/>
  <c r="F492" s="1"/>
  <c r="H491"/>
  <c r="F491"/>
  <c r="E491"/>
  <c r="I491" s="1"/>
  <c r="E490"/>
  <c r="H490" s="1"/>
  <c r="H489"/>
  <c r="F489"/>
  <c r="E489"/>
  <c r="I489" s="1"/>
  <c r="I488"/>
  <c r="E488"/>
  <c r="I487"/>
  <c r="H487"/>
  <c r="F487"/>
  <c r="E487"/>
  <c r="E486"/>
  <c r="F486" s="1"/>
  <c r="H485"/>
  <c r="F485"/>
  <c r="E485"/>
  <c r="I485" s="1"/>
  <c r="I484"/>
  <c r="E484"/>
  <c r="H484" s="1"/>
  <c r="E483"/>
  <c r="I483" s="1"/>
  <c r="I482"/>
  <c r="E482"/>
  <c r="I481"/>
  <c r="H481"/>
  <c r="F481"/>
  <c r="E481"/>
  <c r="H480"/>
  <c r="E480"/>
  <c r="F480" s="1"/>
  <c r="H479"/>
  <c r="F479"/>
  <c r="E479"/>
  <c r="I479" s="1"/>
  <c r="F478"/>
  <c r="E478"/>
  <c r="H478" s="1"/>
  <c r="F477"/>
  <c r="E477"/>
  <c r="I477" s="1"/>
  <c r="E476"/>
  <c r="I476" s="1"/>
  <c r="I475"/>
  <c r="H475"/>
  <c r="F475"/>
  <c r="E475"/>
  <c r="I474"/>
  <c r="H474"/>
  <c r="E474"/>
  <c r="F474" s="1"/>
  <c r="H473"/>
  <c r="F473"/>
  <c r="E473"/>
  <c r="I473" s="1"/>
  <c r="E472"/>
  <c r="H472" s="1"/>
  <c r="H471"/>
  <c r="F471"/>
  <c r="E471"/>
  <c r="I471" s="1"/>
  <c r="I470"/>
  <c r="E470"/>
  <c r="I469"/>
  <c r="H469"/>
  <c r="F469"/>
  <c r="E469"/>
  <c r="E468"/>
  <c r="F468" s="1"/>
  <c r="H467"/>
  <c r="F467"/>
  <c r="E467"/>
  <c r="I467" s="1"/>
  <c r="I466"/>
  <c r="E466"/>
  <c r="H466" s="1"/>
  <c r="E465"/>
  <c r="I465" s="1"/>
  <c r="I464"/>
  <c r="E464"/>
  <c r="I463"/>
  <c r="H463"/>
  <c r="F463"/>
  <c r="E463"/>
  <c r="H462"/>
  <c r="E462"/>
  <c r="F462" s="1"/>
  <c r="H461"/>
  <c r="F461"/>
  <c r="E461"/>
  <c r="I461" s="1"/>
  <c r="E460"/>
  <c r="H460" s="1"/>
  <c r="F459"/>
  <c r="E459"/>
  <c r="I459" s="1"/>
  <c r="E458"/>
  <c r="I458" s="1"/>
  <c r="I457"/>
  <c r="H457"/>
  <c r="F457"/>
  <c r="E457"/>
  <c r="I456"/>
  <c r="H456"/>
  <c r="E456"/>
  <c r="F456" s="1"/>
  <c r="H455"/>
  <c r="F455"/>
  <c r="E455"/>
  <c r="I455" s="1"/>
  <c r="E454"/>
  <c r="H454" s="1"/>
  <c r="H453"/>
  <c r="F453"/>
  <c r="E453"/>
  <c r="I453" s="1"/>
  <c r="I452"/>
  <c r="E452"/>
  <c r="I451"/>
  <c r="H451"/>
  <c r="F451"/>
  <c r="E451"/>
  <c r="E450"/>
  <c r="F450" s="1"/>
  <c r="H449"/>
  <c r="F449"/>
  <c r="E449"/>
  <c r="I449" s="1"/>
  <c r="I448"/>
  <c r="E448"/>
  <c r="H448" s="1"/>
  <c r="E447"/>
  <c r="I447" s="1"/>
  <c r="I446"/>
  <c r="E446"/>
  <c r="I445"/>
  <c r="H445"/>
  <c r="F445"/>
  <c r="E445"/>
  <c r="H444"/>
  <c r="E444"/>
  <c r="F444" s="1"/>
  <c r="H443"/>
  <c r="F443"/>
  <c r="E443"/>
  <c r="I443" s="1"/>
  <c r="E442"/>
  <c r="H442" s="1"/>
  <c r="F441"/>
  <c r="E441"/>
  <c r="I441" s="1"/>
  <c r="E440"/>
  <c r="I440" s="1"/>
  <c r="I439"/>
  <c r="H439"/>
  <c r="F439"/>
  <c r="E439"/>
  <c r="I438"/>
  <c r="H438"/>
  <c r="E438"/>
  <c r="F438" s="1"/>
  <c r="H437"/>
  <c r="F437"/>
  <c r="E437"/>
  <c r="I437" s="1"/>
  <c r="E436"/>
  <c r="H436" s="1"/>
  <c r="H435"/>
  <c r="F435"/>
  <c r="E435"/>
  <c r="I435" s="1"/>
  <c r="I434"/>
  <c r="E434"/>
  <c r="I433"/>
  <c r="H433"/>
  <c r="F433"/>
  <c r="E433"/>
  <c r="E432"/>
  <c r="F432" s="1"/>
  <c r="H431"/>
  <c r="F431"/>
  <c r="E431"/>
  <c r="I431" s="1"/>
  <c r="I430"/>
  <c r="E430"/>
  <c r="H430" s="1"/>
  <c r="E429"/>
  <c r="I429" s="1"/>
  <c r="I428"/>
  <c r="E428"/>
  <c r="I427"/>
  <c r="H427"/>
  <c r="F427"/>
  <c r="E427"/>
  <c r="H426"/>
  <c r="E426"/>
  <c r="F426" s="1"/>
  <c r="H425"/>
  <c r="F425"/>
  <c r="E425"/>
  <c r="I425" s="1"/>
  <c r="E424"/>
  <c r="H424" s="1"/>
  <c r="F423"/>
  <c r="E423"/>
  <c r="I423" s="1"/>
  <c r="E422"/>
  <c r="I422" s="1"/>
  <c r="I421"/>
  <c r="H421"/>
  <c r="F421"/>
  <c r="E421"/>
  <c r="I420"/>
  <c r="H420"/>
  <c r="E420"/>
  <c r="F420" s="1"/>
  <c r="H419"/>
  <c r="F419"/>
  <c r="E419"/>
  <c r="I419" s="1"/>
  <c r="E418"/>
  <c r="H418" s="1"/>
  <c r="H417"/>
  <c r="F417"/>
  <c r="E417"/>
  <c r="I417" s="1"/>
  <c r="I416"/>
  <c r="E416"/>
  <c r="I415"/>
  <c r="H415"/>
  <c r="F415"/>
  <c r="E415"/>
  <c r="E414"/>
  <c r="F414" s="1"/>
  <c r="H413"/>
  <c r="F413"/>
  <c r="E413"/>
  <c r="I413" s="1"/>
  <c r="I412"/>
  <c r="E412"/>
  <c r="H412" s="1"/>
  <c r="E411"/>
  <c r="I411" s="1"/>
  <c r="I410"/>
  <c r="E410"/>
  <c r="I409"/>
  <c r="H409"/>
  <c r="F409"/>
  <c r="E409"/>
  <c r="H408"/>
  <c r="E408"/>
  <c r="F408" s="1"/>
  <c r="H407"/>
  <c r="F407"/>
  <c r="E407"/>
  <c r="I407" s="1"/>
  <c r="E406"/>
  <c r="H406" s="1"/>
  <c r="F405"/>
  <c r="E405"/>
  <c r="I405" s="1"/>
  <c r="E404"/>
  <c r="I404" s="1"/>
  <c r="I403"/>
  <c r="H403"/>
  <c r="F403"/>
  <c r="E403"/>
  <c r="I402"/>
  <c r="H402"/>
  <c r="E402"/>
  <c r="F402" s="1"/>
  <c r="H401"/>
  <c r="F401"/>
  <c r="E401"/>
  <c r="I401" s="1"/>
  <c r="E400"/>
  <c r="H400" s="1"/>
  <c r="H399"/>
  <c r="F399"/>
  <c r="E399"/>
  <c r="I399" s="1"/>
  <c r="I398"/>
  <c r="E398"/>
  <c r="I397"/>
  <c r="H397"/>
  <c r="F397"/>
  <c r="E397"/>
  <c r="E396"/>
  <c r="F396" s="1"/>
  <c r="H395"/>
  <c r="F395"/>
  <c r="E395"/>
  <c r="I395" s="1"/>
  <c r="I394"/>
  <c r="E394"/>
  <c r="H394" s="1"/>
  <c r="E393"/>
  <c r="I393" s="1"/>
  <c r="I392"/>
  <c r="E392"/>
  <c r="I391"/>
  <c r="H391"/>
  <c r="F391"/>
  <c r="E391"/>
  <c r="H390"/>
  <c r="E390"/>
  <c r="F390" s="1"/>
  <c r="H389"/>
  <c r="F389"/>
  <c r="E389"/>
  <c r="I389" s="1"/>
  <c r="E388"/>
  <c r="H388" s="1"/>
  <c r="F387"/>
  <c r="E387"/>
  <c r="I387" s="1"/>
  <c r="E386"/>
  <c r="I386" s="1"/>
  <c r="I385"/>
  <c r="H385"/>
  <c r="F385"/>
  <c r="E385"/>
  <c r="I384"/>
  <c r="H384"/>
  <c r="E384"/>
  <c r="F384" s="1"/>
  <c r="H383"/>
  <c r="F383"/>
  <c r="E383"/>
  <c r="I383" s="1"/>
  <c r="E382"/>
  <c r="H382" s="1"/>
  <c r="H381"/>
  <c r="F381"/>
  <c r="E381"/>
  <c r="I381" s="1"/>
  <c r="I380"/>
  <c r="E380"/>
  <c r="I379"/>
  <c r="H379"/>
  <c r="F379"/>
  <c r="E379"/>
  <c r="E378"/>
  <c r="F378" s="1"/>
  <c r="H377"/>
  <c r="F377"/>
  <c r="E377"/>
  <c r="I377" s="1"/>
  <c r="I376"/>
  <c r="E376"/>
  <c r="H376" s="1"/>
  <c r="E375"/>
  <c r="I375" s="1"/>
  <c r="I374"/>
  <c r="E374"/>
  <c r="I373"/>
  <c r="H373"/>
  <c r="F373"/>
  <c r="E373"/>
  <c r="H372"/>
  <c r="E372"/>
  <c r="F372" s="1"/>
  <c r="H371"/>
  <c r="F371"/>
  <c r="E371"/>
  <c r="I371" s="1"/>
  <c r="E370"/>
  <c r="H370" s="1"/>
  <c r="F369"/>
  <c r="E369"/>
  <c r="I369" s="1"/>
  <c r="E368"/>
  <c r="I368" s="1"/>
  <c r="I367"/>
  <c r="H367"/>
  <c r="F367"/>
  <c r="E367"/>
  <c r="I366"/>
  <c r="H366"/>
  <c r="E366"/>
  <c r="F366" s="1"/>
  <c r="H365"/>
  <c r="F365"/>
  <c r="E365"/>
  <c r="I365" s="1"/>
  <c r="E364"/>
  <c r="H364" s="1"/>
  <c r="H363"/>
  <c r="F363"/>
  <c r="E363"/>
  <c r="I363" s="1"/>
  <c r="I362"/>
  <c r="E362"/>
  <c r="I361"/>
  <c r="H361"/>
  <c r="F361"/>
  <c r="E361"/>
  <c r="E360"/>
  <c r="F360" s="1"/>
  <c r="H359"/>
  <c r="F359"/>
  <c r="E359"/>
  <c r="I359" s="1"/>
  <c r="I358"/>
  <c r="E358"/>
  <c r="H358" s="1"/>
  <c r="E357"/>
  <c r="I357" s="1"/>
  <c r="I356"/>
  <c r="E356"/>
  <c r="I355"/>
  <c r="H355"/>
  <c r="F355"/>
  <c r="E355"/>
  <c r="H354"/>
  <c r="E354"/>
  <c r="F354" s="1"/>
  <c r="H353"/>
  <c r="F353"/>
  <c r="E353"/>
  <c r="I353" s="1"/>
  <c r="E352"/>
  <c r="H352" s="1"/>
  <c r="F351"/>
  <c r="E351"/>
  <c r="I351" s="1"/>
  <c r="E350"/>
  <c r="I350" s="1"/>
  <c r="I349"/>
  <c r="H349"/>
  <c r="F349"/>
  <c r="E349"/>
  <c r="I348"/>
  <c r="H348"/>
  <c r="E348"/>
  <c r="F348" s="1"/>
  <c r="H347"/>
  <c r="F347"/>
  <c r="E347"/>
  <c r="I347" s="1"/>
  <c r="E346"/>
  <c r="H346" s="1"/>
  <c r="H345"/>
  <c r="F345"/>
  <c r="E345"/>
  <c r="I345" s="1"/>
  <c r="I344"/>
  <c r="E344"/>
  <c r="I343"/>
  <c r="H343"/>
  <c r="F343"/>
  <c r="E343"/>
  <c r="E342"/>
  <c r="F342" s="1"/>
  <c r="H341"/>
  <c r="F341"/>
  <c r="E341"/>
  <c r="I341" s="1"/>
  <c r="I340"/>
  <c r="E340"/>
  <c r="H340" s="1"/>
  <c r="E339"/>
  <c r="I339" s="1"/>
  <c r="I338"/>
  <c r="E338"/>
  <c r="E337"/>
  <c r="I337" s="1"/>
  <c r="E336"/>
  <c r="H336" s="1"/>
  <c r="I335"/>
  <c r="E335"/>
  <c r="F335" s="1"/>
  <c r="I334"/>
  <c r="H334"/>
  <c r="F334"/>
  <c r="E334"/>
  <c r="H333"/>
  <c r="E333"/>
  <c r="F333" s="1"/>
  <c r="I332"/>
  <c r="H332"/>
  <c r="F332"/>
  <c r="E332"/>
  <c r="E331"/>
  <c r="H331" s="1"/>
  <c r="E330"/>
  <c r="H330" s="1"/>
  <c r="I329"/>
  <c r="E329"/>
  <c r="F329" s="1"/>
  <c r="I328"/>
  <c r="H328"/>
  <c r="F328"/>
  <c r="E328"/>
  <c r="H327"/>
  <c r="E327"/>
  <c r="F327" s="1"/>
  <c r="I326"/>
  <c r="H326"/>
  <c r="F326"/>
  <c r="E326"/>
  <c r="E325"/>
  <c r="H325" s="1"/>
  <c r="E324"/>
  <c r="H324" s="1"/>
  <c r="I323"/>
  <c r="E323"/>
  <c r="F323" s="1"/>
  <c r="I322"/>
  <c r="H322"/>
  <c r="F322"/>
  <c r="E322"/>
  <c r="H321"/>
  <c r="E321"/>
  <c r="F321" s="1"/>
  <c r="I320"/>
  <c r="H320"/>
  <c r="F320"/>
  <c r="E320"/>
  <c r="E319"/>
  <c r="H319" s="1"/>
  <c r="E318"/>
  <c r="H318" s="1"/>
  <c r="I317"/>
  <c r="E317"/>
  <c r="F317" s="1"/>
  <c r="I316"/>
  <c r="H316"/>
  <c r="F316"/>
  <c r="E316"/>
  <c r="H315"/>
  <c r="E315"/>
  <c r="F315" s="1"/>
  <c r="I314"/>
  <c r="H314"/>
  <c r="F314"/>
  <c r="E314"/>
  <c r="E313"/>
  <c r="H313" s="1"/>
  <c r="E312"/>
  <c r="H312" s="1"/>
  <c r="I311"/>
  <c r="E311"/>
  <c r="F311" s="1"/>
  <c r="I310"/>
  <c r="H310"/>
  <c r="F310"/>
  <c r="E310"/>
  <c r="H309"/>
  <c r="E309"/>
  <c r="F309" s="1"/>
  <c r="I308"/>
  <c r="H308"/>
  <c r="F308"/>
  <c r="E308"/>
  <c r="E307"/>
  <c r="H307" s="1"/>
  <c r="E306"/>
  <c r="H306" s="1"/>
  <c r="I305"/>
  <c r="E305"/>
  <c r="F305" s="1"/>
  <c r="I304"/>
  <c r="H304"/>
  <c r="F304"/>
  <c r="E304"/>
  <c r="H303"/>
  <c r="E303"/>
  <c r="F303" s="1"/>
  <c r="I302"/>
  <c r="H302"/>
  <c r="F302"/>
  <c r="E302"/>
  <c r="E301"/>
  <c r="H301" s="1"/>
  <c r="E300"/>
  <c r="H300" s="1"/>
  <c r="I299"/>
  <c r="E299"/>
  <c r="F299" s="1"/>
  <c r="I298"/>
  <c r="H298"/>
  <c r="F298"/>
  <c r="E298"/>
  <c r="H297"/>
  <c r="E297"/>
  <c r="F297" s="1"/>
  <c r="I296"/>
  <c r="H296"/>
  <c r="F296"/>
  <c r="E296"/>
  <c r="E295"/>
  <c r="H295" s="1"/>
  <c r="E294"/>
  <c r="H294" s="1"/>
  <c r="I293"/>
  <c r="E293"/>
  <c r="F293" s="1"/>
  <c r="I292"/>
  <c r="H292"/>
  <c r="F292"/>
  <c r="E292"/>
  <c r="H291"/>
  <c r="E291"/>
  <c r="F291" s="1"/>
  <c r="I290"/>
  <c r="H290"/>
  <c r="F290"/>
  <c r="E290"/>
  <c r="E289"/>
  <c r="H289" s="1"/>
  <c r="E288"/>
  <c r="H288" s="1"/>
  <c r="I287"/>
  <c r="E287"/>
  <c r="F287" s="1"/>
  <c r="I286"/>
  <c r="H286"/>
  <c r="F286"/>
  <c r="E286"/>
  <c r="H285"/>
  <c r="E285"/>
  <c r="F285" s="1"/>
  <c r="I284"/>
  <c r="H284"/>
  <c r="F284"/>
  <c r="E284"/>
  <c r="E283"/>
  <c r="H283" s="1"/>
  <c r="E282"/>
  <c r="H282" s="1"/>
  <c r="I281"/>
  <c r="E281"/>
  <c r="F281" s="1"/>
  <c r="I280"/>
  <c r="H280"/>
  <c r="F280"/>
  <c r="E280"/>
  <c r="H279"/>
  <c r="E279"/>
  <c r="F279" s="1"/>
  <c r="I278"/>
  <c r="H278"/>
  <c r="F278"/>
  <c r="E278"/>
  <c r="E277"/>
  <c r="H277" s="1"/>
  <c r="E276"/>
  <c r="H276" s="1"/>
  <c r="I275"/>
  <c r="E275"/>
  <c r="F275" s="1"/>
  <c r="I274"/>
  <c r="H274"/>
  <c r="F274"/>
  <c r="E274"/>
  <c r="H273"/>
  <c r="E273"/>
  <c r="F273" s="1"/>
  <c r="I272"/>
  <c r="H272"/>
  <c r="F272"/>
  <c r="E272"/>
  <c r="E271"/>
  <c r="H271" s="1"/>
  <c r="E270"/>
  <c r="H270" s="1"/>
  <c r="I269"/>
  <c r="E269"/>
  <c r="F269" s="1"/>
  <c r="I268"/>
  <c r="H268"/>
  <c r="F268"/>
  <c r="E268"/>
  <c r="H267"/>
  <c r="E267"/>
  <c r="F267" s="1"/>
  <c r="I266"/>
  <c r="H266"/>
  <c r="F266"/>
  <c r="E266"/>
  <c r="E265"/>
  <c r="H265" s="1"/>
  <c r="E264"/>
  <c r="H264" s="1"/>
  <c r="I263"/>
  <c r="E263"/>
  <c r="F263" s="1"/>
  <c r="I262"/>
  <c r="H262"/>
  <c r="F262"/>
  <c r="E262"/>
  <c r="H261"/>
  <c r="E261"/>
  <c r="F261" s="1"/>
  <c r="I260"/>
  <c r="H260"/>
  <c r="F260"/>
  <c r="E260"/>
  <c r="E259"/>
  <c r="H259" s="1"/>
  <c r="E258"/>
  <c r="H258" s="1"/>
  <c r="I257"/>
  <c r="E257"/>
  <c r="F257" s="1"/>
  <c r="I256"/>
  <c r="H256"/>
  <c r="F256"/>
  <c r="E256"/>
  <c r="H255"/>
  <c r="E255"/>
  <c r="F255" s="1"/>
  <c r="H254"/>
  <c r="F254"/>
  <c r="E254"/>
  <c r="I254" s="1"/>
  <c r="E253"/>
  <c r="H253" s="1"/>
  <c r="E252"/>
  <c r="H252" s="1"/>
  <c r="I251"/>
  <c r="E251"/>
  <c r="F251" s="1"/>
  <c r="I250"/>
  <c r="H250"/>
  <c r="F250"/>
  <c r="E250"/>
  <c r="H249"/>
  <c r="E249"/>
  <c r="F249" s="1"/>
  <c r="H248"/>
  <c r="F248"/>
  <c r="E248"/>
  <c r="I248" s="1"/>
  <c r="E247"/>
  <c r="H247" s="1"/>
  <c r="E246"/>
  <c r="H246" s="1"/>
  <c r="I245"/>
  <c r="E245"/>
  <c r="F245" s="1"/>
  <c r="I244"/>
  <c r="H244"/>
  <c r="F244"/>
  <c r="E244"/>
  <c r="H243"/>
  <c r="E243"/>
  <c r="F243" s="1"/>
  <c r="I242"/>
  <c r="H242"/>
  <c r="F242"/>
  <c r="E242"/>
  <c r="E241"/>
  <c r="H241" s="1"/>
  <c r="E240"/>
  <c r="H240" s="1"/>
  <c r="I239"/>
  <c r="E239"/>
  <c r="F239" s="1"/>
  <c r="I238"/>
  <c r="H238"/>
  <c r="F238"/>
  <c r="E238"/>
  <c r="H237"/>
  <c r="E237"/>
  <c r="F237" s="1"/>
  <c r="I236"/>
  <c r="H236"/>
  <c r="F236"/>
  <c r="E236"/>
  <c r="E235"/>
  <c r="H235" s="1"/>
  <c r="E234"/>
  <c r="H234" s="1"/>
  <c r="I233"/>
  <c r="E233"/>
  <c r="F233" s="1"/>
  <c r="I232"/>
  <c r="H232"/>
  <c r="F232"/>
  <c r="E232"/>
  <c r="H231"/>
  <c r="E231"/>
  <c r="F231" s="1"/>
  <c r="I230"/>
  <c r="H230"/>
  <c r="F230"/>
  <c r="E230"/>
  <c r="E229"/>
  <c r="H229" s="1"/>
  <c r="E228"/>
  <c r="H228" s="1"/>
  <c r="I227"/>
  <c r="E227"/>
  <c r="F227" s="1"/>
  <c r="I226"/>
  <c r="H226"/>
  <c r="F226"/>
  <c r="E226"/>
  <c r="H225"/>
  <c r="E225"/>
  <c r="F225" s="1"/>
  <c r="H224"/>
  <c r="F224"/>
  <c r="E224"/>
  <c r="I224" s="1"/>
  <c r="E223"/>
  <c r="H223" s="1"/>
  <c r="E222"/>
  <c r="H222" s="1"/>
  <c r="I221"/>
  <c r="E221"/>
  <c r="F221" s="1"/>
  <c r="I220"/>
  <c r="H220"/>
  <c r="F220"/>
  <c r="E220"/>
  <c r="H219"/>
  <c r="E219"/>
  <c r="F219" s="1"/>
  <c r="H218"/>
  <c r="F218"/>
  <c r="E218"/>
  <c r="I218" s="1"/>
  <c r="E217"/>
  <c r="H217" s="1"/>
  <c r="E216"/>
  <c r="H216" s="1"/>
  <c r="I215"/>
  <c r="E215"/>
  <c r="F215" s="1"/>
  <c r="I214"/>
  <c r="H214"/>
  <c r="F214"/>
  <c r="E214"/>
  <c r="H213"/>
  <c r="E213"/>
  <c r="F213" s="1"/>
  <c r="H212"/>
  <c r="F212"/>
  <c r="E212"/>
  <c r="I212" s="1"/>
  <c r="E211"/>
  <c r="H211" s="1"/>
  <c r="E210"/>
  <c r="H210" s="1"/>
  <c r="I209"/>
  <c r="E209"/>
  <c r="F209" s="1"/>
  <c r="I208"/>
  <c r="H208"/>
  <c r="F208"/>
  <c r="E208"/>
  <c r="H207"/>
  <c r="E207"/>
  <c r="F207" s="1"/>
  <c r="H206"/>
  <c r="F206"/>
  <c r="E206"/>
  <c r="I206" s="1"/>
  <c r="E205"/>
  <c r="H205" s="1"/>
  <c r="E204"/>
  <c r="H204" s="1"/>
  <c r="I203"/>
  <c r="E203"/>
  <c r="F203" s="1"/>
  <c r="I202"/>
  <c r="H202"/>
  <c r="F202"/>
  <c r="E202"/>
  <c r="H201"/>
  <c r="E201"/>
  <c r="F201" s="1"/>
  <c r="H200"/>
  <c r="F200"/>
  <c r="E200"/>
  <c r="I200" s="1"/>
  <c r="E199"/>
  <c r="H199" s="1"/>
  <c r="E198"/>
  <c r="H198" s="1"/>
  <c r="I197"/>
  <c r="E197"/>
  <c r="F197" s="1"/>
  <c r="I196"/>
  <c r="H196"/>
  <c r="F196"/>
  <c r="E196"/>
  <c r="H195"/>
  <c r="E195"/>
  <c r="F195" s="1"/>
  <c r="H194"/>
  <c r="F194"/>
  <c r="E194"/>
  <c r="I194" s="1"/>
  <c r="E193"/>
  <c r="H193" s="1"/>
  <c r="E192"/>
  <c r="H192" s="1"/>
  <c r="I191"/>
  <c r="E191"/>
  <c r="F191" s="1"/>
  <c r="I190"/>
  <c r="H190"/>
  <c r="F190"/>
  <c r="E190"/>
  <c r="H189"/>
  <c r="E189"/>
  <c r="F189" s="1"/>
  <c r="I188"/>
  <c r="H188"/>
  <c r="F188"/>
  <c r="E188"/>
  <c r="E187"/>
  <c r="H187" s="1"/>
  <c r="E186"/>
  <c r="H186" s="1"/>
  <c r="I185"/>
  <c r="E185"/>
  <c r="F185" s="1"/>
  <c r="I184"/>
  <c r="H184"/>
  <c r="F184"/>
  <c r="E184"/>
  <c r="H183"/>
  <c r="E183"/>
  <c r="F183" s="1"/>
  <c r="I182"/>
  <c r="H182"/>
  <c r="F182"/>
  <c r="E182"/>
  <c r="E181"/>
  <c r="H181" s="1"/>
  <c r="E180"/>
  <c r="H180" s="1"/>
  <c r="I179"/>
  <c r="E179"/>
  <c r="F179" s="1"/>
  <c r="I178"/>
  <c r="H178"/>
  <c r="F178"/>
  <c r="E178"/>
  <c r="H177"/>
  <c r="E177"/>
  <c r="F177" s="1"/>
  <c r="H176"/>
  <c r="F176"/>
  <c r="E176"/>
  <c r="I176" s="1"/>
  <c r="E175"/>
  <c r="H175" s="1"/>
  <c r="E174"/>
  <c r="H174" s="1"/>
  <c r="I173"/>
  <c r="E173"/>
  <c r="F173" s="1"/>
  <c r="I172"/>
  <c r="H172"/>
  <c r="F172"/>
  <c r="E172"/>
  <c r="H171"/>
  <c r="E171"/>
  <c r="F171" s="1"/>
  <c r="H170"/>
  <c r="F170"/>
  <c r="E170"/>
  <c r="I170" s="1"/>
  <c r="E169"/>
  <c r="H169" s="1"/>
  <c r="E168"/>
  <c r="H168" s="1"/>
  <c r="I167"/>
  <c r="E167"/>
  <c r="F167" s="1"/>
  <c r="I166"/>
  <c r="H166"/>
  <c r="F166"/>
  <c r="E166"/>
  <c r="H165"/>
  <c r="E165"/>
  <c r="F165" s="1"/>
  <c r="H164"/>
  <c r="F164"/>
  <c r="E164"/>
  <c r="I164" s="1"/>
  <c r="E163"/>
  <c r="H163" s="1"/>
  <c r="E162"/>
  <c r="H162" s="1"/>
  <c r="I161"/>
  <c r="E161"/>
  <c r="F161" s="1"/>
  <c r="I160"/>
  <c r="H160"/>
  <c r="F160"/>
  <c r="E160"/>
  <c r="H159"/>
  <c r="E159"/>
  <c r="F159" s="1"/>
  <c r="H158"/>
  <c r="F158"/>
  <c r="E158"/>
  <c r="I158" s="1"/>
  <c r="E157"/>
  <c r="H157" s="1"/>
  <c r="E156"/>
  <c r="H156" s="1"/>
  <c r="I155"/>
  <c r="E155"/>
  <c r="F155" s="1"/>
  <c r="I154"/>
  <c r="H154"/>
  <c r="F154"/>
  <c r="E154"/>
  <c r="H153"/>
  <c r="E153"/>
  <c r="F153" s="1"/>
  <c r="H152"/>
  <c r="F152"/>
  <c r="E152"/>
  <c r="I152" s="1"/>
  <c r="E151"/>
  <c r="H151" s="1"/>
  <c r="E150"/>
  <c r="H150" s="1"/>
  <c r="I149"/>
  <c r="E149"/>
  <c r="F149" s="1"/>
  <c r="I148"/>
  <c r="H148"/>
  <c r="F148"/>
  <c r="E148"/>
  <c r="H147"/>
  <c r="E147"/>
  <c r="F147" s="1"/>
  <c r="H146"/>
  <c r="F146"/>
  <c r="E146"/>
  <c r="I146" s="1"/>
  <c r="E145"/>
  <c r="H145" s="1"/>
  <c r="E144"/>
  <c r="H144" s="1"/>
  <c r="I143"/>
  <c r="E143"/>
  <c r="F143" s="1"/>
  <c r="I142"/>
  <c r="H142"/>
  <c r="F142"/>
  <c r="E142"/>
  <c r="H141"/>
  <c r="E141"/>
  <c r="F141" s="1"/>
  <c r="H140"/>
  <c r="F140"/>
  <c r="E140"/>
  <c r="I140" s="1"/>
  <c r="E139"/>
  <c r="H139" s="1"/>
  <c r="E138"/>
  <c r="H138" s="1"/>
  <c r="I137"/>
  <c r="E137"/>
  <c r="F137" s="1"/>
  <c r="I136"/>
  <c r="H136"/>
  <c r="F136"/>
  <c r="E136"/>
  <c r="H135"/>
  <c r="E135"/>
  <c r="F135" s="1"/>
  <c r="H134"/>
  <c r="F134"/>
  <c r="E134"/>
  <c r="I134" s="1"/>
  <c r="E133"/>
  <c r="H133" s="1"/>
  <c r="E132"/>
  <c r="H132" s="1"/>
  <c r="I131"/>
  <c r="E131"/>
  <c r="F131" s="1"/>
  <c r="I130"/>
  <c r="H130"/>
  <c r="F130"/>
  <c r="E130"/>
  <c r="H129"/>
  <c r="E129"/>
  <c r="F129" s="1"/>
  <c r="H128"/>
  <c r="F128"/>
  <c r="E128"/>
  <c r="I128" s="1"/>
  <c r="E127"/>
  <c r="H127" s="1"/>
  <c r="E126"/>
  <c r="H126" s="1"/>
  <c r="I125"/>
  <c r="E125"/>
  <c r="F125" s="1"/>
  <c r="I124"/>
  <c r="H124"/>
  <c r="F124"/>
  <c r="E124"/>
  <c r="H123"/>
  <c r="E123"/>
  <c r="F123" s="1"/>
  <c r="H122"/>
  <c r="F122"/>
  <c r="E122"/>
  <c r="I122" s="1"/>
  <c r="E121"/>
  <c r="H121" s="1"/>
  <c r="E120"/>
  <c r="H120" s="1"/>
  <c r="I119"/>
  <c r="E119"/>
  <c r="F119" s="1"/>
  <c r="I118"/>
  <c r="H118"/>
  <c r="F118"/>
  <c r="E118"/>
  <c r="H117"/>
  <c r="E117"/>
  <c r="F117" s="1"/>
  <c r="H116"/>
  <c r="F116"/>
  <c r="E116"/>
  <c r="I116" s="1"/>
  <c r="E115"/>
  <c r="H115" s="1"/>
  <c r="E114"/>
  <c r="H114" s="1"/>
  <c r="I113"/>
  <c r="E113"/>
  <c r="F113" s="1"/>
  <c r="I112"/>
  <c r="H112"/>
  <c r="F112"/>
  <c r="E112"/>
  <c r="H111"/>
  <c r="E111"/>
  <c r="F111" s="1"/>
  <c r="H110"/>
  <c r="F110"/>
  <c r="E110"/>
  <c r="I110" s="1"/>
  <c r="E109"/>
  <c r="H109" s="1"/>
  <c r="E108"/>
  <c r="H108" s="1"/>
  <c r="I107"/>
  <c r="E107"/>
  <c r="F107" s="1"/>
  <c r="I106"/>
  <c r="H106"/>
  <c r="F106"/>
  <c r="E106"/>
  <c r="H105"/>
  <c r="E105"/>
  <c r="F105" s="1"/>
  <c r="H104"/>
  <c r="F104"/>
  <c r="E104"/>
  <c r="I104" s="1"/>
  <c r="E103"/>
  <c r="H103" s="1"/>
  <c r="E102"/>
  <c r="H102" s="1"/>
  <c r="I101"/>
  <c r="E101"/>
  <c r="F101" s="1"/>
  <c r="I100"/>
  <c r="H100"/>
  <c r="F100"/>
  <c r="E100"/>
  <c r="H99"/>
  <c r="E99"/>
  <c r="F99" s="1"/>
  <c r="H98"/>
  <c r="F98"/>
  <c r="E98"/>
  <c r="I98" s="1"/>
  <c r="E97"/>
  <c r="H97" s="1"/>
  <c r="E96"/>
  <c r="H96" s="1"/>
  <c r="I95"/>
  <c r="E95"/>
  <c r="F95" s="1"/>
  <c r="I94"/>
  <c r="H94"/>
  <c r="F94"/>
  <c r="E94"/>
  <c r="H93"/>
  <c r="E93"/>
  <c r="F93" s="1"/>
  <c r="H92"/>
  <c r="F92"/>
  <c r="E92"/>
  <c r="I92" s="1"/>
  <c r="E91"/>
  <c r="H91" s="1"/>
  <c r="E90"/>
  <c r="H90" s="1"/>
  <c r="I89"/>
  <c r="E89"/>
  <c r="F89" s="1"/>
  <c r="I88"/>
  <c r="H88"/>
  <c r="F88"/>
  <c r="E88"/>
  <c r="H87"/>
  <c r="E87"/>
  <c r="F87" s="1"/>
  <c r="H86"/>
  <c r="F86"/>
  <c r="E86"/>
  <c r="I86" s="1"/>
  <c r="E85"/>
  <c r="H85" s="1"/>
  <c r="E84"/>
  <c r="H84" s="1"/>
  <c r="I83"/>
  <c r="E83"/>
  <c r="F83" s="1"/>
  <c r="I82"/>
  <c r="H82"/>
  <c r="F82"/>
  <c r="E82"/>
  <c r="H81"/>
  <c r="E81"/>
  <c r="F81" s="1"/>
  <c r="H80"/>
  <c r="F80"/>
  <c r="E80"/>
  <c r="I80" s="1"/>
  <c r="E79"/>
  <c r="H79" s="1"/>
  <c r="E78"/>
  <c r="H78" s="1"/>
  <c r="I77"/>
  <c r="E77"/>
  <c r="F77" s="1"/>
  <c r="I76"/>
  <c r="H76"/>
  <c r="F76"/>
  <c r="E76"/>
  <c r="H75"/>
  <c r="E75"/>
  <c r="F75" s="1"/>
  <c r="H74"/>
  <c r="F74"/>
  <c r="E74"/>
  <c r="I74" s="1"/>
  <c r="E73"/>
  <c r="H73" s="1"/>
  <c r="E72"/>
  <c r="H72" s="1"/>
  <c r="I71"/>
  <c r="E71"/>
  <c r="F71" s="1"/>
  <c r="I70"/>
  <c r="H70"/>
  <c r="F70"/>
  <c r="E70"/>
  <c r="H69"/>
  <c r="E69"/>
  <c r="F69" s="1"/>
  <c r="H68"/>
  <c r="F68"/>
  <c r="E68"/>
  <c r="I68" s="1"/>
  <c r="E67"/>
  <c r="H67" s="1"/>
  <c r="E66"/>
  <c r="H66" s="1"/>
  <c r="I65"/>
  <c r="E65"/>
  <c r="F65" s="1"/>
  <c r="I64"/>
  <c r="H64"/>
  <c r="F64"/>
  <c r="E64"/>
  <c r="H63"/>
  <c r="E63"/>
  <c r="F63" s="1"/>
  <c r="H62"/>
  <c r="F62"/>
  <c r="E62"/>
  <c r="I62" s="1"/>
  <c r="E61"/>
  <c r="H61" s="1"/>
  <c r="E60"/>
  <c r="H60" s="1"/>
  <c r="I59"/>
  <c r="E59"/>
  <c r="F59" s="1"/>
  <c r="I58"/>
  <c r="H58"/>
  <c r="F58"/>
  <c r="E58"/>
  <c r="H57"/>
  <c r="E57"/>
  <c r="F57" s="1"/>
  <c r="H56"/>
  <c r="F56"/>
  <c r="E56"/>
  <c r="I56" s="1"/>
  <c r="E55"/>
  <c r="H55" s="1"/>
  <c r="E54"/>
  <c r="H54" s="1"/>
  <c r="I53"/>
  <c r="E53"/>
  <c r="F53" s="1"/>
  <c r="I52"/>
  <c r="H52"/>
  <c r="F52"/>
  <c r="E52"/>
  <c r="H51"/>
  <c r="E51"/>
  <c r="F51" s="1"/>
  <c r="H50"/>
  <c r="F50"/>
  <c r="E50"/>
  <c r="I50" s="1"/>
  <c r="E49"/>
  <c r="H49" s="1"/>
  <c r="E48"/>
  <c r="H48" s="1"/>
  <c r="I47"/>
  <c r="E47"/>
  <c r="F47" s="1"/>
  <c r="I46"/>
  <c r="H46"/>
  <c r="F46"/>
  <c r="E46"/>
  <c r="H45"/>
  <c r="E45"/>
  <c r="F45" s="1"/>
  <c r="H44"/>
  <c r="F44"/>
  <c r="E44"/>
  <c r="I44" s="1"/>
  <c r="E43"/>
  <c r="H43" s="1"/>
  <c r="E42"/>
  <c r="H42" s="1"/>
  <c r="I41"/>
  <c r="E41"/>
  <c r="F41" s="1"/>
  <c r="I40"/>
  <c r="H40"/>
  <c r="F40"/>
  <c r="E40"/>
  <c r="H39"/>
  <c r="E39"/>
  <c r="F39" s="1"/>
  <c r="H38"/>
  <c r="F38"/>
  <c r="E38"/>
  <c r="I38" s="1"/>
  <c r="E37"/>
  <c r="H37" s="1"/>
  <c r="E36"/>
  <c r="H36" s="1"/>
  <c r="I35"/>
  <c r="E35"/>
  <c r="F35" s="1"/>
  <c r="I34"/>
  <c r="H34"/>
  <c r="F34"/>
  <c r="E34"/>
  <c r="H33"/>
  <c r="E33"/>
  <c r="F33" s="1"/>
  <c r="H32"/>
  <c r="F32"/>
  <c r="E32"/>
  <c r="I32" s="1"/>
  <c r="E31"/>
  <c r="H31" s="1"/>
  <c r="E30"/>
  <c r="H30" s="1"/>
  <c r="I29"/>
  <c r="E29"/>
  <c r="F29" s="1"/>
  <c r="I28"/>
  <c r="H28"/>
  <c r="F28"/>
  <c r="E28"/>
  <c r="H27"/>
  <c r="E27"/>
  <c r="F27" s="1"/>
  <c r="H26"/>
  <c r="F26"/>
  <c r="E26"/>
  <c r="I26" s="1"/>
  <c r="E25"/>
  <c r="H25" s="1"/>
  <c r="E24"/>
  <c r="H24" s="1"/>
  <c r="I23"/>
  <c r="E23"/>
  <c r="F23" s="1"/>
  <c r="I22"/>
  <c r="H22"/>
  <c r="F22"/>
  <c r="E22"/>
  <c r="H21"/>
  <c r="E21"/>
  <c r="F21" s="1"/>
  <c r="H20"/>
  <c r="F20"/>
  <c r="E20"/>
  <c r="I20" s="1"/>
  <c r="E19"/>
  <c r="H19" s="1"/>
  <c r="E18"/>
  <c r="H18" s="1"/>
  <c r="I17"/>
  <c r="E17"/>
  <c r="F17" s="1"/>
  <c r="I16"/>
  <c r="H16"/>
  <c r="F16"/>
  <c r="E16"/>
  <c r="I15"/>
  <c r="H15"/>
  <c r="E15"/>
  <c r="F15" s="1"/>
  <c r="H14"/>
  <c r="F14"/>
  <c r="E14"/>
  <c r="I14" s="1"/>
  <c r="E13"/>
  <c r="H13" s="1"/>
  <c r="E12"/>
  <c r="H12" s="1"/>
  <c r="I11"/>
  <c r="E11"/>
  <c r="F11" s="1"/>
  <c r="I10"/>
  <c r="H10"/>
  <c r="F10"/>
  <c r="E10"/>
  <c r="I9"/>
  <c r="H9"/>
  <c r="E9"/>
  <c r="F9" s="1"/>
  <c r="H8"/>
  <c r="F8"/>
  <c r="E8"/>
  <c r="I8" s="1"/>
  <c r="E7"/>
  <c r="H7" s="1"/>
  <c r="E6"/>
  <c r="H6" s="1"/>
  <c r="I5"/>
  <c r="E5"/>
  <c r="F5" s="1"/>
  <c r="I4"/>
  <c r="H4"/>
  <c r="F4"/>
  <c r="E4"/>
  <c r="I3"/>
  <c r="H3"/>
  <c r="E3"/>
  <c r="F3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3"/>
  <c r="B3" i="5"/>
  <c r="C3" s="1"/>
  <c r="I1001" i="7"/>
  <c r="F1001"/>
  <c r="E1001"/>
  <c r="H1001" s="1"/>
  <c r="H1000"/>
  <c r="E1000"/>
  <c r="I999"/>
  <c r="E999"/>
  <c r="H999" s="1"/>
  <c r="I998"/>
  <c r="H998"/>
  <c r="F998"/>
  <c r="E998"/>
  <c r="H997"/>
  <c r="E997"/>
  <c r="F996"/>
  <c r="E996"/>
  <c r="H996" s="1"/>
  <c r="I995"/>
  <c r="F995"/>
  <c r="E995"/>
  <c r="H995" s="1"/>
  <c r="E994"/>
  <c r="H994" s="1"/>
  <c r="I993"/>
  <c r="H993"/>
  <c r="E993"/>
  <c r="F993" s="1"/>
  <c r="I992"/>
  <c r="H992"/>
  <c r="F992"/>
  <c r="E992"/>
  <c r="H991"/>
  <c r="E991"/>
  <c r="F990"/>
  <c r="E990"/>
  <c r="H990" s="1"/>
  <c r="I989"/>
  <c r="F989"/>
  <c r="E989"/>
  <c r="H989" s="1"/>
  <c r="E988"/>
  <c r="H988" s="1"/>
  <c r="I987"/>
  <c r="H987"/>
  <c r="E987"/>
  <c r="F987" s="1"/>
  <c r="I986"/>
  <c r="H986"/>
  <c r="F986"/>
  <c r="E986"/>
  <c r="H985"/>
  <c r="E985"/>
  <c r="F984"/>
  <c r="E984"/>
  <c r="H984" s="1"/>
  <c r="I983"/>
  <c r="F983"/>
  <c r="E983"/>
  <c r="H983" s="1"/>
  <c r="E982"/>
  <c r="H982" s="1"/>
  <c r="I981"/>
  <c r="H981"/>
  <c r="E981"/>
  <c r="F981" s="1"/>
  <c r="I980"/>
  <c r="H980"/>
  <c r="F980"/>
  <c r="E980"/>
  <c r="H979"/>
  <c r="E979"/>
  <c r="F978"/>
  <c r="E978"/>
  <c r="H978" s="1"/>
  <c r="I977"/>
  <c r="F977"/>
  <c r="E977"/>
  <c r="H977" s="1"/>
  <c r="E976"/>
  <c r="H976" s="1"/>
  <c r="I975"/>
  <c r="H975"/>
  <c r="E975"/>
  <c r="F975" s="1"/>
  <c r="I974"/>
  <c r="H974"/>
  <c r="F974"/>
  <c r="E974"/>
  <c r="H973"/>
  <c r="E973"/>
  <c r="F972"/>
  <c r="E972"/>
  <c r="H972" s="1"/>
  <c r="I971"/>
  <c r="F971"/>
  <c r="E971"/>
  <c r="H971" s="1"/>
  <c r="E970"/>
  <c r="H970" s="1"/>
  <c r="I969"/>
  <c r="H969"/>
  <c r="E969"/>
  <c r="F969" s="1"/>
  <c r="I968"/>
  <c r="H968"/>
  <c r="F968"/>
  <c r="E968"/>
  <c r="H967"/>
  <c r="E967"/>
  <c r="F966"/>
  <c r="E966"/>
  <c r="H966" s="1"/>
  <c r="I965"/>
  <c r="F965"/>
  <c r="E965"/>
  <c r="H965" s="1"/>
  <c r="E964"/>
  <c r="H964" s="1"/>
  <c r="I963"/>
  <c r="H963"/>
  <c r="E963"/>
  <c r="F963" s="1"/>
  <c r="I962"/>
  <c r="H962"/>
  <c r="F962"/>
  <c r="E962"/>
  <c r="H961"/>
  <c r="E961"/>
  <c r="F960"/>
  <c r="E960"/>
  <c r="H960" s="1"/>
  <c r="I959"/>
  <c r="F959"/>
  <c r="E959"/>
  <c r="H959" s="1"/>
  <c r="E958"/>
  <c r="H958" s="1"/>
  <c r="I957"/>
  <c r="H957"/>
  <c r="E957"/>
  <c r="F957" s="1"/>
  <c r="I956"/>
  <c r="H956"/>
  <c r="F956"/>
  <c r="E956"/>
  <c r="H955"/>
  <c r="E955"/>
  <c r="F954"/>
  <c r="E954"/>
  <c r="H954" s="1"/>
  <c r="I953"/>
  <c r="F953"/>
  <c r="E953"/>
  <c r="H953" s="1"/>
  <c r="E952"/>
  <c r="H952" s="1"/>
  <c r="I951"/>
  <c r="H951"/>
  <c r="E951"/>
  <c r="F951" s="1"/>
  <c r="I950"/>
  <c r="H950"/>
  <c r="F950"/>
  <c r="E950"/>
  <c r="H949"/>
  <c r="E949"/>
  <c r="F948"/>
  <c r="E948"/>
  <c r="H948" s="1"/>
  <c r="I947"/>
  <c r="F947"/>
  <c r="E947"/>
  <c r="H947" s="1"/>
  <c r="E946"/>
  <c r="H946" s="1"/>
  <c r="I945"/>
  <c r="H945"/>
  <c r="E945"/>
  <c r="F945" s="1"/>
  <c r="I944"/>
  <c r="H944"/>
  <c r="F944"/>
  <c r="E944"/>
  <c r="H943"/>
  <c r="E943"/>
  <c r="F942"/>
  <c r="E942"/>
  <c r="H942" s="1"/>
  <c r="I941"/>
  <c r="F941"/>
  <c r="E941"/>
  <c r="H941" s="1"/>
  <c r="E940"/>
  <c r="H940" s="1"/>
  <c r="I939"/>
  <c r="H939"/>
  <c r="E939"/>
  <c r="F939" s="1"/>
  <c r="I938"/>
  <c r="H938"/>
  <c r="F938"/>
  <c r="E938"/>
  <c r="H937"/>
  <c r="E937"/>
  <c r="F936"/>
  <c r="E936"/>
  <c r="H936" s="1"/>
  <c r="I935"/>
  <c r="F935"/>
  <c r="E935"/>
  <c r="H935" s="1"/>
  <c r="E934"/>
  <c r="H934" s="1"/>
  <c r="I933"/>
  <c r="H933"/>
  <c r="E933"/>
  <c r="F933" s="1"/>
  <c r="I932"/>
  <c r="H932"/>
  <c r="F932"/>
  <c r="E932"/>
  <c r="H931"/>
  <c r="E931"/>
  <c r="F930"/>
  <c r="E930"/>
  <c r="H930" s="1"/>
  <c r="I929"/>
  <c r="F929"/>
  <c r="E929"/>
  <c r="H929" s="1"/>
  <c r="E928"/>
  <c r="H928" s="1"/>
  <c r="I927"/>
  <c r="H927"/>
  <c r="E927"/>
  <c r="F927" s="1"/>
  <c r="I926"/>
  <c r="H926"/>
  <c r="F926"/>
  <c r="E926"/>
  <c r="H925"/>
  <c r="E925"/>
  <c r="F924"/>
  <c r="E924"/>
  <c r="H924" s="1"/>
  <c r="I923"/>
  <c r="F923"/>
  <c r="E923"/>
  <c r="H923" s="1"/>
  <c r="E922"/>
  <c r="H922" s="1"/>
  <c r="I921"/>
  <c r="H921"/>
  <c r="E921"/>
  <c r="F921" s="1"/>
  <c r="I920"/>
  <c r="H920"/>
  <c r="F920"/>
  <c r="E920"/>
  <c r="H919"/>
  <c r="E919"/>
  <c r="F918"/>
  <c r="E918"/>
  <c r="H918" s="1"/>
  <c r="I917"/>
  <c r="F917"/>
  <c r="E917"/>
  <c r="H917" s="1"/>
  <c r="E916"/>
  <c r="H916" s="1"/>
  <c r="I915"/>
  <c r="H915"/>
  <c r="E915"/>
  <c r="F915" s="1"/>
  <c r="I914"/>
  <c r="H914"/>
  <c r="F914"/>
  <c r="E914"/>
  <c r="H913"/>
  <c r="E913"/>
  <c r="F912"/>
  <c r="E912"/>
  <c r="H912" s="1"/>
  <c r="I911"/>
  <c r="F911"/>
  <c r="E911"/>
  <c r="H911" s="1"/>
  <c r="E910"/>
  <c r="H910" s="1"/>
  <c r="I909"/>
  <c r="H909"/>
  <c r="E909"/>
  <c r="F909" s="1"/>
  <c r="I908"/>
  <c r="H908"/>
  <c r="F908"/>
  <c r="E908"/>
  <c r="H907"/>
  <c r="E907"/>
  <c r="F906"/>
  <c r="E906"/>
  <c r="H906" s="1"/>
  <c r="I905"/>
  <c r="F905"/>
  <c r="E905"/>
  <c r="H905" s="1"/>
  <c r="E904"/>
  <c r="H904" s="1"/>
  <c r="I903"/>
  <c r="H903"/>
  <c r="E903"/>
  <c r="F903" s="1"/>
  <c r="I902"/>
  <c r="H902"/>
  <c r="F902"/>
  <c r="E902"/>
  <c r="H901"/>
  <c r="E901"/>
  <c r="F900"/>
  <c r="E900"/>
  <c r="H900" s="1"/>
  <c r="I899"/>
  <c r="F899"/>
  <c r="E899"/>
  <c r="H899" s="1"/>
  <c r="E898"/>
  <c r="H898" s="1"/>
  <c r="I897"/>
  <c r="H897"/>
  <c r="E897"/>
  <c r="F897" s="1"/>
  <c r="I896"/>
  <c r="H896"/>
  <c r="F896"/>
  <c r="E896"/>
  <c r="H895"/>
  <c r="E895"/>
  <c r="F894"/>
  <c r="E894"/>
  <c r="H894" s="1"/>
  <c r="I893"/>
  <c r="F893"/>
  <c r="E893"/>
  <c r="H893" s="1"/>
  <c r="E892"/>
  <c r="H892" s="1"/>
  <c r="I891"/>
  <c r="H891"/>
  <c r="E891"/>
  <c r="F891" s="1"/>
  <c r="I890"/>
  <c r="H890"/>
  <c r="F890"/>
  <c r="E890"/>
  <c r="H889"/>
  <c r="E889"/>
  <c r="F888"/>
  <c r="E888"/>
  <c r="H888" s="1"/>
  <c r="I887"/>
  <c r="F887"/>
  <c r="E887"/>
  <c r="H887" s="1"/>
  <c r="H886"/>
  <c r="E886"/>
  <c r="I885"/>
  <c r="H885"/>
  <c r="E885"/>
  <c r="F885" s="1"/>
  <c r="I884"/>
  <c r="H884"/>
  <c r="F884"/>
  <c r="E884"/>
  <c r="H883"/>
  <c r="E883"/>
  <c r="F882"/>
  <c r="E882"/>
  <c r="H882" s="1"/>
  <c r="I881"/>
  <c r="F881"/>
  <c r="E881"/>
  <c r="H881" s="1"/>
  <c r="H880"/>
  <c r="E880"/>
  <c r="I879"/>
  <c r="H879"/>
  <c r="F879"/>
  <c r="E879"/>
  <c r="I878"/>
  <c r="H878"/>
  <c r="F878"/>
  <c r="E878"/>
  <c r="H877"/>
  <c r="E877"/>
  <c r="F876"/>
  <c r="E876"/>
  <c r="H876" s="1"/>
  <c r="I875"/>
  <c r="F875"/>
  <c r="E875"/>
  <c r="H875" s="1"/>
  <c r="H874"/>
  <c r="E874"/>
  <c r="I873"/>
  <c r="H873"/>
  <c r="F873"/>
  <c r="E873"/>
  <c r="I872"/>
  <c r="H872"/>
  <c r="F872"/>
  <c r="E872"/>
  <c r="E871"/>
  <c r="H871" s="1"/>
  <c r="F870"/>
  <c r="E870"/>
  <c r="H870" s="1"/>
  <c r="I869"/>
  <c r="F869"/>
  <c r="E869"/>
  <c r="H869" s="1"/>
  <c r="H868"/>
  <c r="E868"/>
  <c r="I867"/>
  <c r="H867"/>
  <c r="F867"/>
  <c r="E867"/>
  <c r="I866"/>
  <c r="H866"/>
  <c r="F866"/>
  <c r="E866"/>
  <c r="E865"/>
  <c r="H865" s="1"/>
  <c r="F864"/>
  <c r="E864"/>
  <c r="H864" s="1"/>
  <c r="I863"/>
  <c r="F863"/>
  <c r="E863"/>
  <c r="H863" s="1"/>
  <c r="E862"/>
  <c r="I861"/>
  <c r="H861"/>
  <c r="F861"/>
  <c r="E861"/>
  <c r="I860"/>
  <c r="H860"/>
  <c r="F860"/>
  <c r="E860"/>
  <c r="H859"/>
  <c r="E859"/>
  <c r="F858"/>
  <c r="E858"/>
  <c r="H858" s="1"/>
  <c r="I857"/>
  <c r="F857"/>
  <c r="E857"/>
  <c r="H857" s="1"/>
  <c r="H856"/>
  <c r="E856"/>
  <c r="I855"/>
  <c r="H855"/>
  <c r="F855"/>
  <c r="E855"/>
  <c r="I854"/>
  <c r="H854"/>
  <c r="F854"/>
  <c r="E854"/>
  <c r="E853"/>
  <c r="F852"/>
  <c r="E852"/>
  <c r="H852" s="1"/>
  <c r="I851"/>
  <c r="F851"/>
  <c r="E851"/>
  <c r="H851" s="1"/>
  <c r="H850"/>
  <c r="E850"/>
  <c r="I849"/>
  <c r="H849"/>
  <c r="F849"/>
  <c r="E849"/>
  <c r="I848"/>
  <c r="H848"/>
  <c r="F848"/>
  <c r="E848"/>
  <c r="H847"/>
  <c r="E847"/>
  <c r="F846"/>
  <c r="E846"/>
  <c r="H846" s="1"/>
  <c r="I845"/>
  <c r="F845"/>
  <c r="E845"/>
  <c r="H845" s="1"/>
  <c r="H844"/>
  <c r="E844"/>
  <c r="I843"/>
  <c r="H843"/>
  <c r="F843"/>
  <c r="E843"/>
  <c r="I842"/>
  <c r="H842"/>
  <c r="F842"/>
  <c r="E842"/>
  <c r="E841"/>
  <c r="H841" s="1"/>
  <c r="F840"/>
  <c r="E840"/>
  <c r="H840" s="1"/>
  <c r="I839"/>
  <c r="F839"/>
  <c r="E839"/>
  <c r="H839" s="1"/>
  <c r="E838"/>
  <c r="H838" s="1"/>
  <c r="I837"/>
  <c r="H837"/>
  <c r="F837"/>
  <c r="E837"/>
  <c r="I836"/>
  <c r="H836"/>
  <c r="F836"/>
  <c r="E836"/>
  <c r="H835"/>
  <c r="E835"/>
  <c r="F834"/>
  <c r="E834"/>
  <c r="H834" s="1"/>
  <c r="I833"/>
  <c r="F833"/>
  <c r="E833"/>
  <c r="H833" s="1"/>
  <c r="H832"/>
  <c r="E832"/>
  <c r="I831"/>
  <c r="H831"/>
  <c r="F831"/>
  <c r="E831"/>
  <c r="I830"/>
  <c r="H830"/>
  <c r="F830"/>
  <c r="E830"/>
  <c r="E829"/>
  <c r="H829" s="1"/>
  <c r="F828"/>
  <c r="E828"/>
  <c r="H828" s="1"/>
  <c r="I827"/>
  <c r="F827"/>
  <c r="E827"/>
  <c r="H827" s="1"/>
  <c r="E826"/>
  <c r="I825"/>
  <c r="H825"/>
  <c r="E825"/>
  <c r="F825" s="1"/>
  <c r="I824"/>
  <c r="H824"/>
  <c r="F824"/>
  <c r="E824"/>
  <c r="E823"/>
  <c r="H823" s="1"/>
  <c r="F822"/>
  <c r="E822"/>
  <c r="H822" s="1"/>
  <c r="I821"/>
  <c r="F821"/>
  <c r="E821"/>
  <c r="H821" s="1"/>
  <c r="E820"/>
  <c r="I819"/>
  <c r="H819"/>
  <c r="F819"/>
  <c r="E819"/>
  <c r="I818"/>
  <c r="H818"/>
  <c r="F818"/>
  <c r="E818"/>
  <c r="H817"/>
  <c r="E817"/>
  <c r="F816"/>
  <c r="E816"/>
  <c r="H816" s="1"/>
  <c r="I815"/>
  <c r="F815"/>
  <c r="E815"/>
  <c r="H815" s="1"/>
  <c r="H814"/>
  <c r="E814"/>
  <c r="I813"/>
  <c r="H813"/>
  <c r="F813"/>
  <c r="E813"/>
  <c r="I812"/>
  <c r="H812"/>
  <c r="F812"/>
  <c r="E812"/>
  <c r="E811"/>
  <c r="F810"/>
  <c r="E810"/>
  <c r="H810" s="1"/>
  <c r="I809"/>
  <c r="F809"/>
  <c r="E809"/>
  <c r="H809" s="1"/>
  <c r="H808"/>
  <c r="E808"/>
  <c r="I807"/>
  <c r="H807"/>
  <c r="E807"/>
  <c r="F807" s="1"/>
  <c r="I806"/>
  <c r="H806"/>
  <c r="F806"/>
  <c r="E806"/>
  <c r="E805"/>
  <c r="F804"/>
  <c r="E804"/>
  <c r="H804" s="1"/>
  <c r="I803"/>
  <c r="F803"/>
  <c r="E803"/>
  <c r="H803" s="1"/>
  <c r="H802"/>
  <c r="E802"/>
  <c r="I801"/>
  <c r="H801"/>
  <c r="F801"/>
  <c r="E801"/>
  <c r="I800"/>
  <c r="H800"/>
  <c r="F800"/>
  <c r="E800"/>
  <c r="E799"/>
  <c r="F798"/>
  <c r="E798"/>
  <c r="H798" s="1"/>
  <c r="I797"/>
  <c r="F797"/>
  <c r="E797"/>
  <c r="H797" s="1"/>
  <c r="H796"/>
  <c r="E796"/>
  <c r="I795"/>
  <c r="H795"/>
  <c r="F795"/>
  <c r="E795"/>
  <c r="I794"/>
  <c r="H794"/>
  <c r="F794"/>
  <c r="E794"/>
  <c r="H793"/>
  <c r="E793"/>
  <c r="F792"/>
  <c r="E792"/>
  <c r="H792" s="1"/>
  <c r="I791"/>
  <c r="F791"/>
  <c r="E791"/>
  <c r="H791" s="1"/>
  <c r="E790"/>
  <c r="H790" s="1"/>
  <c r="I789"/>
  <c r="H789"/>
  <c r="F789"/>
  <c r="E789"/>
  <c r="I788"/>
  <c r="H788"/>
  <c r="F788"/>
  <c r="E788"/>
  <c r="H787"/>
  <c r="E787"/>
  <c r="F786"/>
  <c r="E786"/>
  <c r="H786" s="1"/>
  <c r="I785"/>
  <c r="F785"/>
  <c r="E785"/>
  <c r="H785" s="1"/>
  <c r="H784"/>
  <c r="E784"/>
  <c r="I783"/>
  <c r="H783"/>
  <c r="E783"/>
  <c r="F783" s="1"/>
  <c r="I782"/>
  <c r="H782"/>
  <c r="F782"/>
  <c r="E782"/>
  <c r="H781"/>
  <c r="E781"/>
  <c r="F780"/>
  <c r="E780"/>
  <c r="H780" s="1"/>
  <c r="I779"/>
  <c r="F779"/>
  <c r="E779"/>
  <c r="H779" s="1"/>
  <c r="H778"/>
  <c r="E778"/>
  <c r="I777"/>
  <c r="H777"/>
  <c r="E777"/>
  <c r="F777" s="1"/>
  <c r="I776"/>
  <c r="H776"/>
  <c r="F776"/>
  <c r="E776"/>
  <c r="H775"/>
  <c r="E775"/>
  <c r="F774"/>
  <c r="E774"/>
  <c r="H774" s="1"/>
  <c r="I773"/>
  <c r="F773"/>
  <c r="E773"/>
  <c r="H773" s="1"/>
  <c r="E772"/>
  <c r="I771"/>
  <c r="H771"/>
  <c r="E771"/>
  <c r="F771" s="1"/>
  <c r="I770"/>
  <c r="H770"/>
  <c r="F770"/>
  <c r="E770"/>
  <c r="H769"/>
  <c r="E769"/>
  <c r="F768"/>
  <c r="E768"/>
  <c r="H768" s="1"/>
  <c r="I767"/>
  <c r="F767"/>
  <c r="E767"/>
  <c r="H767" s="1"/>
  <c r="H766"/>
  <c r="E766"/>
  <c r="I765"/>
  <c r="H765"/>
  <c r="E765"/>
  <c r="F765" s="1"/>
  <c r="I764"/>
  <c r="H764"/>
  <c r="F764"/>
  <c r="E764"/>
  <c r="H763"/>
  <c r="E763"/>
  <c r="F762"/>
  <c r="E762"/>
  <c r="H762" s="1"/>
  <c r="I761"/>
  <c r="E761"/>
  <c r="E760"/>
  <c r="H760" s="1"/>
  <c r="I759"/>
  <c r="H759"/>
  <c r="E759"/>
  <c r="F759" s="1"/>
  <c r="I758"/>
  <c r="H758"/>
  <c r="F758"/>
  <c r="E758"/>
  <c r="E757"/>
  <c r="F756"/>
  <c r="E756"/>
  <c r="H756" s="1"/>
  <c r="E755"/>
  <c r="F755" s="1"/>
  <c r="H754"/>
  <c r="E754"/>
  <c r="I753"/>
  <c r="H753"/>
  <c r="E753"/>
  <c r="F753" s="1"/>
  <c r="I752"/>
  <c r="H752"/>
  <c r="F752"/>
  <c r="E752"/>
  <c r="E751"/>
  <c r="F750"/>
  <c r="E750"/>
  <c r="H750" s="1"/>
  <c r="E749"/>
  <c r="H748"/>
  <c r="E748"/>
  <c r="I747"/>
  <c r="H747"/>
  <c r="E747"/>
  <c r="F747" s="1"/>
  <c r="I746"/>
  <c r="H746"/>
  <c r="F746"/>
  <c r="E746"/>
  <c r="E745"/>
  <c r="F744"/>
  <c r="E744"/>
  <c r="H744" s="1"/>
  <c r="F743"/>
  <c r="E743"/>
  <c r="H743" s="1"/>
  <c r="H742"/>
  <c r="E742"/>
  <c r="I741"/>
  <c r="H741"/>
  <c r="E741"/>
  <c r="F741" s="1"/>
  <c r="I740"/>
  <c r="H740"/>
  <c r="F740"/>
  <c r="E740"/>
  <c r="H739"/>
  <c r="E739"/>
  <c r="F738"/>
  <c r="E738"/>
  <c r="H738" s="1"/>
  <c r="F737"/>
  <c r="E737"/>
  <c r="H737" s="1"/>
  <c r="E736"/>
  <c r="I735"/>
  <c r="H735"/>
  <c r="E735"/>
  <c r="F735" s="1"/>
  <c r="I734"/>
  <c r="H734"/>
  <c r="F734"/>
  <c r="E734"/>
  <c r="H733"/>
  <c r="E733"/>
  <c r="F732"/>
  <c r="E732"/>
  <c r="H732" s="1"/>
  <c r="I731"/>
  <c r="F731"/>
  <c r="E731"/>
  <c r="H731" s="1"/>
  <c r="E730"/>
  <c r="H730" s="1"/>
  <c r="I729"/>
  <c r="H729"/>
  <c r="E729"/>
  <c r="F729" s="1"/>
  <c r="I728"/>
  <c r="H728"/>
  <c r="F728"/>
  <c r="E728"/>
  <c r="H727"/>
  <c r="E727"/>
  <c r="F726"/>
  <c r="E726"/>
  <c r="H726" s="1"/>
  <c r="E725"/>
  <c r="H724"/>
  <c r="E724"/>
  <c r="I723"/>
  <c r="H723"/>
  <c r="E723"/>
  <c r="F723" s="1"/>
  <c r="I722"/>
  <c r="H722"/>
  <c r="F722"/>
  <c r="E722"/>
  <c r="E721"/>
  <c r="F720"/>
  <c r="E720"/>
  <c r="H720" s="1"/>
  <c r="F719"/>
  <c r="E719"/>
  <c r="E718"/>
  <c r="I717"/>
  <c r="H717"/>
  <c r="E717"/>
  <c r="F717" s="1"/>
  <c r="I716"/>
  <c r="H716"/>
  <c r="F716"/>
  <c r="E716"/>
  <c r="H715"/>
  <c r="E715"/>
  <c r="F714"/>
  <c r="E714"/>
  <c r="H714" s="1"/>
  <c r="I713"/>
  <c r="E713"/>
  <c r="H713" s="1"/>
  <c r="H712"/>
  <c r="E712"/>
  <c r="I711"/>
  <c r="H711"/>
  <c r="E711"/>
  <c r="F711" s="1"/>
  <c r="I710"/>
  <c r="H710"/>
  <c r="F710"/>
  <c r="E710"/>
  <c r="E709"/>
  <c r="F708"/>
  <c r="E708"/>
  <c r="H708" s="1"/>
  <c r="E707"/>
  <c r="H706"/>
  <c r="E706"/>
  <c r="I705"/>
  <c r="H705"/>
  <c r="E705"/>
  <c r="F705" s="1"/>
  <c r="I704"/>
  <c r="H704"/>
  <c r="F704"/>
  <c r="E704"/>
  <c r="E703"/>
  <c r="F702"/>
  <c r="E702"/>
  <c r="H702" s="1"/>
  <c r="E701"/>
  <c r="E700"/>
  <c r="I699"/>
  <c r="H699"/>
  <c r="F699"/>
  <c r="E699"/>
  <c r="I698"/>
  <c r="H698"/>
  <c r="F698"/>
  <c r="E698"/>
  <c r="E697"/>
  <c r="F696"/>
  <c r="E696"/>
  <c r="H696" s="1"/>
  <c r="E695"/>
  <c r="I695" s="1"/>
  <c r="H694"/>
  <c r="E694"/>
  <c r="I693"/>
  <c r="H693"/>
  <c r="E693"/>
  <c r="F693" s="1"/>
  <c r="I692"/>
  <c r="H692"/>
  <c r="F692"/>
  <c r="E692"/>
  <c r="E691"/>
  <c r="F690"/>
  <c r="E690"/>
  <c r="H690" s="1"/>
  <c r="E689"/>
  <c r="F689" s="1"/>
  <c r="E688"/>
  <c r="H688" s="1"/>
  <c r="I687"/>
  <c r="H687"/>
  <c r="F687"/>
  <c r="E687"/>
  <c r="I686"/>
  <c r="H686"/>
  <c r="F686"/>
  <c r="E686"/>
  <c r="H685"/>
  <c r="E685"/>
  <c r="F684"/>
  <c r="E684"/>
  <c r="H684" s="1"/>
  <c r="I683"/>
  <c r="E683"/>
  <c r="H683" s="1"/>
  <c r="H682"/>
  <c r="E682"/>
  <c r="I681"/>
  <c r="H681"/>
  <c r="E681"/>
  <c r="F681" s="1"/>
  <c r="I680"/>
  <c r="H680"/>
  <c r="F680"/>
  <c r="E680"/>
  <c r="E679"/>
  <c r="F678"/>
  <c r="E678"/>
  <c r="H678" s="1"/>
  <c r="I677"/>
  <c r="E677"/>
  <c r="H677" s="1"/>
  <c r="E676"/>
  <c r="I675"/>
  <c r="H675"/>
  <c r="E675"/>
  <c r="F675" s="1"/>
  <c r="I674"/>
  <c r="H674"/>
  <c r="F674"/>
  <c r="E674"/>
  <c r="H673"/>
  <c r="E673"/>
  <c r="F672"/>
  <c r="E672"/>
  <c r="H672" s="1"/>
  <c r="I671"/>
  <c r="F671"/>
  <c r="E671"/>
  <c r="H671" s="1"/>
  <c r="H670"/>
  <c r="E670"/>
  <c r="I669"/>
  <c r="H669"/>
  <c r="E669"/>
  <c r="F669" s="1"/>
  <c r="I668"/>
  <c r="H668"/>
  <c r="F668"/>
  <c r="E668"/>
  <c r="E667"/>
  <c r="H667" s="1"/>
  <c r="F666"/>
  <c r="E666"/>
  <c r="H666" s="1"/>
  <c r="I665"/>
  <c r="E665"/>
  <c r="E664"/>
  <c r="I663"/>
  <c r="H663"/>
  <c r="E663"/>
  <c r="F663" s="1"/>
  <c r="I662"/>
  <c r="H662"/>
  <c r="F662"/>
  <c r="E662"/>
  <c r="E661"/>
  <c r="E660"/>
  <c r="I659"/>
  <c r="E659"/>
  <c r="H659" s="1"/>
  <c r="I658"/>
  <c r="E658"/>
  <c r="I657"/>
  <c r="H657"/>
  <c r="E657"/>
  <c r="F657" s="1"/>
  <c r="I656"/>
  <c r="H656"/>
  <c r="F656"/>
  <c r="E656"/>
  <c r="F655"/>
  <c r="E655"/>
  <c r="I655" s="1"/>
  <c r="F654"/>
  <c r="E654"/>
  <c r="E653"/>
  <c r="I652"/>
  <c r="E652"/>
  <c r="F652" s="1"/>
  <c r="I651"/>
  <c r="H651"/>
  <c r="E651"/>
  <c r="F651" s="1"/>
  <c r="I650"/>
  <c r="H650"/>
  <c r="F650"/>
  <c r="E650"/>
  <c r="H649"/>
  <c r="F649"/>
  <c r="E649"/>
  <c r="I649" s="1"/>
  <c r="E648"/>
  <c r="I647"/>
  <c r="F647"/>
  <c r="E647"/>
  <c r="H647" s="1"/>
  <c r="E646"/>
  <c r="I645"/>
  <c r="H645"/>
  <c r="E645"/>
  <c r="F645" s="1"/>
  <c r="I644"/>
  <c r="H644"/>
  <c r="F644"/>
  <c r="E644"/>
  <c r="E643"/>
  <c r="E642"/>
  <c r="I641"/>
  <c r="E641"/>
  <c r="H641" s="1"/>
  <c r="I640"/>
  <c r="E640"/>
  <c r="I639"/>
  <c r="H639"/>
  <c r="E639"/>
  <c r="F639" s="1"/>
  <c r="I638"/>
  <c r="H638"/>
  <c r="F638"/>
  <c r="E638"/>
  <c r="F637"/>
  <c r="E637"/>
  <c r="I637" s="1"/>
  <c r="F636"/>
  <c r="E636"/>
  <c r="E635"/>
  <c r="I634"/>
  <c r="E634"/>
  <c r="F634" s="1"/>
  <c r="I633"/>
  <c r="H633"/>
  <c r="E633"/>
  <c r="F633" s="1"/>
  <c r="I632"/>
  <c r="H632"/>
  <c r="F632"/>
  <c r="E632"/>
  <c r="H631"/>
  <c r="F631"/>
  <c r="E631"/>
  <c r="I631" s="1"/>
  <c r="E630"/>
  <c r="I629"/>
  <c r="F629"/>
  <c r="E629"/>
  <c r="H629" s="1"/>
  <c r="E628"/>
  <c r="I627"/>
  <c r="H627"/>
  <c r="E627"/>
  <c r="F627" s="1"/>
  <c r="I626"/>
  <c r="H626"/>
  <c r="F626"/>
  <c r="E626"/>
  <c r="E625"/>
  <c r="E624"/>
  <c r="I623"/>
  <c r="E623"/>
  <c r="H623" s="1"/>
  <c r="I622"/>
  <c r="E622"/>
  <c r="I621"/>
  <c r="H621"/>
  <c r="E621"/>
  <c r="F621" s="1"/>
  <c r="I620"/>
  <c r="H620"/>
  <c r="F620"/>
  <c r="E620"/>
  <c r="F619"/>
  <c r="E619"/>
  <c r="I619" s="1"/>
  <c r="F618"/>
  <c r="E618"/>
  <c r="F617"/>
  <c r="E617"/>
  <c r="I616"/>
  <c r="H616"/>
  <c r="E616"/>
  <c r="F616" s="1"/>
  <c r="I615"/>
  <c r="H615"/>
  <c r="E615"/>
  <c r="F615" s="1"/>
  <c r="I614"/>
  <c r="H614"/>
  <c r="F614"/>
  <c r="E614"/>
  <c r="F613"/>
  <c r="E613"/>
  <c r="H613" s="1"/>
  <c r="H612"/>
  <c r="E612"/>
  <c r="I612" s="1"/>
  <c r="I611"/>
  <c r="E611"/>
  <c r="H611" s="1"/>
  <c r="F610"/>
  <c r="E610"/>
  <c r="H610" s="1"/>
  <c r="I609"/>
  <c r="H609"/>
  <c r="E609"/>
  <c r="F609" s="1"/>
  <c r="I608"/>
  <c r="H608"/>
  <c r="F608"/>
  <c r="E608"/>
  <c r="H607"/>
  <c r="E607"/>
  <c r="I607" s="1"/>
  <c r="F606"/>
  <c r="E606"/>
  <c r="I606" s="1"/>
  <c r="I605"/>
  <c r="E605"/>
  <c r="H605" s="1"/>
  <c r="I604"/>
  <c r="H604"/>
  <c r="E604"/>
  <c r="F604" s="1"/>
  <c r="E603"/>
  <c r="F603" s="1"/>
  <c r="I602"/>
  <c r="H602"/>
  <c r="F602"/>
  <c r="E602"/>
  <c r="I601"/>
  <c r="H601"/>
  <c r="E601"/>
  <c r="F601" s="1"/>
  <c r="H600"/>
  <c r="E600"/>
  <c r="I600" s="1"/>
  <c r="F599"/>
  <c r="E599"/>
  <c r="H599" s="1"/>
  <c r="I598"/>
  <c r="H598"/>
  <c r="E598"/>
  <c r="F598" s="1"/>
  <c r="I597"/>
  <c r="H597"/>
  <c r="E597"/>
  <c r="F597" s="1"/>
  <c r="I596"/>
  <c r="H596"/>
  <c r="F596"/>
  <c r="E596"/>
  <c r="F595"/>
  <c r="E595"/>
  <c r="H595" s="1"/>
  <c r="H594"/>
  <c r="E594"/>
  <c r="I594" s="1"/>
  <c r="I593"/>
  <c r="E593"/>
  <c r="H593" s="1"/>
  <c r="F592"/>
  <c r="E592"/>
  <c r="H592" s="1"/>
  <c r="I591"/>
  <c r="H591"/>
  <c r="E591"/>
  <c r="F591" s="1"/>
  <c r="I590"/>
  <c r="H590"/>
  <c r="F590"/>
  <c r="E590"/>
  <c r="H589"/>
  <c r="E589"/>
  <c r="I589" s="1"/>
  <c r="F588"/>
  <c r="E588"/>
  <c r="I588" s="1"/>
  <c r="I587"/>
  <c r="E587"/>
  <c r="H587" s="1"/>
  <c r="I586"/>
  <c r="H586"/>
  <c r="E586"/>
  <c r="F586" s="1"/>
  <c r="E585"/>
  <c r="F585" s="1"/>
  <c r="I584"/>
  <c r="H584"/>
  <c r="F584"/>
  <c r="E584"/>
  <c r="I583"/>
  <c r="H583"/>
  <c r="E583"/>
  <c r="F583" s="1"/>
  <c r="H582"/>
  <c r="E582"/>
  <c r="I582" s="1"/>
  <c r="F581"/>
  <c r="E581"/>
  <c r="H581" s="1"/>
  <c r="I580"/>
  <c r="H580"/>
  <c r="E580"/>
  <c r="F580" s="1"/>
  <c r="I579"/>
  <c r="H579"/>
  <c r="E579"/>
  <c r="F579" s="1"/>
  <c r="I578"/>
  <c r="H578"/>
  <c r="F578"/>
  <c r="E578"/>
  <c r="F577"/>
  <c r="E577"/>
  <c r="H577" s="1"/>
  <c r="H576"/>
  <c r="E576"/>
  <c r="I576" s="1"/>
  <c r="I575"/>
  <c r="E575"/>
  <c r="H575" s="1"/>
  <c r="F574"/>
  <c r="E574"/>
  <c r="H574" s="1"/>
  <c r="I573"/>
  <c r="H573"/>
  <c r="E573"/>
  <c r="F573" s="1"/>
  <c r="I572"/>
  <c r="H572"/>
  <c r="F572"/>
  <c r="E572"/>
  <c r="H571"/>
  <c r="E571"/>
  <c r="I571" s="1"/>
  <c r="F570"/>
  <c r="E570"/>
  <c r="I570" s="1"/>
  <c r="I569"/>
  <c r="E569"/>
  <c r="H569" s="1"/>
  <c r="I568"/>
  <c r="H568"/>
  <c r="E568"/>
  <c r="F568" s="1"/>
  <c r="E567"/>
  <c r="F567" s="1"/>
  <c r="I566"/>
  <c r="H566"/>
  <c r="F566"/>
  <c r="E566"/>
  <c r="I565"/>
  <c r="H565"/>
  <c r="E565"/>
  <c r="F565" s="1"/>
  <c r="H564"/>
  <c r="E564"/>
  <c r="I564" s="1"/>
  <c r="F563"/>
  <c r="E563"/>
  <c r="H563" s="1"/>
  <c r="I562"/>
  <c r="H562"/>
  <c r="E562"/>
  <c r="F562" s="1"/>
  <c r="I561"/>
  <c r="H561"/>
  <c r="E561"/>
  <c r="F561" s="1"/>
  <c r="I560"/>
  <c r="H560"/>
  <c r="F560"/>
  <c r="E560"/>
  <c r="F559"/>
  <c r="E559"/>
  <c r="H559" s="1"/>
  <c r="H558"/>
  <c r="E558"/>
  <c r="I558" s="1"/>
  <c r="I557"/>
  <c r="E557"/>
  <c r="H557" s="1"/>
  <c r="F556"/>
  <c r="E556"/>
  <c r="H556" s="1"/>
  <c r="I555"/>
  <c r="H555"/>
  <c r="E555"/>
  <c r="F555" s="1"/>
  <c r="I554"/>
  <c r="H554"/>
  <c r="F554"/>
  <c r="E554"/>
  <c r="H553"/>
  <c r="E553"/>
  <c r="I553" s="1"/>
  <c r="F552"/>
  <c r="E552"/>
  <c r="I552" s="1"/>
  <c r="I551"/>
  <c r="E551"/>
  <c r="H551" s="1"/>
  <c r="I550"/>
  <c r="H550"/>
  <c r="E550"/>
  <c r="F550" s="1"/>
  <c r="E549"/>
  <c r="F549" s="1"/>
  <c r="I548"/>
  <c r="H548"/>
  <c r="F548"/>
  <c r="E548"/>
  <c r="I547"/>
  <c r="H547"/>
  <c r="E547"/>
  <c r="F547" s="1"/>
  <c r="H546"/>
  <c r="E546"/>
  <c r="I546" s="1"/>
  <c r="F545"/>
  <c r="E545"/>
  <c r="H545" s="1"/>
  <c r="I544"/>
  <c r="H544"/>
  <c r="E544"/>
  <c r="F544" s="1"/>
  <c r="I543"/>
  <c r="H543"/>
  <c r="E543"/>
  <c r="F543" s="1"/>
  <c r="I542"/>
  <c r="H542"/>
  <c r="F542"/>
  <c r="E542"/>
  <c r="F541"/>
  <c r="E541"/>
  <c r="H541" s="1"/>
  <c r="H540"/>
  <c r="E540"/>
  <c r="I540" s="1"/>
  <c r="I539"/>
  <c r="E539"/>
  <c r="H539" s="1"/>
  <c r="F538"/>
  <c r="E538"/>
  <c r="H538" s="1"/>
  <c r="I537"/>
  <c r="H537"/>
  <c r="E537"/>
  <c r="F537" s="1"/>
  <c r="I536"/>
  <c r="H536"/>
  <c r="F536"/>
  <c r="E536"/>
  <c r="H535"/>
  <c r="E535"/>
  <c r="I535" s="1"/>
  <c r="F534"/>
  <c r="E534"/>
  <c r="I534" s="1"/>
  <c r="I533"/>
  <c r="E533"/>
  <c r="H533" s="1"/>
  <c r="I532"/>
  <c r="H532"/>
  <c r="E532"/>
  <c r="F532" s="1"/>
  <c r="E531"/>
  <c r="F531" s="1"/>
  <c r="I530"/>
  <c r="H530"/>
  <c r="F530"/>
  <c r="E530"/>
  <c r="I529"/>
  <c r="H529"/>
  <c r="E529"/>
  <c r="F529" s="1"/>
  <c r="H528"/>
  <c r="E528"/>
  <c r="I528" s="1"/>
  <c r="E527"/>
  <c r="F527" s="1"/>
  <c r="I526"/>
  <c r="H526"/>
  <c r="E526"/>
  <c r="F526" s="1"/>
  <c r="I525"/>
  <c r="H525"/>
  <c r="E525"/>
  <c r="F525" s="1"/>
  <c r="I524"/>
  <c r="H524"/>
  <c r="F524"/>
  <c r="E524"/>
  <c r="F523"/>
  <c r="E523"/>
  <c r="H522"/>
  <c r="E522"/>
  <c r="I522" s="1"/>
  <c r="I521"/>
  <c r="E521"/>
  <c r="H521" s="1"/>
  <c r="F520"/>
  <c r="E520"/>
  <c r="I519"/>
  <c r="H519"/>
  <c r="E519"/>
  <c r="F519" s="1"/>
  <c r="I518"/>
  <c r="H518"/>
  <c r="F518"/>
  <c r="E518"/>
  <c r="H517"/>
  <c r="E517"/>
  <c r="I517" s="1"/>
  <c r="F516"/>
  <c r="E516"/>
  <c r="I515"/>
  <c r="E515"/>
  <c r="H515" s="1"/>
  <c r="I514"/>
  <c r="H514"/>
  <c r="E514"/>
  <c r="F514" s="1"/>
  <c r="E513"/>
  <c r="I512"/>
  <c r="H512"/>
  <c r="F512"/>
  <c r="E512"/>
  <c r="I511"/>
  <c r="H511"/>
  <c r="E511"/>
  <c r="F511" s="1"/>
  <c r="H510"/>
  <c r="E510"/>
  <c r="I510" s="1"/>
  <c r="F509"/>
  <c r="E509"/>
  <c r="I508"/>
  <c r="H508"/>
  <c r="E508"/>
  <c r="F508" s="1"/>
  <c r="I507"/>
  <c r="H507"/>
  <c r="E507"/>
  <c r="F507" s="1"/>
  <c r="I506"/>
  <c r="H506"/>
  <c r="F506"/>
  <c r="E506"/>
  <c r="E505"/>
  <c r="H504"/>
  <c r="E504"/>
  <c r="I504" s="1"/>
  <c r="I503"/>
  <c r="E503"/>
  <c r="H503" s="1"/>
  <c r="F502"/>
  <c r="E502"/>
  <c r="I501"/>
  <c r="H501"/>
  <c r="E501"/>
  <c r="F501" s="1"/>
  <c r="I500"/>
  <c r="H500"/>
  <c r="F500"/>
  <c r="E500"/>
  <c r="H499"/>
  <c r="E499"/>
  <c r="I499" s="1"/>
  <c r="F498"/>
  <c r="E498"/>
  <c r="I497"/>
  <c r="E497"/>
  <c r="H497" s="1"/>
  <c r="I496"/>
  <c r="H496"/>
  <c r="E496"/>
  <c r="F496" s="1"/>
  <c r="E495"/>
  <c r="I494"/>
  <c r="H494"/>
  <c r="F494"/>
  <c r="E494"/>
  <c r="I493"/>
  <c r="H493"/>
  <c r="E493"/>
  <c r="F493" s="1"/>
  <c r="H492"/>
  <c r="E492"/>
  <c r="I492" s="1"/>
  <c r="E491"/>
  <c r="F491" s="1"/>
  <c r="I490"/>
  <c r="H490"/>
  <c r="E490"/>
  <c r="F490" s="1"/>
  <c r="I489"/>
  <c r="H489"/>
  <c r="E489"/>
  <c r="F489" s="1"/>
  <c r="I488"/>
  <c r="H488"/>
  <c r="F488"/>
  <c r="E488"/>
  <c r="F487"/>
  <c r="E487"/>
  <c r="H486"/>
  <c r="E486"/>
  <c r="I486" s="1"/>
  <c r="I485"/>
  <c r="E485"/>
  <c r="H485" s="1"/>
  <c r="F484"/>
  <c r="E484"/>
  <c r="I483"/>
  <c r="H483"/>
  <c r="E483"/>
  <c r="F483" s="1"/>
  <c r="I482"/>
  <c r="H482"/>
  <c r="F482"/>
  <c r="E482"/>
  <c r="H481"/>
  <c r="E481"/>
  <c r="I481" s="1"/>
  <c r="F480"/>
  <c r="E480"/>
  <c r="I479"/>
  <c r="E479"/>
  <c r="H479" s="1"/>
  <c r="I478"/>
  <c r="H478"/>
  <c r="E478"/>
  <c r="F478" s="1"/>
  <c r="E477"/>
  <c r="I476"/>
  <c r="H476"/>
  <c r="F476"/>
  <c r="E476"/>
  <c r="I475"/>
  <c r="H475"/>
  <c r="E475"/>
  <c r="F475" s="1"/>
  <c r="H474"/>
  <c r="E474"/>
  <c r="I474" s="1"/>
  <c r="F473"/>
  <c r="E473"/>
  <c r="I472"/>
  <c r="H472"/>
  <c r="E472"/>
  <c r="F472" s="1"/>
  <c r="I471"/>
  <c r="H471"/>
  <c r="E471"/>
  <c r="F471" s="1"/>
  <c r="I470"/>
  <c r="H470"/>
  <c r="F470"/>
  <c r="E470"/>
  <c r="E469"/>
  <c r="H468"/>
  <c r="E468"/>
  <c r="I468" s="1"/>
  <c r="I467"/>
  <c r="E467"/>
  <c r="H467" s="1"/>
  <c r="F466"/>
  <c r="E466"/>
  <c r="I465"/>
  <c r="H465"/>
  <c r="E465"/>
  <c r="F465" s="1"/>
  <c r="I464"/>
  <c r="H464"/>
  <c r="F464"/>
  <c r="E464"/>
  <c r="H463"/>
  <c r="E463"/>
  <c r="F462"/>
  <c r="E462"/>
  <c r="I461"/>
  <c r="E461"/>
  <c r="H461" s="1"/>
  <c r="H460"/>
  <c r="E460"/>
  <c r="F460" s="1"/>
  <c r="E459"/>
  <c r="I458"/>
  <c r="H458"/>
  <c r="F458"/>
  <c r="E458"/>
  <c r="I457"/>
  <c r="H457"/>
  <c r="E457"/>
  <c r="F457" s="1"/>
  <c r="H456"/>
  <c r="E456"/>
  <c r="F455"/>
  <c r="E455"/>
  <c r="I454"/>
  <c r="H454"/>
  <c r="E454"/>
  <c r="F454" s="1"/>
  <c r="I453"/>
  <c r="H453"/>
  <c r="E453"/>
  <c r="F453" s="1"/>
  <c r="I452"/>
  <c r="H452"/>
  <c r="F452"/>
  <c r="E452"/>
  <c r="E451"/>
  <c r="H451" s="1"/>
  <c r="H450"/>
  <c r="E450"/>
  <c r="I450" s="1"/>
  <c r="E449"/>
  <c r="E448"/>
  <c r="F448" s="1"/>
  <c r="I447"/>
  <c r="H447"/>
  <c r="E447"/>
  <c r="F447" s="1"/>
  <c r="I446"/>
  <c r="H446"/>
  <c r="F446"/>
  <c r="E446"/>
  <c r="E445"/>
  <c r="E444"/>
  <c r="F444" s="1"/>
  <c r="I443"/>
  <c r="E443"/>
  <c r="H443" s="1"/>
  <c r="I442"/>
  <c r="E442"/>
  <c r="F442" s="1"/>
  <c r="E441"/>
  <c r="I440"/>
  <c r="H440"/>
  <c r="F440"/>
  <c r="E440"/>
  <c r="I439"/>
  <c r="H439"/>
  <c r="E439"/>
  <c r="F439" s="1"/>
  <c r="E438"/>
  <c r="H438" s="1"/>
  <c r="F437"/>
  <c r="E437"/>
  <c r="I436"/>
  <c r="H436"/>
  <c r="E436"/>
  <c r="F436" s="1"/>
  <c r="I435"/>
  <c r="H435"/>
  <c r="E435"/>
  <c r="F435" s="1"/>
  <c r="I434"/>
  <c r="H434"/>
  <c r="F434"/>
  <c r="E434"/>
  <c r="F433"/>
  <c r="E433"/>
  <c r="H433" s="1"/>
  <c r="H432"/>
  <c r="E432"/>
  <c r="I432" s="1"/>
  <c r="E431"/>
  <c r="F430"/>
  <c r="E430"/>
  <c r="I429"/>
  <c r="H429"/>
  <c r="E429"/>
  <c r="F429" s="1"/>
  <c r="I428"/>
  <c r="H428"/>
  <c r="F428"/>
  <c r="E428"/>
  <c r="E427"/>
  <c r="F426"/>
  <c r="E426"/>
  <c r="I425"/>
  <c r="E425"/>
  <c r="H425" s="1"/>
  <c r="H424"/>
  <c r="E424"/>
  <c r="F424" s="1"/>
  <c r="E423"/>
  <c r="I422"/>
  <c r="H422"/>
  <c r="F422"/>
  <c r="E422"/>
  <c r="I421"/>
  <c r="H421"/>
  <c r="E421"/>
  <c r="F421" s="1"/>
  <c r="H420"/>
  <c r="F420"/>
  <c r="E420"/>
  <c r="I420" s="1"/>
  <c r="F419"/>
  <c r="E419"/>
  <c r="I418"/>
  <c r="H418"/>
  <c r="E418"/>
  <c r="F418" s="1"/>
  <c r="H417"/>
  <c r="E417"/>
  <c r="F417" s="1"/>
  <c r="I416"/>
  <c r="H416"/>
  <c r="F416"/>
  <c r="E416"/>
  <c r="I415"/>
  <c r="F415"/>
  <c r="E415"/>
  <c r="H415" s="1"/>
  <c r="H414"/>
  <c r="E414"/>
  <c r="I414" s="1"/>
  <c r="I413"/>
  <c r="F413"/>
  <c r="E413"/>
  <c r="H413" s="1"/>
  <c r="F412"/>
  <c r="E412"/>
  <c r="I411"/>
  <c r="H411"/>
  <c r="E411"/>
  <c r="F411" s="1"/>
  <c r="I410"/>
  <c r="H410"/>
  <c r="F410"/>
  <c r="E410"/>
  <c r="F409"/>
  <c r="E409"/>
  <c r="I409" s="1"/>
  <c r="F408"/>
  <c r="E408"/>
  <c r="I407"/>
  <c r="E407"/>
  <c r="H407" s="1"/>
  <c r="I406"/>
  <c r="H406"/>
  <c r="F406"/>
  <c r="E406"/>
  <c r="E405"/>
  <c r="I404"/>
  <c r="H404"/>
  <c r="F404"/>
  <c r="E404"/>
  <c r="I403"/>
  <c r="H403"/>
  <c r="E403"/>
  <c r="F403" s="1"/>
  <c r="E402"/>
  <c r="I402" s="1"/>
  <c r="E401"/>
  <c r="F401" s="1"/>
  <c r="I400"/>
  <c r="H400"/>
  <c r="E400"/>
  <c r="F400" s="1"/>
  <c r="I399"/>
  <c r="E399"/>
  <c r="F399" s="1"/>
  <c r="I398"/>
  <c r="H398"/>
  <c r="F398"/>
  <c r="E398"/>
  <c r="I397"/>
  <c r="F397"/>
  <c r="E397"/>
  <c r="H397" s="1"/>
  <c r="H396"/>
  <c r="E396"/>
  <c r="I396" s="1"/>
  <c r="E395"/>
  <c r="H395" s="1"/>
  <c r="E394"/>
  <c r="F394" s="1"/>
  <c r="I393"/>
  <c r="H393"/>
  <c r="E393"/>
  <c r="F393" s="1"/>
  <c r="I392"/>
  <c r="H392"/>
  <c r="F392"/>
  <c r="E392"/>
  <c r="E391"/>
  <c r="I391" s="1"/>
  <c r="F390"/>
  <c r="E390"/>
  <c r="I389"/>
  <c r="E389"/>
  <c r="H389" s="1"/>
  <c r="I388"/>
  <c r="H388"/>
  <c r="F388"/>
  <c r="E388"/>
  <c r="E387"/>
  <c r="I386"/>
  <c r="H386"/>
  <c r="F386"/>
  <c r="E386"/>
  <c r="I385"/>
  <c r="H385"/>
  <c r="E385"/>
  <c r="F385" s="1"/>
  <c r="F384"/>
  <c r="E384"/>
  <c r="I384" s="1"/>
  <c r="F383"/>
  <c r="E383"/>
  <c r="I382"/>
  <c r="H382"/>
  <c r="E382"/>
  <c r="F382" s="1"/>
  <c r="I381"/>
  <c r="H381"/>
  <c r="E381"/>
  <c r="F381" s="1"/>
  <c r="I380"/>
  <c r="H380"/>
  <c r="F380"/>
  <c r="E380"/>
  <c r="F379"/>
  <c r="E379"/>
  <c r="H379" s="1"/>
  <c r="H378"/>
  <c r="E378"/>
  <c r="E377"/>
  <c r="H377" s="1"/>
  <c r="H376"/>
  <c r="F376"/>
  <c r="E376"/>
  <c r="I376" s="1"/>
  <c r="I375"/>
  <c r="E375"/>
  <c r="F375" s="1"/>
  <c r="I374"/>
  <c r="H374"/>
  <c r="F374"/>
  <c r="E374"/>
  <c r="E373"/>
  <c r="F373" s="1"/>
  <c r="F372"/>
  <c r="E372"/>
  <c r="E371"/>
  <c r="I371" s="1"/>
  <c r="I370"/>
  <c r="H370"/>
  <c r="F370"/>
  <c r="E370"/>
  <c r="E369"/>
  <c r="I368"/>
  <c r="H368"/>
  <c r="F368"/>
  <c r="E368"/>
  <c r="I367"/>
  <c r="E367"/>
  <c r="F367" s="1"/>
  <c r="F366"/>
  <c r="E366"/>
  <c r="I366" s="1"/>
  <c r="F365"/>
  <c r="E365"/>
  <c r="H364"/>
  <c r="E364"/>
  <c r="F364" s="1"/>
  <c r="I363"/>
  <c r="H363"/>
  <c r="E363"/>
  <c r="F363" s="1"/>
  <c r="I362"/>
  <c r="H362"/>
  <c r="F362"/>
  <c r="E362"/>
  <c r="E361"/>
  <c r="H361" s="1"/>
  <c r="H360"/>
  <c r="E360"/>
  <c r="I359"/>
  <c r="F359"/>
  <c r="E359"/>
  <c r="H359" s="1"/>
  <c r="E358"/>
  <c r="I358" s="1"/>
  <c r="H357"/>
  <c r="E357"/>
  <c r="F357" s="1"/>
  <c r="I356"/>
  <c r="H356"/>
  <c r="F356"/>
  <c r="E356"/>
  <c r="I355"/>
  <c r="F355"/>
  <c r="E355"/>
  <c r="H355" s="1"/>
  <c r="F354"/>
  <c r="E354"/>
  <c r="E353"/>
  <c r="I352"/>
  <c r="H352"/>
  <c r="F352"/>
  <c r="E352"/>
  <c r="H351"/>
  <c r="E351"/>
  <c r="I350"/>
  <c r="H350"/>
  <c r="F350"/>
  <c r="E350"/>
  <c r="I349"/>
  <c r="H349"/>
  <c r="E349"/>
  <c r="F349" s="1"/>
  <c r="E348"/>
  <c r="I348" s="1"/>
  <c r="F347"/>
  <c r="E347"/>
  <c r="I346"/>
  <c r="E346"/>
  <c r="F346" s="1"/>
  <c r="E345"/>
  <c r="F345" s="1"/>
  <c r="I344"/>
  <c r="H344"/>
  <c r="F344"/>
  <c r="E344"/>
  <c r="I343"/>
  <c r="F343"/>
  <c r="E343"/>
  <c r="H343" s="1"/>
  <c r="E342"/>
  <c r="I341"/>
  <c r="F341"/>
  <c r="E341"/>
  <c r="H341" s="1"/>
  <c r="F340"/>
  <c r="E340"/>
  <c r="I340" s="1"/>
  <c r="I339"/>
  <c r="H339"/>
  <c r="E339"/>
  <c r="F339" s="1"/>
  <c r="I338"/>
  <c r="H338"/>
  <c r="F338"/>
  <c r="E338"/>
  <c r="E337"/>
  <c r="H337" s="1"/>
  <c r="F336"/>
  <c r="E336"/>
  <c r="I335"/>
  <c r="E335"/>
  <c r="E334"/>
  <c r="F334" s="1"/>
  <c r="E333"/>
  <c r="H333" s="1"/>
  <c r="I332"/>
  <c r="H332"/>
  <c r="F332"/>
  <c r="E332"/>
  <c r="I331"/>
  <c r="H331"/>
  <c r="E331"/>
  <c r="F331" s="1"/>
  <c r="H330"/>
  <c r="F330"/>
  <c r="E330"/>
  <c r="I330" s="1"/>
  <c r="E329"/>
  <c r="H328"/>
  <c r="E328"/>
  <c r="F328" s="1"/>
  <c r="E327"/>
  <c r="F327" s="1"/>
  <c r="I326"/>
  <c r="H326"/>
  <c r="F326"/>
  <c r="E326"/>
  <c r="I325"/>
  <c r="F325"/>
  <c r="E325"/>
  <c r="H325" s="1"/>
  <c r="E324"/>
  <c r="I323"/>
  <c r="F323"/>
  <c r="E323"/>
  <c r="H323" s="1"/>
  <c r="H322"/>
  <c r="E322"/>
  <c r="I322" s="1"/>
  <c r="I321"/>
  <c r="H321"/>
  <c r="E321"/>
  <c r="F321" s="1"/>
  <c r="I320"/>
  <c r="H320"/>
  <c r="F320"/>
  <c r="E320"/>
  <c r="H319"/>
  <c r="F319"/>
  <c r="E319"/>
  <c r="I319" s="1"/>
  <c r="E318"/>
  <c r="E317"/>
  <c r="I317" s="1"/>
  <c r="F316"/>
  <c r="E316"/>
  <c r="H316" s="1"/>
  <c r="H315"/>
  <c r="E315"/>
  <c r="H314"/>
  <c r="E314"/>
  <c r="I314" s="1"/>
  <c r="E313"/>
  <c r="F313" s="1"/>
  <c r="I312"/>
  <c r="H312"/>
  <c r="F312"/>
  <c r="E312"/>
  <c r="I311"/>
  <c r="H311"/>
  <c r="F311"/>
  <c r="E311"/>
  <c r="E310"/>
  <c r="I310" s="1"/>
  <c r="E309"/>
  <c r="H309" s="1"/>
  <c r="I308"/>
  <c r="H308"/>
  <c r="F308"/>
  <c r="E308"/>
  <c r="H307"/>
  <c r="E307"/>
  <c r="F307" s="1"/>
  <c r="I306"/>
  <c r="H306"/>
  <c r="F306"/>
  <c r="E306"/>
  <c r="E305"/>
  <c r="F305" s="1"/>
  <c r="H304"/>
  <c r="F304"/>
  <c r="E304"/>
  <c r="I304" s="1"/>
  <c r="E303"/>
  <c r="H303" s="1"/>
  <c r="E302"/>
  <c r="F302" s="1"/>
  <c r="I301"/>
  <c r="H301"/>
  <c r="E301"/>
  <c r="F301" s="1"/>
  <c r="I300"/>
  <c r="H300"/>
  <c r="F300"/>
  <c r="E300"/>
  <c r="E299"/>
  <c r="H299" s="1"/>
  <c r="E298"/>
  <c r="I298" s="1"/>
  <c r="I297"/>
  <c r="F297"/>
  <c r="E297"/>
  <c r="H297" s="1"/>
  <c r="H296"/>
  <c r="E296"/>
  <c r="I296" s="1"/>
  <c r="E295"/>
  <c r="F295" s="1"/>
  <c r="I294"/>
  <c r="H294"/>
  <c r="F294"/>
  <c r="E294"/>
  <c r="I293"/>
  <c r="H293"/>
  <c r="F293"/>
  <c r="E293"/>
  <c r="E292"/>
  <c r="I292" s="1"/>
  <c r="E291"/>
  <c r="H291" s="1"/>
  <c r="I290"/>
  <c r="H290"/>
  <c r="F290"/>
  <c r="E290"/>
  <c r="H289"/>
  <c r="E289"/>
  <c r="F289" s="1"/>
  <c r="I288"/>
  <c r="H288"/>
  <c r="F288"/>
  <c r="E288"/>
  <c r="E287"/>
  <c r="F287" s="1"/>
  <c r="H286"/>
  <c r="F286"/>
  <c r="E286"/>
  <c r="I286" s="1"/>
  <c r="E285"/>
  <c r="H285" s="1"/>
  <c r="E284"/>
  <c r="F284" s="1"/>
  <c r="I283"/>
  <c r="H283"/>
  <c r="E283"/>
  <c r="F283" s="1"/>
  <c r="I282"/>
  <c r="H282"/>
  <c r="F282"/>
  <c r="E282"/>
  <c r="E281"/>
  <c r="H281" s="1"/>
  <c r="E280"/>
  <c r="I280" s="1"/>
  <c r="I279"/>
  <c r="F279"/>
  <c r="E279"/>
  <c r="H279" s="1"/>
  <c r="H278"/>
  <c r="E278"/>
  <c r="I278" s="1"/>
  <c r="E277"/>
  <c r="F277" s="1"/>
  <c r="I276"/>
  <c r="H276"/>
  <c r="F276"/>
  <c r="E276"/>
  <c r="I275"/>
  <c r="H275"/>
  <c r="F275"/>
  <c r="E275"/>
  <c r="E274"/>
  <c r="I274" s="1"/>
  <c r="E273"/>
  <c r="H273" s="1"/>
  <c r="I272"/>
  <c r="H272"/>
  <c r="F272"/>
  <c r="E272"/>
  <c r="H271"/>
  <c r="E271"/>
  <c r="F271" s="1"/>
  <c r="I270"/>
  <c r="H270"/>
  <c r="F270"/>
  <c r="E270"/>
  <c r="E269"/>
  <c r="F269" s="1"/>
  <c r="H268"/>
  <c r="F268"/>
  <c r="E268"/>
  <c r="I268" s="1"/>
  <c r="E267"/>
  <c r="H267" s="1"/>
  <c r="E266"/>
  <c r="F266" s="1"/>
  <c r="I265"/>
  <c r="H265"/>
  <c r="E265"/>
  <c r="F265" s="1"/>
  <c r="H264"/>
  <c r="F264"/>
  <c r="E264"/>
  <c r="I264" s="1"/>
  <c r="E263"/>
  <c r="H263" s="1"/>
  <c r="I262"/>
  <c r="F262"/>
  <c r="E262"/>
  <c r="H262" s="1"/>
  <c r="E261"/>
  <c r="F261" s="1"/>
  <c r="I260"/>
  <c r="H260"/>
  <c r="F260"/>
  <c r="E260"/>
  <c r="I259"/>
  <c r="H259"/>
  <c r="F259"/>
  <c r="E259"/>
  <c r="H258"/>
  <c r="F258"/>
  <c r="E258"/>
  <c r="I258" s="1"/>
  <c r="E257"/>
  <c r="H257" s="1"/>
  <c r="I256"/>
  <c r="F256"/>
  <c r="E256"/>
  <c r="H256" s="1"/>
  <c r="E255"/>
  <c r="F255" s="1"/>
  <c r="I254"/>
  <c r="H254"/>
  <c r="F254"/>
  <c r="E254"/>
  <c r="I253"/>
  <c r="H253"/>
  <c r="F253"/>
  <c r="E253"/>
  <c r="H252"/>
  <c r="F252"/>
  <c r="E252"/>
  <c r="I252" s="1"/>
  <c r="E251"/>
  <c r="H251" s="1"/>
  <c r="I250"/>
  <c r="F250"/>
  <c r="E250"/>
  <c r="H250" s="1"/>
  <c r="E249"/>
  <c r="F249" s="1"/>
  <c r="I248"/>
  <c r="H248"/>
  <c r="F248"/>
  <c r="E248"/>
  <c r="I247"/>
  <c r="H247"/>
  <c r="F247"/>
  <c r="E247"/>
  <c r="H246"/>
  <c r="F246"/>
  <c r="E246"/>
  <c r="I246" s="1"/>
  <c r="E245"/>
  <c r="H245" s="1"/>
  <c r="I244"/>
  <c r="F244"/>
  <c r="E244"/>
  <c r="H244" s="1"/>
  <c r="E243"/>
  <c r="F243" s="1"/>
  <c r="I242"/>
  <c r="H242"/>
  <c r="F242"/>
  <c r="E242"/>
  <c r="I241"/>
  <c r="H241"/>
  <c r="F241"/>
  <c r="E241"/>
  <c r="H240"/>
  <c r="F240"/>
  <c r="E240"/>
  <c r="I240" s="1"/>
  <c r="E239"/>
  <c r="H239" s="1"/>
  <c r="I238"/>
  <c r="F238"/>
  <c r="E238"/>
  <c r="H238" s="1"/>
  <c r="E237"/>
  <c r="F237" s="1"/>
  <c r="I236"/>
  <c r="H236"/>
  <c r="F236"/>
  <c r="E236"/>
  <c r="I235"/>
  <c r="H235"/>
  <c r="F235"/>
  <c r="E235"/>
  <c r="H234"/>
  <c r="F234"/>
  <c r="E234"/>
  <c r="I234" s="1"/>
  <c r="E233"/>
  <c r="H233" s="1"/>
  <c r="I232"/>
  <c r="F232"/>
  <c r="E232"/>
  <c r="H232" s="1"/>
  <c r="E231"/>
  <c r="F231" s="1"/>
  <c r="I230"/>
  <c r="H230"/>
  <c r="F230"/>
  <c r="E230"/>
  <c r="I229"/>
  <c r="H229"/>
  <c r="F229"/>
  <c r="E229"/>
  <c r="H228"/>
  <c r="F228"/>
  <c r="E228"/>
  <c r="I228" s="1"/>
  <c r="E227"/>
  <c r="H227" s="1"/>
  <c r="I226"/>
  <c r="F226"/>
  <c r="E226"/>
  <c r="H226" s="1"/>
  <c r="E225"/>
  <c r="F225" s="1"/>
  <c r="I224"/>
  <c r="H224"/>
  <c r="F224"/>
  <c r="E224"/>
  <c r="I223"/>
  <c r="H223"/>
  <c r="F223"/>
  <c r="E223"/>
  <c r="H222"/>
  <c r="F222"/>
  <c r="E222"/>
  <c r="I222" s="1"/>
  <c r="E221"/>
  <c r="H221" s="1"/>
  <c r="I220"/>
  <c r="F220"/>
  <c r="E220"/>
  <c r="H220" s="1"/>
  <c r="E219"/>
  <c r="F219" s="1"/>
  <c r="I218"/>
  <c r="H218"/>
  <c r="F218"/>
  <c r="E218"/>
  <c r="I217"/>
  <c r="H217"/>
  <c r="F217"/>
  <c r="E217"/>
  <c r="H216"/>
  <c r="F216"/>
  <c r="E216"/>
  <c r="I216" s="1"/>
  <c r="E215"/>
  <c r="H215" s="1"/>
  <c r="I214"/>
  <c r="F214"/>
  <c r="E214"/>
  <c r="H214" s="1"/>
  <c r="E213"/>
  <c r="F213" s="1"/>
  <c r="I212"/>
  <c r="H212"/>
  <c r="F212"/>
  <c r="E212"/>
  <c r="I211"/>
  <c r="H211"/>
  <c r="F211"/>
  <c r="E211"/>
  <c r="H210"/>
  <c r="F210"/>
  <c r="E210"/>
  <c r="I210" s="1"/>
  <c r="E209"/>
  <c r="H209" s="1"/>
  <c r="I208"/>
  <c r="F208"/>
  <c r="E208"/>
  <c r="H208" s="1"/>
  <c r="E207"/>
  <c r="F207" s="1"/>
  <c r="I206"/>
  <c r="H206"/>
  <c r="F206"/>
  <c r="E206"/>
  <c r="I205"/>
  <c r="H205"/>
  <c r="F205"/>
  <c r="E205"/>
  <c r="H204"/>
  <c r="F204"/>
  <c r="E204"/>
  <c r="I204" s="1"/>
  <c r="E203"/>
  <c r="H203" s="1"/>
  <c r="I202"/>
  <c r="F202"/>
  <c r="E202"/>
  <c r="H202" s="1"/>
  <c r="E201"/>
  <c r="F201" s="1"/>
  <c r="I200"/>
  <c r="H200"/>
  <c r="F200"/>
  <c r="E200"/>
  <c r="I199"/>
  <c r="H199"/>
  <c r="F199"/>
  <c r="E199"/>
  <c r="H198"/>
  <c r="F198"/>
  <c r="E198"/>
  <c r="I198" s="1"/>
  <c r="E197"/>
  <c r="H197" s="1"/>
  <c r="I196"/>
  <c r="F196"/>
  <c r="E196"/>
  <c r="H196" s="1"/>
  <c r="E195"/>
  <c r="F195" s="1"/>
  <c r="I194"/>
  <c r="H194"/>
  <c r="F194"/>
  <c r="E194"/>
  <c r="I193"/>
  <c r="H193"/>
  <c r="F193"/>
  <c r="E193"/>
  <c r="H192"/>
  <c r="F192"/>
  <c r="E192"/>
  <c r="I192" s="1"/>
  <c r="E191"/>
  <c r="H191" s="1"/>
  <c r="I190"/>
  <c r="F190"/>
  <c r="E190"/>
  <c r="H190" s="1"/>
  <c r="E189"/>
  <c r="F189" s="1"/>
  <c r="I188"/>
  <c r="H188"/>
  <c r="F188"/>
  <c r="E188"/>
  <c r="I187"/>
  <c r="H187"/>
  <c r="F187"/>
  <c r="E187"/>
  <c r="H186"/>
  <c r="F186"/>
  <c r="E186"/>
  <c r="I186" s="1"/>
  <c r="E185"/>
  <c r="H185" s="1"/>
  <c r="I184"/>
  <c r="F184"/>
  <c r="E184"/>
  <c r="H184" s="1"/>
  <c r="E183"/>
  <c r="F183" s="1"/>
  <c r="I182"/>
  <c r="H182"/>
  <c r="F182"/>
  <c r="E182"/>
  <c r="I181"/>
  <c r="H181"/>
  <c r="F181"/>
  <c r="E181"/>
  <c r="H180"/>
  <c r="F180"/>
  <c r="E180"/>
  <c r="I180" s="1"/>
  <c r="E179"/>
  <c r="H179" s="1"/>
  <c r="I178"/>
  <c r="F178"/>
  <c r="E178"/>
  <c r="H178" s="1"/>
  <c r="E177"/>
  <c r="F177" s="1"/>
  <c r="I176"/>
  <c r="H176"/>
  <c r="F176"/>
  <c r="E176"/>
  <c r="I175"/>
  <c r="H175"/>
  <c r="F175"/>
  <c r="E175"/>
  <c r="H174"/>
  <c r="F174"/>
  <c r="E174"/>
  <c r="I174" s="1"/>
  <c r="E173"/>
  <c r="H173" s="1"/>
  <c r="I172"/>
  <c r="F172"/>
  <c r="E172"/>
  <c r="H172" s="1"/>
  <c r="E171"/>
  <c r="F171" s="1"/>
  <c r="I170"/>
  <c r="H170"/>
  <c r="F170"/>
  <c r="E170"/>
  <c r="I169"/>
  <c r="H169"/>
  <c r="F169"/>
  <c r="E169"/>
  <c r="H168"/>
  <c r="F168"/>
  <c r="E168"/>
  <c r="I168" s="1"/>
  <c r="E167"/>
  <c r="H167" s="1"/>
  <c r="I166"/>
  <c r="F166"/>
  <c r="E166"/>
  <c r="H166" s="1"/>
  <c r="E165"/>
  <c r="F165" s="1"/>
  <c r="I164"/>
  <c r="H164"/>
  <c r="F164"/>
  <c r="E164"/>
  <c r="I163"/>
  <c r="H163"/>
  <c r="F163"/>
  <c r="E163"/>
  <c r="H162"/>
  <c r="F162"/>
  <c r="E162"/>
  <c r="I162" s="1"/>
  <c r="E161"/>
  <c r="H161" s="1"/>
  <c r="I160"/>
  <c r="F160"/>
  <c r="E160"/>
  <c r="H160" s="1"/>
  <c r="E159"/>
  <c r="F159" s="1"/>
  <c r="I158"/>
  <c r="H158"/>
  <c r="F158"/>
  <c r="E158"/>
  <c r="I157"/>
  <c r="H157"/>
  <c r="F157"/>
  <c r="E157"/>
  <c r="H156"/>
  <c r="F156"/>
  <c r="E156"/>
  <c r="I156" s="1"/>
  <c r="E155"/>
  <c r="H155" s="1"/>
  <c r="I154"/>
  <c r="F154"/>
  <c r="E154"/>
  <c r="H154" s="1"/>
  <c r="E153"/>
  <c r="F153" s="1"/>
  <c r="I152"/>
  <c r="H152"/>
  <c r="F152"/>
  <c r="E152"/>
  <c r="I151"/>
  <c r="H151"/>
  <c r="F151"/>
  <c r="E151"/>
  <c r="H150"/>
  <c r="F150"/>
  <c r="E150"/>
  <c r="I150" s="1"/>
  <c r="E149"/>
  <c r="H149" s="1"/>
  <c r="I148"/>
  <c r="F148"/>
  <c r="E148"/>
  <c r="H148" s="1"/>
  <c r="E147"/>
  <c r="F147" s="1"/>
  <c r="I146"/>
  <c r="H146"/>
  <c r="F146"/>
  <c r="E146"/>
  <c r="I145"/>
  <c r="H145"/>
  <c r="F145"/>
  <c r="E145"/>
  <c r="H144"/>
  <c r="F144"/>
  <c r="E144"/>
  <c r="I144" s="1"/>
  <c r="E143"/>
  <c r="H143" s="1"/>
  <c r="I142"/>
  <c r="F142"/>
  <c r="E142"/>
  <c r="H142" s="1"/>
  <c r="E141"/>
  <c r="F141" s="1"/>
  <c r="I140"/>
  <c r="H140"/>
  <c r="F140"/>
  <c r="E140"/>
  <c r="I139"/>
  <c r="H139"/>
  <c r="F139"/>
  <c r="E139"/>
  <c r="H138"/>
  <c r="F138"/>
  <c r="E138"/>
  <c r="I138" s="1"/>
  <c r="E137"/>
  <c r="H137" s="1"/>
  <c r="I136"/>
  <c r="F136"/>
  <c r="E136"/>
  <c r="H136" s="1"/>
  <c r="E135"/>
  <c r="F135" s="1"/>
  <c r="I134"/>
  <c r="H134"/>
  <c r="F134"/>
  <c r="E134"/>
  <c r="I133"/>
  <c r="H133"/>
  <c r="F133"/>
  <c r="E133"/>
  <c r="H132"/>
  <c r="F132"/>
  <c r="E132"/>
  <c r="I132" s="1"/>
  <c r="E131"/>
  <c r="H131" s="1"/>
  <c r="I130"/>
  <c r="F130"/>
  <c r="E130"/>
  <c r="H130" s="1"/>
  <c r="E129"/>
  <c r="F129" s="1"/>
  <c r="I128"/>
  <c r="H128"/>
  <c r="F128"/>
  <c r="E128"/>
  <c r="I127"/>
  <c r="H127"/>
  <c r="F127"/>
  <c r="E127"/>
  <c r="H126"/>
  <c r="F126"/>
  <c r="E126"/>
  <c r="I126" s="1"/>
  <c r="E125"/>
  <c r="H125" s="1"/>
  <c r="I124"/>
  <c r="F124"/>
  <c r="E124"/>
  <c r="H124" s="1"/>
  <c r="E123"/>
  <c r="F123" s="1"/>
  <c r="I122"/>
  <c r="H122"/>
  <c r="F122"/>
  <c r="E122"/>
  <c r="I121"/>
  <c r="H121"/>
  <c r="F121"/>
  <c r="E121"/>
  <c r="H120"/>
  <c r="F120"/>
  <c r="E120"/>
  <c r="I120" s="1"/>
  <c r="E119"/>
  <c r="H119" s="1"/>
  <c r="I118"/>
  <c r="F118"/>
  <c r="E118"/>
  <c r="H118" s="1"/>
  <c r="E117"/>
  <c r="F117" s="1"/>
  <c r="I116"/>
  <c r="H116"/>
  <c r="F116"/>
  <c r="E116"/>
  <c r="I115"/>
  <c r="H115"/>
  <c r="F115"/>
  <c r="E115"/>
  <c r="H114"/>
  <c r="F114"/>
  <c r="E114"/>
  <c r="I114" s="1"/>
  <c r="E113"/>
  <c r="H113" s="1"/>
  <c r="I112"/>
  <c r="F112"/>
  <c r="E112"/>
  <c r="H112" s="1"/>
  <c r="E111"/>
  <c r="F111" s="1"/>
  <c r="I110"/>
  <c r="H110"/>
  <c r="F110"/>
  <c r="E110"/>
  <c r="I109"/>
  <c r="H109"/>
  <c r="F109"/>
  <c r="E109"/>
  <c r="H108"/>
  <c r="F108"/>
  <c r="E108"/>
  <c r="I108" s="1"/>
  <c r="E107"/>
  <c r="H107" s="1"/>
  <c r="I106"/>
  <c r="F106"/>
  <c r="E106"/>
  <c r="H106" s="1"/>
  <c r="E105"/>
  <c r="F105" s="1"/>
  <c r="I104"/>
  <c r="H104"/>
  <c r="F104"/>
  <c r="E104"/>
  <c r="I103"/>
  <c r="H103"/>
  <c r="F103"/>
  <c r="E103"/>
  <c r="H102"/>
  <c r="F102"/>
  <c r="E102"/>
  <c r="I102" s="1"/>
  <c r="E101"/>
  <c r="H101" s="1"/>
  <c r="I100"/>
  <c r="F100"/>
  <c r="E100"/>
  <c r="H100" s="1"/>
  <c r="E99"/>
  <c r="F99" s="1"/>
  <c r="I98"/>
  <c r="H98"/>
  <c r="F98"/>
  <c r="E98"/>
  <c r="I97"/>
  <c r="H97"/>
  <c r="F97"/>
  <c r="E97"/>
  <c r="H96"/>
  <c r="F96"/>
  <c r="E96"/>
  <c r="I96" s="1"/>
  <c r="E95"/>
  <c r="H95" s="1"/>
  <c r="I94"/>
  <c r="F94"/>
  <c r="E94"/>
  <c r="H94" s="1"/>
  <c r="E93"/>
  <c r="F93" s="1"/>
  <c r="I92"/>
  <c r="H92"/>
  <c r="F92"/>
  <c r="E92"/>
  <c r="I91"/>
  <c r="H91"/>
  <c r="F91"/>
  <c r="E91"/>
  <c r="H90"/>
  <c r="F90"/>
  <c r="E90"/>
  <c r="I90" s="1"/>
  <c r="E89"/>
  <c r="H89" s="1"/>
  <c r="I88"/>
  <c r="F88"/>
  <c r="E88"/>
  <c r="H88" s="1"/>
  <c r="E87"/>
  <c r="F87" s="1"/>
  <c r="I86"/>
  <c r="H86"/>
  <c r="F86"/>
  <c r="E86"/>
  <c r="I85"/>
  <c r="H85"/>
  <c r="F85"/>
  <c r="E85"/>
  <c r="H84"/>
  <c r="F84"/>
  <c r="E84"/>
  <c r="I84" s="1"/>
  <c r="E83"/>
  <c r="H83" s="1"/>
  <c r="I82"/>
  <c r="F82"/>
  <c r="E82"/>
  <c r="H82" s="1"/>
  <c r="E81"/>
  <c r="F81" s="1"/>
  <c r="I80"/>
  <c r="H80"/>
  <c r="F80"/>
  <c r="E80"/>
  <c r="I79"/>
  <c r="H79"/>
  <c r="F79"/>
  <c r="E79"/>
  <c r="H78"/>
  <c r="F78"/>
  <c r="E78"/>
  <c r="I78" s="1"/>
  <c r="E77"/>
  <c r="H77" s="1"/>
  <c r="I76"/>
  <c r="F76"/>
  <c r="E76"/>
  <c r="H76" s="1"/>
  <c r="E75"/>
  <c r="F75" s="1"/>
  <c r="I74"/>
  <c r="H74"/>
  <c r="F74"/>
  <c r="E74"/>
  <c r="I73"/>
  <c r="H73"/>
  <c r="F73"/>
  <c r="E73"/>
  <c r="H72"/>
  <c r="F72"/>
  <c r="E72"/>
  <c r="I72" s="1"/>
  <c r="E71"/>
  <c r="H71" s="1"/>
  <c r="I70"/>
  <c r="F70"/>
  <c r="E70"/>
  <c r="H70" s="1"/>
  <c r="E69"/>
  <c r="F69" s="1"/>
  <c r="I68"/>
  <c r="H68"/>
  <c r="F68"/>
  <c r="E68"/>
  <c r="I67"/>
  <c r="H67"/>
  <c r="F67"/>
  <c r="E67"/>
  <c r="H66"/>
  <c r="F66"/>
  <c r="E66"/>
  <c r="I66" s="1"/>
  <c r="E65"/>
  <c r="H65" s="1"/>
  <c r="I64"/>
  <c r="F64"/>
  <c r="E64"/>
  <c r="H64" s="1"/>
  <c r="E63"/>
  <c r="F63" s="1"/>
  <c r="I62"/>
  <c r="H62"/>
  <c r="E62"/>
  <c r="F62" s="1"/>
  <c r="I61"/>
  <c r="H61"/>
  <c r="F61"/>
  <c r="E61"/>
  <c r="H60"/>
  <c r="F60"/>
  <c r="E60"/>
  <c r="I60" s="1"/>
  <c r="E59"/>
  <c r="H59" s="1"/>
  <c r="F58"/>
  <c r="E58"/>
  <c r="H58" s="1"/>
  <c r="E57"/>
  <c r="F57" s="1"/>
  <c r="I56"/>
  <c r="H56"/>
  <c r="E56"/>
  <c r="F56" s="1"/>
  <c r="I55"/>
  <c r="H55"/>
  <c r="F55"/>
  <c r="E55"/>
  <c r="H54"/>
  <c r="F54"/>
  <c r="E54"/>
  <c r="I54" s="1"/>
  <c r="E53"/>
  <c r="H53" s="1"/>
  <c r="I52"/>
  <c r="F52"/>
  <c r="E52"/>
  <c r="H52" s="1"/>
  <c r="E51"/>
  <c r="F51" s="1"/>
  <c r="I50"/>
  <c r="H50"/>
  <c r="E50"/>
  <c r="F50" s="1"/>
  <c r="I49"/>
  <c r="H49"/>
  <c r="F49"/>
  <c r="E49"/>
  <c r="H48"/>
  <c r="F48"/>
  <c r="E48"/>
  <c r="I48" s="1"/>
  <c r="E47"/>
  <c r="H47" s="1"/>
  <c r="F46"/>
  <c r="E46"/>
  <c r="H46" s="1"/>
  <c r="E45"/>
  <c r="F45" s="1"/>
  <c r="I44"/>
  <c r="H44"/>
  <c r="E44"/>
  <c r="F44" s="1"/>
  <c r="I43"/>
  <c r="H43"/>
  <c r="F43"/>
  <c r="E43"/>
  <c r="H42"/>
  <c r="F42"/>
  <c r="E42"/>
  <c r="I42" s="1"/>
  <c r="E41"/>
  <c r="H41" s="1"/>
  <c r="F40"/>
  <c r="E40"/>
  <c r="H40" s="1"/>
  <c r="E39"/>
  <c r="F39" s="1"/>
  <c r="I38"/>
  <c r="H38"/>
  <c r="E38"/>
  <c r="F38" s="1"/>
  <c r="I37"/>
  <c r="H37"/>
  <c r="F37"/>
  <c r="E37"/>
  <c r="H36"/>
  <c r="F36"/>
  <c r="E36"/>
  <c r="I36" s="1"/>
  <c r="E35"/>
  <c r="H35" s="1"/>
  <c r="F34"/>
  <c r="E34"/>
  <c r="H34" s="1"/>
  <c r="E33"/>
  <c r="F33" s="1"/>
  <c r="I32"/>
  <c r="H32"/>
  <c r="E32"/>
  <c r="F32" s="1"/>
  <c r="I31"/>
  <c r="H31"/>
  <c r="F31"/>
  <c r="E31"/>
  <c r="H30"/>
  <c r="F30"/>
  <c r="E30"/>
  <c r="I30" s="1"/>
  <c r="E29"/>
  <c r="H29" s="1"/>
  <c r="F28"/>
  <c r="E28"/>
  <c r="H28" s="1"/>
  <c r="E27"/>
  <c r="F27" s="1"/>
  <c r="I26"/>
  <c r="H26"/>
  <c r="E26"/>
  <c r="F26" s="1"/>
  <c r="I25"/>
  <c r="H25"/>
  <c r="F25"/>
  <c r="E25"/>
  <c r="H24"/>
  <c r="F24"/>
  <c r="E24"/>
  <c r="I24" s="1"/>
  <c r="E23"/>
  <c r="H23" s="1"/>
  <c r="F22"/>
  <c r="E22"/>
  <c r="H22" s="1"/>
  <c r="E21"/>
  <c r="F21" s="1"/>
  <c r="I20"/>
  <c r="H20"/>
  <c r="E20"/>
  <c r="F20" s="1"/>
  <c r="I19"/>
  <c r="H19"/>
  <c r="F19"/>
  <c r="E19"/>
  <c r="H18"/>
  <c r="F18"/>
  <c r="E18"/>
  <c r="I18" s="1"/>
  <c r="E17"/>
  <c r="H17" s="1"/>
  <c r="F16"/>
  <c r="E16"/>
  <c r="H16" s="1"/>
  <c r="E15"/>
  <c r="F15" s="1"/>
  <c r="I14"/>
  <c r="H14"/>
  <c r="E14"/>
  <c r="F14" s="1"/>
  <c r="I13"/>
  <c r="H13"/>
  <c r="F13"/>
  <c r="E13"/>
  <c r="H12"/>
  <c r="F12"/>
  <c r="E12"/>
  <c r="I12" s="1"/>
  <c r="E11"/>
  <c r="H11" s="1"/>
  <c r="F10"/>
  <c r="E10"/>
  <c r="H10" s="1"/>
  <c r="E9"/>
  <c r="F9" s="1"/>
  <c r="I8"/>
  <c r="H8"/>
  <c r="E8"/>
  <c r="F8" s="1"/>
  <c r="I7"/>
  <c r="H7"/>
  <c r="F7"/>
  <c r="E7"/>
  <c r="H6"/>
  <c r="F6"/>
  <c r="E6"/>
  <c r="I6" s="1"/>
  <c r="E5"/>
  <c r="H5" s="1"/>
  <c r="F4"/>
  <c r="E4"/>
  <c r="H4" s="1"/>
  <c r="E3"/>
  <c r="F3" s="1"/>
  <c r="G8" i="5"/>
  <c r="G7"/>
  <c r="G6"/>
  <c r="G5"/>
  <c r="G2"/>
  <c r="G3"/>
  <c r="I1011" i="1"/>
  <c r="H1011"/>
  <c r="F1011"/>
  <c r="E1011"/>
  <c r="H1010"/>
  <c r="E1010"/>
  <c r="I1010" s="1"/>
  <c r="F1009"/>
  <c r="E1009"/>
  <c r="H1009" s="1"/>
  <c r="F1008"/>
  <c r="E1008"/>
  <c r="H1008" s="1"/>
  <c r="E1007"/>
  <c r="E1006"/>
  <c r="I1005"/>
  <c r="H1005"/>
  <c r="F1005"/>
  <c r="E1005"/>
  <c r="I1004"/>
  <c r="H1004"/>
  <c r="E1004"/>
  <c r="F1004" s="1"/>
  <c r="H1003"/>
  <c r="F1003"/>
  <c r="E1003"/>
  <c r="I1003" s="1"/>
  <c r="F1002"/>
  <c r="E1002"/>
  <c r="H1002" s="1"/>
  <c r="F1001"/>
  <c r="E1001"/>
  <c r="E1000"/>
  <c r="I999"/>
  <c r="H999"/>
  <c r="F999"/>
  <c r="E999"/>
  <c r="I998"/>
  <c r="H998"/>
  <c r="E998"/>
  <c r="F998" s="1"/>
  <c r="H997"/>
  <c r="F997"/>
  <c r="E997"/>
  <c r="I997" s="1"/>
  <c r="F996"/>
  <c r="E996"/>
  <c r="H996" s="1"/>
  <c r="F995"/>
  <c r="E995"/>
  <c r="E994"/>
  <c r="I993"/>
  <c r="H993"/>
  <c r="F993"/>
  <c r="E993"/>
  <c r="I992"/>
  <c r="H992"/>
  <c r="E992"/>
  <c r="F992" s="1"/>
  <c r="H991"/>
  <c r="F991"/>
  <c r="E991"/>
  <c r="I991" s="1"/>
  <c r="F990"/>
  <c r="E990"/>
  <c r="H990" s="1"/>
  <c r="E989"/>
  <c r="F989" s="1"/>
  <c r="E988"/>
  <c r="I987"/>
  <c r="H987"/>
  <c r="F987"/>
  <c r="E987"/>
  <c r="I986"/>
  <c r="H986"/>
  <c r="E986"/>
  <c r="F986" s="1"/>
  <c r="H985"/>
  <c r="F985"/>
  <c r="E985"/>
  <c r="I985" s="1"/>
  <c r="F984"/>
  <c r="E984"/>
  <c r="H984" s="1"/>
  <c r="F983"/>
  <c r="E983"/>
  <c r="I982"/>
  <c r="E982"/>
  <c r="I981"/>
  <c r="H981"/>
  <c r="F981"/>
  <c r="E981"/>
  <c r="I980"/>
  <c r="H980"/>
  <c r="E980"/>
  <c r="F980" s="1"/>
  <c r="H979"/>
  <c r="F979"/>
  <c r="E979"/>
  <c r="I979" s="1"/>
  <c r="F978"/>
  <c r="E978"/>
  <c r="E977"/>
  <c r="F977" s="1"/>
  <c r="I976"/>
  <c r="E976"/>
  <c r="I975"/>
  <c r="H975"/>
  <c r="F975"/>
  <c r="E975"/>
  <c r="I974"/>
  <c r="H974"/>
  <c r="E974"/>
  <c r="F974" s="1"/>
  <c r="H973"/>
  <c r="F973"/>
  <c r="E973"/>
  <c r="I973" s="1"/>
  <c r="F972"/>
  <c r="E972"/>
  <c r="F971"/>
  <c r="E971"/>
  <c r="E970"/>
  <c r="I969"/>
  <c r="H969"/>
  <c r="F969"/>
  <c r="E969"/>
  <c r="I968"/>
  <c r="H968"/>
  <c r="E968"/>
  <c r="F968" s="1"/>
  <c r="H967"/>
  <c r="F967"/>
  <c r="E967"/>
  <c r="I967" s="1"/>
  <c r="E966"/>
  <c r="F966" s="1"/>
  <c r="F965"/>
  <c r="E965"/>
  <c r="I964"/>
  <c r="E964"/>
  <c r="I963"/>
  <c r="H963"/>
  <c r="F963"/>
  <c r="E963"/>
  <c r="I962"/>
  <c r="H962"/>
  <c r="E962"/>
  <c r="F962" s="1"/>
  <c r="H961"/>
  <c r="F961"/>
  <c r="E961"/>
  <c r="I961" s="1"/>
  <c r="F960"/>
  <c r="E960"/>
  <c r="E959"/>
  <c r="I958"/>
  <c r="E958"/>
  <c r="I957"/>
  <c r="H957"/>
  <c r="F957"/>
  <c r="E957"/>
  <c r="I956"/>
  <c r="H956"/>
  <c r="E956"/>
  <c r="F956" s="1"/>
  <c r="H955"/>
  <c r="F955"/>
  <c r="E955"/>
  <c r="I955" s="1"/>
  <c r="F954"/>
  <c r="E954"/>
  <c r="F953"/>
  <c r="E953"/>
  <c r="E952"/>
  <c r="I952" s="1"/>
  <c r="I951"/>
  <c r="H951"/>
  <c r="F951"/>
  <c r="E951"/>
  <c r="I950"/>
  <c r="H950"/>
  <c r="E950"/>
  <c r="F950" s="1"/>
  <c r="H949"/>
  <c r="F949"/>
  <c r="E949"/>
  <c r="I949" s="1"/>
  <c r="E948"/>
  <c r="F947"/>
  <c r="E947"/>
  <c r="I946"/>
  <c r="E946"/>
  <c r="I945"/>
  <c r="H945"/>
  <c r="F945"/>
  <c r="E945"/>
  <c r="I944"/>
  <c r="H944"/>
  <c r="E944"/>
  <c r="F944" s="1"/>
  <c r="H943"/>
  <c r="F943"/>
  <c r="E943"/>
  <c r="I943" s="1"/>
  <c r="F942"/>
  <c r="E942"/>
  <c r="E941"/>
  <c r="F941" s="1"/>
  <c r="I940"/>
  <c r="E940"/>
  <c r="I939"/>
  <c r="H939"/>
  <c r="F939"/>
  <c r="E939"/>
  <c r="I938"/>
  <c r="H938"/>
  <c r="E938"/>
  <c r="F938" s="1"/>
  <c r="H937"/>
  <c r="F937"/>
  <c r="E937"/>
  <c r="I937" s="1"/>
  <c r="F936"/>
  <c r="E936"/>
  <c r="F935"/>
  <c r="E935"/>
  <c r="E934"/>
  <c r="I933"/>
  <c r="H933"/>
  <c r="F933"/>
  <c r="E933"/>
  <c r="I932"/>
  <c r="H932"/>
  <c r="E932"/>
  <c r="F932" s="1"/>
  <c r="H931"/>
  <c r="F931"/>
  <c r="E931"/>
  <c r="I931" s="1"/>
  <c r="E930"/>
  <c r="F930" s="1"/>
  <c r="F929"/>
  <c r="E929"/>
  <c r="I928"/>
  <c r="E928"/>
  <c r="I927"/>
  <c r="H927"/>
  <c r="F927"/>
  <c r="E927"/>
  <c r="I926"/>
  <c r="H926"/>
  <c r="E926"/>
  <c r="F926" s="1"/>
  <c r="H925"/>
  <c r="F925"/>
  <c r="E925"/>
  <c r="I925" s="1"/>
  <c r="F924"/>
  <c r="E924"/>
  <c r="E923"/>
  <c r="I922"/>
  <c r="E922"/>
  <c r="I921"/>
  <c r="H921"/>
  <c r="F921"/>
  <c r="E921"/>
  <c r="I920"/>
  <c r="H920"/>
  <c r="E920"/>
  <c r="F920" s="1"/>
  <c r="H919"/>
  <c r="F919"/>
  <c r="E919"/>
  <c r="I919" s="1"/>
  <c r="F918"/>
  <c r="E918"/>
  <c r="F917"/>
  <c r="E917"/>
  <c r="E916"/>
  <c r="I916" s="1"/>
  <c r="I915"/>
  <c r="H915"/>
  <c r="F915"/>
  <c r="E915"/>
  <c r="I914"/>
  <c r="H914"/>
  <c r="E914"/>
  <c r="F914" s="1"/>
  <c r="H913"/>
  <c r="F913"/>
  <c r="E913"/>
  <c r="I913" s="1"/>
  <c r="E912"/>
  <c r="F911"/>
  <c r="E911"/>
  <c r="I910"/>
  <c r="E910"/>
  <c r="I909"/>
  <c r="H909"/>
  <c r="F909"/>
  <c r="E909"/>
  <c r="I908"/>
  <c r="H908"/>
  <c r="E908"/>
  <c r="F908" s="1"/>
  <c r="H907"/>
  <c r="F907"/>
  <c r="E907"/>
  <c r="I907" s="1"/>
  <c r="F906"/>
  <c r="E906"/>
  <c r="E905"/>
  <c r="F905" s="1"/>
  <c r="E904"/>
  <c r="I904" s="1"/>
  <c r="I903"/>
  <c r="H903"/>
  <c r="F903"/>
  <c r="E903"/>
  <c r="I902"/>
  <c r="H902"/>
  <c r="E902"/>
  <c r="F902" s="1"/>
  <c r="H901"/>
  <c r="F901"/>
  <c r="E901"/>
  <c r="I901" s="1"/>
  <c r="F900"/>
  <c r="E900"/>
  <c r="F899"/>
  <c r="E899"/>
  <c r="E898"/>
  <c r="I897"/>
  <c r="H897"/>
  <c r="F897"/>
  <c r="E897"/>
  <c r="I896"/>
  <c r="H896"/>
  <c r="E896"/>
  <c r="F896" s="1"/>
  <c r="H895"/>
  <c r="F895"/>
  <c r="E895"/>
  <c r="I895" s="1"/>
  <c r="E894"/>
  <c r="E893"/>
  <c r="F893" s="1"/>
  <c r="I892"/>
  <c r="E892"/>
  <c r="I891"/>
  <c r="H891"/>
  <c r="F891"/>
  <c r="E891"/>
  <c r="I890"/>
  <c r="H890"/>
  <c r="E890"/>
  <c r="F890" s="1"/>
  <c r="H889"/>
  <c r="F889"/>
  <c r="E889"/>
  <c r="I889" s="1"/>
  <c r="F888"/>
  <c r="E888"/>
  <c r="E887"/>
  <c r="I886"/>
  <c r="E886"/>
  <c r="I885"/>
  <c r="H885"/>
  <c r="F885"/>
  <c r="E885"/>
  <c r="I884"/>
  <c r="H884"/>
  <c r="E884"/>
  <c r="F884" s="1"/>
  <c r="H883"/>
  <c r="F883"/>
  <c r="E883"/>
  <c r="I883" s="1"/>
  <c r="F882"/>
  <c r="E882"/>
  <c r="F881"/>
  <c r="E881"/>
  <c r="E880"/>
  <c r="I879"/>
  <c r="H879"/>
  <c r="F879"/>
  <c r="E879"/>
  <c r="I878"/>
  <c r="H878"/>
  <c r="E878"/>
  <c r="F878" s="1"/>
  <c r="H877"/>
  <c r="F877"/>
  <c r="E877"/>
  <c r="I877" s="1"/>
  <c r="E876"/>
  <c r="F875"/>
  <c r="E875"/>
  <c r="I874"/>
  <c r="E874"/>
  <c r="I873"/>
  <c r="H873"/>
  <c r="F873"/>
  <c r="E873"/>
  <c r="I872"/>
  <c r="H872"/>
  <c r="E872"/>
  <c r="F872" s="1"/>
  <c r="H871"/>
  <c r="F871"/>
  <c r="E871"/>
  <c r="I871" s="1"/>
  <c r="F870"/>
  <c r="E870"/>
  <c r="E869"/>
  <c r="I868"/>
  <c r="E868"/>
  <c r="I867"/>
  <c r="H867"/>
  <c r="F867"/>
  <c r="E867"/>
  <c r="I866"/>
  <c r="H866"/>
  <c r="E866"/>
  <c r="F866" s="1"/>
  <c r="H865"/>
  <c r="F865"/>
  <c r="E865"/>
  <c r="I865" s="1"/>
  <c r="F864"/>
  <c r="E864"/>
  <c r="F863"/>
  <c r="E863"/>
  <c r="E862"/>
  <c r="I861"/>
  <c r="H861"/>
  <c r="F861"/>
  <c r="E861"/>
  <c r="I860"/>
  <c r="H860"/>
  <c r="E860"/>
  <c r="F860" s="1"/>
  <c r="H859"/>
  <c r="F859"/>
  <c r="E859"/>
  <c r="I859" s="1"/>
  <c r="E858"/>
  <c r="E857"/>
  <c r="F857" s="1"/>
  <c r="I856"/>
  <c r="E856"/>
  <c r="I855"/>
  <c r="H855"/>
  <c r="F855"/>
  <c r="E855"/>
  <c r="I854"/>
  <c r="H854"/>
  <c r="E854"/>
  <c r="F854" s="1"/>
  <c r="H853"/>
  <c r="F853"/>
  <c r="E853"/>
  <c r="I853" s="1"/>
  <c r="F852"/>
  <c r="E852"/>
  <c r="E851"/>
  <c r="I850"/>
  <c r="E850"/>
  <c r="I849"/>
  <c r="H849"/>
  <c r="F849"/>
  <c r="E849"/>
  <c r="I848"/>
  <c r="H848"/>
  <c r="E848"/>
  <c r="F848" s="1"/>
  <c r="H847"/>
  <c r="F847"/>
  <c r="E847"/>
  <c r="I847" s="1"/>
  <c r="F846"/>
  <c r="E846"/>
  <c r="F845"/>
  <c r="E845"/>
  <c r="E844"/>
  <c r="I843"/>
  <c r="H843"/>
  <c r="F843"/>
  <c r="E843"/>
  <c r="I842"/>
  <c r="H842"/>
  <c r="E842"/>
  <c r="F842" s="1"/>
  <c r="H841"/>
  <c r="F841"/>
  <c r="E841"/>
  <c r="I841" s="1"/>
  <c r="E840"/>
  <c r="F839"/>
  <c r="E839"/>
  <c r="I838"/>
  <c r="E838"/>
  <c r="I837"/>
  <c r="H837"/>
  <c r="F837"/>
  <c r="E837"/>
  <c r="I836"/>
  <c r="H836"/>
  <c r="E836"/>
  <c r="F836" s="1"/>
  <c r="H835"/>
  <c r="F835"/>
  <c r="E835"/>
  <c r="I835" s="1"/>
  <c r="F834"/>
  <c r="E834"/>
  <c r="E833"/>
  <c r="I832"/>
  <c r="E832"/>
  <c r="I831"/>
  <c r="H831"/>
  <c r="F831"/>
  <c r="E831"/>
  <c r="I830"/>
  <c r="H830"/>
  <c r="E830"/>
  <c r="F830" s="1"/>
  <c r="H829"/>
  <c r="F829"/>
  <c r="E829"/>
  <c r="I829" s="1"/>
  <c r="F828"/>
  <c r="E828"/>
  <c r="F827"/>
  <c r="E827"/>
  <c r="E826"/>
  <c r="I825"/>
  <c r="H825"/>
  <c r="F825"/>
  <c r="E825"/>
  <c r="I824"/>
  <c r="H824"/>
  <c r="E824"/>
  <c r="F824" s="1"/>
  <c r="H823"/>
  <c r="F823"/>
  <c r="E823"/>
  <c r="I823" s="1"/>
  <c r="E822"/>
  <c r="F821"/>
  <c r="E821"/>
  <c r="I820"/>
  <c r="E820"/>
  <c r="I819"/>
  <c r="H819"/>
  <c r="F819"/>
  <c r="E819"/>
  <c r="I818"/>
  <c r="H818"/>
  <c r="E818"/>
  <c r="F818" s="1"/>
  <c r="H817"/>
  <c r="F817"/>
  <c r="E817"/>
  <c r="I817" s="1"/>
  <c r="F816"/>
  <c r="E816"/>
  <c r="E815"/>
  <c r="I814"/>
  <c r="E814"/>
  <c r="I813"/>
  <c r="H813"/>
  <c r="F813"/>
  <c r="E813"/>
  <c r="I812"/>
  <c r="H812"/>
  <c r="E812"/>
  <c r="F812" s="1"/>
  <c r="H811"/>
  <c r="F811"/>
  <c r="E811"/>
  <c r="I811" s="1"/>
  <c r="F810"/>
  <c r="E810"/>
  <c r="F809"/>
  <c r="E809"/>
  <c r="E808"/>
  <c r="I807"/>
  <c r="H807"/>
  <c r="F807"/>
  <c r="E807"/>
  <c r="I806"/>
  <c r="H806"/>
  <c r="E806"/>
  <c r="F806" s="1"/>
  <c r="H805"/>
  <c r="F805"/>
  <c r="E805"/>
  <c r="I805" s="1"/>
  <c r="E804"/>
  <c r="F803"/>
  <c r="E803"/>
  <c r="I802"/>
  <c r="E802"/>
  <c r="I801"/>
  <c r="H801"/>
  <c r="F801"/>
  <c r="E801"/>
  <c r="I800"/>
  <c r="H800"/>
  <c r="E800"/>
  <c r="F800" s="1"/>
  <c r="H799"/>
  <c r="F799"/>
  <c r="E799"/>
  <c r="I799" s="1"/>
  <c r="F798"/>
  <c r="E798"/>
  <c r="E797"/>
  <c r="E796"/>
  <c r="I796" s="1"/>
  <c r="I795"/>
  <c r="H795"/>
  <c r="F795"/>
  <c r="E795"/>
  <c r="I794"/>
  <c r="H794"/>
  <c r="E794"/>
  <c r="F794" s="1"/>
  <c r="H793"/>
  <c r="F793"/>
  <c r="E793"/>
  <c r="I793" s="1"/>
  <c r="F792"/>
  <c r="E792"/>
  <c r="F791"/>
  <c r="E791"/>
  <c r="E790"/>
  <c r="I789"/>
  <c r="H789"/>
  <c r="F789"/>
  <c r="E789"/>
  <c r="I788"/>
  <c r="H788"/>
  <c r="E788"/>
  <c r="F788" s="1"/>
  <c r="H787"/>
  <c r="F787"/>
  <c r="E787"/>
  <c r="I787" s="1"/>
  <c r="E786"/>
  <c r="E785"/>
  <c r="F785" s="1"/>
  <c r="I784"/>
  <c r="E784"/>
  <c r="I783"/>
  <c r="H783"/>
  <c r="F783"/>
  <c r="E783"/>
  <c r="I782"/>
  <c r="H782"/>
  <c r="E782"/>
  <c r="F782" s="1"/>
  <c r="H781"/>
  <c r="F781"/>
  <c r="E781"/>
  <c r="I781" s="1"/>
  <c r="F780"/>
  <c r="E780"/>
  <c r="E779"/>
  <c r="I778"/>
  <c r="E778"/>
  <c r="I777"/>
  <c r="H777"/>
  <c r="F777"/>
  <c r="E777"/>
  <c r="I776"/>
  <c r="H776"/>
  <c r="E776"/>
  <c r="F776" s="1"/>
  <c r="H775"/>
  <c r="F775"/>
  <c r="E775"/>
  <c r="I775" s="1"/>
  <c r="E774"/>
  <c r="F774" s="1"/>
  <c r="F773"/>
  <c r="E773"/>
  <c r="E772"/>
  <c r="I771"/>
  <c r="H771"/>
  <c r="F771"/>
  <c r="E771"/>
  <c r="I770"/>
  <c r="H770"/>
  <c r="E770"/>
  <c r="F770" s="1"/>
  <c r="H769"/>
  <c r="F769"/>
  <c r="E769"/>
  <c r="I769" s="1"/>
  <c r="E768"/>
  <c r="F767"/>
  <c r="E767"/>
  <c r="I766"/>
  <c r="E766"/>
  <c r="I765"/>
  <c r="H765"/>
  <c r="F765"/>
  <c r="E765"/>
  <c r="I764"/>
  <c r="H764"/>
  <c r="E764"/>
  <c r="F764" s="1"/>
  <c r="H763"/>
  <c r="F763"/>
  <c r="E763"/>
  <c r="I763" s="1"/>
  <c r="F762"/>
  <c r="E762"/>
  <c r="E761"/>
  <c r="E760"/>
  <c r="I760" s="1"/>
  <c r="I759"/>
  <c r="H759"/>
  <c r="F759"/>
  <c r="E759"/>
  <c r="I758"/>
  <c r="H758"/>
  <c r="E758"/>
  <c r="F758" s="1"/>
  <c r="H757"/>
  <c r="F757"/>
  <c r="E757"/>
  <c r="I757" s="1"/>
  <c r="F756"/>
  <c r="E756"/>
  <c r="F755"/>
  <c r="E755"/>
  <c r="E754"/>
  <c r="I753"/>
  <c r="H753"/>
  <c r="F753"/>
  <c r="E753"/>
  <c r="I752"/>
  <c r="H752"/>
  <c r="E752"/>
  <c r="F752" s="1"/>
  <c r="H751"/>
  <c r="F751"/>
  <c r="E751"/>
  <c r="I751" s="1"/>
  <c r="E750"/>
  <c r="E749"/>
  <c r="F749" s="1"/>
  <c r="I748"/>
  <c r="E748"/>
  <c r="I747"/>
  <c r="H747"/>
  <c r="F747"/>
  <c r="E747"/>
  <c r="I746"/>
  <c r="H746"/>
  <c r="E746"/>
  <c r="F746" s="1"/>
  <c r="H745"/>
  <c r="F745"/>
  <c r="E745"/>
  <c r="I745" s="1"/>
  <c r="F744"/>
  <c r="E744"/>
  <c r="E743"/>
  <c r="I742"/>
  <c r="E742"/>
  <c r="I741"/>
  <c r="H741"/>
  <c r="F741"/>
  <c r="E741"/>
  <c r="I740"/>
  <c r="H740"/>
  <c r="E740"/>
  <c r="F740" s="1"/>
  <c r="H739"/>
  <c r="F739"/>
  <c r="E739"/>
  <c r="I739" s="1"/>
  <c r="E738"/>
  <c r="F738" s="1"/>
  <c r="F737"/>
  <c r="E737"/>
  <c r="E736"/>
  <c r="I735"/>
  <c r="H735"/>
  <c r="F735"/>
  <c r="E735"/>
  <c r="I734"/>
  <c r="H734"/>
  <c r="E734"/>
  <c r="F734" s="1"/>
  <c r="H733"/>
  <c r="F733"/>
  <c r="E733"/>
  <c r="I733" s="1"/>
  <c r="E732"/>
  <c r="F731"/>
  <c r="E731"/>
  <c r="I730"/>
  <c r="E730"/>
  <c r="I729"/>
  <c r="H729"/>
  <c r="F729"/>
  <c r="E729"/>
  <c r="I728"/>
  <c r="H728"/>
  <c r="E728"/>
  <c r="F728" s="1"/>
  <c r="I727"/>
  <c r="H727"/>
  <c r="F727"/>
  <c r="E727"/>
  <c r="F726"/>
  <c r="E726"/>
  <c r="F725"/>
  <c r="E725"/>
  <c r="E724"/>
  <c r="I723"/>
  <c r="H723"/>
  <c r="F723"/>
  <c r="E723"/>
  <c r="I722"/>
  <c r="H722"/>
  <c r="E722"/>
  <c r="F722" s="1"/>
  <c r="I721"/>
  <c r="H721"/>
  <c r="F721"/>
  <c r="E721"/>
  <c r="F720"/>
  <c r="E720"/>
  <c r="E719"/>
  <c r="I718"/>
  <c r="E718"/>
  <c r="I717"/>
  <c r="H717"/>
  <c r="E717"/>
  <c r="F717" s="1"/>
  <c r="I716"/>
  <c r="H716"/>
  <c r="E716"/>
  <c r="F716" s="1"/>
  <c r="I715"/>
  <c r="H715"/>
  <c r="F715"/>
  <c r="E715"/>
  <c r="E714"/>
  <c r="F714" s="1"/>
  <c r="F713"/>
  <c r="E713"/>
  <c r="E712"/>
  <c r="I711"/>
  <c r="H711"/>
  <c r="E711"/>
  <c r="F711" s="1"/>
  <c r="I710"/>
  <c r="H710"/>
  <c r="E710"/>
  <c r="F710" s="1"/>
  <c r="I709"/>
  <c r="H709"/>
  <c r="F709"/>
  <c r="E709"/>
  <c r="E708"/>
  <c r="F707"/>
  <c r="E707"/>
  <c r="I706"/>
  <c r="E706"/>
  <c r="I705"/>
  <c r="H705"/>
  <c r="E705"/>
  <c r="F705" s="1"/>
  <c r="I704"/>
  <c r="H704"/>
  <c r="E704"/>
  <c r="F704" s="1"/>
  <c r="I703"/>
  <c r="H703"/>
  <c r="F703"/>
  <c r="E703"/>
  <c r="F702"/>
  <c r="E702"/>
  <c r="E701"/>
  <c r="E700"/>
  <c r="I700" s="1"/>
  <c r="I699"/>
  <c r="H699"/>
  <c r="E699"/>
  <c r="F699" s="1"/>
  <c r="I698"/>
  <c r="H698"/>
  <c r="E698"/>
  <c r="F698" s="1"/>
  <c r="I697"/>
  <c r="H697"/>
  <c r="F697"/>
  <c r="E697"/>
  <c r="F696"/>
  <c r="E696"/>
  <c r="F695"/>
  <c r="E695"/>
  <c r="E694"/>
  <c r="I693"/>
  <c r="H693"/>
  <c r="E693"/>
  <c r="F693" s="1"/>
  <c r="I692"/>
  <c r="H692"/>
  <c r="E692"/>
  <c r="F692" s="1"/>
  <c r="I691"/>
  <c r="H691"/>
  <c r="F691"/>
  <c r="E691"/>
  <c r="E690"/>
  <c r="E689"/>
  <c r="F689" s="1"/>
  <c r="I688"/>
  <c r="E688"/>
  <c r="I687"/>
  <c r="H687"/>
  <c r="E687"/>
  <c r="F687" s="1"/>
  <c r="I686"/>
  <c r="H686"/>
  <c r="E686"/>
  <c r="F686" s="1"/>
  <c r="I685"/>
  <c r="H685"/>
  <c r="F685"/>
  <c r="E685"/>
  <c r="F684"/>
  <c r="E684"/>
  <c r="E683"/>
  <c r="I682"/>
  <c r="E682"/>
  <c r="I681"/>
  <c r="H681"/>
  <c r="E681"/>
  <c r="F681" s="1"/>
  <c r="I680"/>
  <c r="H680"/>
  <c r="E680"/>
  <c r="F680" s="1"/>
  <c r="I679"/>
  <c r="H679"/>
  <c r="F679"/>
  <c r="E679"/>
  <c r="E678"/>
  <c r="F678" s="1"/>
  <c r="F677"/>
  <c r="E677"/>
  <c r="E676"/>
  <c r="I675"/>
  <c r="H675"/>
  <c r="E675"/>
  <c r="F675" s="1"/>
  <c r="I674"/>
  <c r="H674"/>
  <c r="E674"/>
  <c r="F674" s="1"/>
  <c r="I673"/>
  <c r="H673"/>
  <c r="F673"/>
  <c r="E673"/>
  <c r="E672"/>
  <c r="F671"/>
  <c r="E671"/>
  <c r="I670"/>
  <c r="E670"/>
  <c r="I669"/>
  <c r="H669"/>
  <c r="E669"/>
  <c r="F669" s="1"/>
  <c r="I668"/>
  <c r="H668"/>
  <c r="E668"/>
  <c r="F668" s="1"/>
  <c r="I667"/>
  <c r="H667"/>
  <c r="F667"/>
  <c r="E667"/>
  <c r="F666"/>
  <c r="E666"/>
  <c r="E665"/>
  <c r="E664"/>
  <c r="I664" s="1"/>
  <c r="I663"/>
  <c r="H663"/>
  <c r="E663"/>
  <c r="F663" s="1"/>
  <c r="I662"/>
  <c r="H662"/>
  <c r="E662"/>
  <c r="F662" s="1"/>
  <c r="I661"/>
  <c r="H661"/>
  <c r="F661"/>
  <c r="E661"/>
  <c r="F660"/>
  <c r="E660"/>
  <c r="F659"/>
  <c r="E659"/>
  <c r="E658"/>
  <c r="I657"/>
  <c r="H657"/>
  <c r="E657"/>
  <c r="F657" s="1"/>
  <c r="I656"/>
  <c r="H656"/>
  <c r="E656"/>
  <c r="F656" s="1"/>
  <c r="I655"/>
  <c r="H655"/>
  <c r="F655"/>
  <c r="E655"/>
  <c r="E654"/>
  <c r="E653"/>
  <c r="F653" s="1"/>
  <c r="I652"/>
  <c r="F652"/>
  <c r="E652"/>
  <c r="H652" s="1"/>
  <c r="I651"/>
  <c r="E651"/>
  <c r="F651" s="1"/>
  <c r="I650"/>
  <c r="H650"/>
  <c r="E650"/>
  <c r="F650" s="1"/>
  <c r="I649"/>
  <c r="H649"/>
  <c r="F649"/>
  <c r="E649"/>
  <c r="E648"/>
  <c r="H648" s="1"/>
  <c r="E647"/>
  <c r="E646"/>
  <c r="E645"/>
  <c r="I644"/>
  <c r="H644"/>
  <c r="E644"/>
  <c r="F644" s="1"/>
  <c r="I643"/>
  <c r="H643"/>
  <c r="F643"/>
  <c r="E643"/>
  <c r="H642"/>
  <c r="F642"/>
  <c r="E642"/>
  <c r="I642" s="1"/>
  <c r="F641"/>
  <c r="E641"/>
  <c r="I640"/>
  <c r="F640"/>
  <c r="E640"/>
  <c r="H640" s="1"/>
  <c r="I639"/>
  <c r="H639"/>
  <c r="E639"/>
  <c r="F639" s="1"/>
  <c r="I638"/>
  <c r="H638"/>
  <c r="E638"/>
  <c r="F638" s="1"/>
  <c r="I637"/>
  <c r="H637"/>
  <c r="F637"/>
  <c r="E637"/>
  <c r="H636"/>
  <c r="F636"/>
  <c r="E636"/>
  <c r="I636" s="1"/>
  <c r="E635"/>
  <c r="F635" s="1"/>
  <c r="I634"/>
  <c r="F634"/>
  <c r="E634"/>
  <c r="H634" s="1"/>
  <c r="I633"/>
  <c r="E633"/>
  <c r="F633" s="1"/>
  <c r="I632"/>
  <c r="H632"/>
  <c r="E632"/>
  <c r="F632" s="1"/>
  <c r="I631"/>
  <c r="H631"/>
  <c r="F631"/>
  <c r="E631"/>
  <c r="E630"/>
  <c r="H630" s="1"/>
  <c r="E629"/>
  <c r="E628"/>
  <c r="E627"/>
  <c r="F627" s="1"/>
  <c r="I626"/>
  <c r="H626"/>
  <c r="F626"/>
  <c r="E626"/>
  <c r="E625"/>
  <c r="H625" s="1"/>
  <c r="H624"/>
  <c r="F624"/>
  <c r="E624"/>
  <c r="I624" s="1"/>
  <c r="I623"/>
  <c r="F623"/>
  <c r="E623"/>
  <c r="H623" s="1"/>
  <c r="E622"/>
  <c r="E621"/>
  <c r="F621" s="1"/>
  <c r="I620"/>
  <c r="H620"/>
  <c r="F620"/>
  <c r="E620"/>
  <c r="E619"/>
  <c r="H619" s="1"/>
  <c r="H618"/>
  <c r="F618"/>
  <c r="E618"/>
  <c r="I618" s="1"/>
  <c r="I617"/>
  <c r="F617"/>
  <c r="E617"/>
  <c r="H617" s="1"/>
  <c r="E616"/>
  <c r="H616" s="1"/>
  <c r="E615"/>
  <c r="F615" s="1"/>
  <c r="I614"/>
  <c r="H614"/>
  <c r="F614"/>
  <c r="E614"/>
  <c r="H613"/>
  <c r="E613"/>
  <c r="H612"/>
  <c r="F612"/>
  <c r="E612"/>
  <c r="I612" s="1"/>
  <c r="I611"/>
  <c r="F611"/>
  <c r="E611"/>
  <c r="H611" s="1"/>
  <c r="H610"/>
  <c r="E610"/>
  <c r="E609"/>
  <c r="F609" s="1"/>
  <c r="I608"/>
  <c r="H608"/>
  <c r="F608"/>
  <c r="E608"/>
  <c r="E607"/>
  <c r="H606"/>
  <c r="F606"/>
  <c r="E606"/>
  <c r="I606" s="1"/>
  <c r="I605"/>
  <c r="F605"/>
  <c r="E605"/>
  <c r="H605" s="1"/>
  <c r="E604"/>
  <c r="H604" s="1"/>
  <c r="E603"/>
  <c r="F603" s="1"/>
  <c r="I602"/>
  <c r="H602"/>
  <c r="F602"/>
  <c r="E602"/>
  <c r="E601"/>
  <c r="H601" s="1"/>
  <c r="H600"/>
  <c r="F600"/>
  <c r="E600"/>
  <c r="I600" s="1"/>
  <c r="I599"/>
  <c r="F599"/>
  <c r="E599"/>
  <c r="H599" s="1"/>
  <c r="E598"/>
  <c r="H598" s="1"/>
  <c r="E597"/>
  <c r="F597" s="1"/>
  <c r="I596"/>
  <c r="H596"/>
  <c r="F596"/>
  <c r="E596"/>
  <c r="H595"/>
  <c r="E595"/>
  <c r="H594"/>
  <c r="F594"/>
  <c r="E594"/>
  <c r="I594" s="1"/>
  <c r="I593"/>
  <c r="F593"/>
  <c r="E593"/>
  <c r="H593" s="1"/>
  <c r="H592"/>
  <c r="E592"/>
  <c r="E591"/>
  <c r="F591" s="1"/>
  <c r="I590"/>
  <c r="H590"/>
  <c r="F590"/>
  <c r="E590"/>
  <c r="E589"/>
  <c r="H589" s="1"/>
  <c r="H588"/>
  <c r="F588"/>
  <c r="E588"/>
  <c r="I588" s="1"/>
  <c r="I587"/>
  <c r="F587"/>
  <c r="E587"/>
  <c r="H587" s="1"/>
  <c r="E586"/>
  <c r="E585"/>
  <c r="F585" s="1"/>
  <c r="I584"/>
  <c r="H584"/>
  <c r="F584"/>
  <c r="E584"/>
  <c r="E583"/>
  <c r="H583" s="1"/>
  <c r="H582"/>
  <c r="F582"/>
  <c r="E582"/>
  <c r="I582" s="1"/>
  <c r="I581"/>
  <c r="F581"/>
  <c r="E581"/>
  <c r="H581" s="1"/>
  <c r="E580"/>
  <c r="I580" s="1"/>
  <c r="E579"/>
  <c r="I578"/>
  <c r="H578"/>
  <c r="F578"/>
  <c r="E578"/>
  <c r="E577"/>
  <c r="F577" s="1"/>
  <c r="H576"/>
  <c r="F576"/>
  <c r="E576"/>
  <c r="I576" s="1"/>
  <c r="I575"/>
  <c r="E575"/>
  <c r="H575" s="1"/>
  <c r="H574"/>
  <c r="E574"/>
  <c r="I574" s="1"/>
  <c r="I573"/>
  <c r="E573"/>
  <c r="I572"/>
  <c r="H572"/>
  <c r="F572"/>
  <c r="E572"/>
  <c r="H571"/>
  <c r="E571"/>
  <c r="F571" s="1"/>
  <c r="H570"/>
  <c r="F570"/>
  <c r="E570"/>
  <c r="I570" s="1"/>
  <c r="I569"/>
  <c r="E569"/>
  <c r="H569" s="1"/>
  <c r="E568"/>
  <c r="I568" s="1"/>
  <c r="E567"/>
  <c r="I567" s="1"/>
  <c r="I566"/>
  <c r="H566"/>
  <c r="F566"/>
  <c r="E566"/>
  <c r="I565"/>
  <c r="H565"/>
  <c r="E565"/>
  <c r="F565" s="1"/>
  <c r="H564"/>
  <c r="F564"/>
  <c r="E564"/>
  <c r="I564" s="1"/>
  <c r="F563"/>
  <c r="E563"/>
  <c r="H563" s="1"/>
  <c r="H562"/>
  <c r="F562"/>
  <c r="E562"/>
  <c r="I562" s="1"/>
  <c r="I561"/>
  <c r="E561"/>
  <c r="I560"/>
  <c r="H560"/>
  <c r="F560"/>
  <c r="E560"/>
  <c r="I559"/>
  <c r="E559"/>
  <c r="F559" s="1"/>
  <c r="H558"/>
  <c r="F558"/>
  <c r="E558"/>
  <c r="I558" s="1"/>
  <c r="I557"/>
  <c r="E557"/>
  <c r="H557" s="1"/>
  <c r="H556"/>
  <c r="E556"/>
  <c r="I556" s="1"/>
  <c r="I555"/>
  <c r="E555"/>
  <c r="I554"/>
  <c r="H554"/>
  <c r="F554"/>
  <c r="E554"/>
  <c r="H553"/>
  <c r="E553"/>
  <c r="F553" s="1"/>
  <c r="H552"/>
  <c r="F552"/>
  <c r="E552"/>
  <c r="I552" s="1"/>
  <c r="I551"/>
  <c r="E551"/>
  <c r="H551" s="1"/>
  <c r="E550"/>
  <c r="I550" s="1"/>
  <c r="E549"/>
  <c r="I549" s="1"/>
  <c r="I548"/>
  <c r="H548"/>
  <c r="F548"/>
  <c r="E548"/>
  <c r="I547"/>
  <c r="H547"/>
  <c r="E547"/>
  <c r="F547" s="1"/>
  <c r="H546"/>
  <c r="F546"/>
  <c r="E546"/>
  <c r="I546" s="1"/>
  <c r="F545"/>
  <c r="E545"/>
  <c r="H545" s="1"/>
  <c r="H544"/>
  <c r="F544"/>
  <c r="E544"/>
  <c r="I544" s="1"/>
  <c r="I543"/>
  <c r="E543"/>
  <c r="I542"/>
  <c r="H542"/>
  <c r="F542"/>
  <c r="E542"/>
  <c r="I541"/>
  <c r="E541"/>
  <c r="F541" s="1"/>
  <c r="H540"/>
  <c r="F540"/>
  <c r="E540"/>
  <c r="I540" s="1"/>
  <c r="I539"/>
  <c r="E539"/>
  <c r="H539" s="1"/>
  <c r="H538"/>
  <c r="E538"/>
  <c r="I538" s="1"/>
  <c r="I537"/>
  <c r="E537"/>
  <c r="I536"/>
  <c r="H536"/>
  <c r="F536"/>
  <c r="E536"/>
  <c r="H535"/>
  <c r="E535"/>
  <c r="F535" s="1"/>
  <c r="H534"/>
  <c r="F534"/>
  <c r="E534"/>
  <c r="I534" s="1"/>
  <c r="I533"/>
  <c r="E533"/>
  <c r="H533" s="1"/>
  <c r="E532"/>
  <c r="I532" s="1"/>
  <c r="E531"/>
  <c r="I531" s="1"/>
  <c r="I530"/>
  <c r="H530"/>
  <c r="F530"/>
  <c r="E530"/>
  <c r="I529"/>
  <c r="H529"/>
  <c r="E529"/>
  <c r="F529" s="1"/>
  <c r="H528"/>
  <c r="F528"/>
  <c r="E528"/>
  <c r="I528" s="1"/>
  <c r="F527"/>
  <c r="E527"/>
  <c r="H527" s="1"/>
  <c r="H526"/>
  <c r="F526"/>
  <c r="E526"/>
  <c r="I526" s="1"/>
  <c r="I525"/>
  <c r="E525"/>
  <c r="I524"/>
  <c r="H524"/>
  <c r="F524"/>
  <c r="E524"/>
  <c r="I523"/>
  <c r="E523"/>
  <c r="F523" s="1"/>
  <c r="H522"/>
  <c r="F522"/>
  <c r="E522"/>
  <c r="I522" s="1"/>
  <c r="I521"/>
  <c r="E521"/>
  <c r="H521" s="1"/>
  <c r="H520"/>
  <c r="E520"/>
  <c r="I520" s="1"/>
  <c r="I519"/>
  <c r="E519"/>
  <c r="I518"/>
  <c r="H518"/>
  <c r="F518"/>
  <c r="E518"/>
  <c r="H517"/>
  <c r="E517"/>
  <c r="F517" s="1"/>
  <c r="H516"/>
  <c r="F516"/>
  <c r="E516"/>
  <c r="I516" s="1"/>
  <c r="I515"/>
  <c r="E515"/>
  <c r="H515" s="1"/>
  <c r="E514"/>
  <c r="I514" s="1"/>
  <c r="E513"/>
  <c r="I513" s="1"/>
  <c r="I512"/>
  <c r="H512"/>
  <c r="F512"/>
  <c r="E512"/>
  <c r="I511"/>
  <c r="H511"/>
  <c r="E511"/>
  <c r="F511" s="1"/>
  <c r="H510"/>
  <c r="F510"/>
  <c r="E510"/>
  <c r="I510" s="1"/>
  <c r="F509"/>
  <c r="E509"/>
  <c r="H509" s="1"/>
  <c r="H508"/>
  <c r="F508"/>
  <c r="E508"/>
  <c r="I508" s="1"/>
  <c r="I507"/>
  <c r="E507"/>
  <c r="I506"/>
  <c r="H506"/>
  <c r="F506"/>
  <c r="E506"/>
  <c r="I505"/>
  <c r="E505"/>
  <c r="F505" s="1"/>
  <c r="H504"/>
  <c r="F504"/>
  <c r="E504"/>
  <c r="I504" s="1"/>
  <c r="I503"/>
  <c r="E503"/>
  <c r="H503" s="1"/>
  <c r="H502"/>
  <c r="E502"/>
  <c r="I502" s="1"/>
  <c r="I501"/>
  <c r="E501"/>
  <c r="I500"/>
  <c r="H500"/>
  <c r="F500"/>
  <c r="E500"/>
  <c r="H499"/>
  <c r="E499"/>
  <c r="F499" s="1"/>
  <c r="H498"/>
  <c r="F498"/>
  <c r="E498"/>
  <c r="I498" s="1"/>
  <c r="I497"/>
  <c r="E497"/>
  <c r="H497" s="1"/>
  <c r="E496"/>
  <c r="I496" s="1"/>
  <c r="E495"/>
  <c r="I495" s="1"/>
  <c r="I494"/>
  <c r="H494"/>
  <c r="F494"/>
  <c r="E494"/>
  <c r="I493"/>
  <c r="H493"/>
  <c r="E493"/>
  <c r="F493" s="1"/>
  <c r="H492"/>
  <c r="F492"/>
  <c r="E492"/>
  <c r="I492" s="1"/>
  <c r="F491"/>
  <c r="E491"/>
  <c r="H491" s="1"/>
  <c r="H490"/>
  <c r="F490"/>
  <c r="E490"/>
  <c r="I490" s="1"/>
  <c r="I489"/>
  <c r="E489"/>
  <c r="I488"/>
  <c r="H488"/>
  <c r="F488"/>
  <c r="E488"/>
  <c r="I487"/>
  <c r="E487"/>
  <c r="F487" s="1"/>
  <c r="H486"/>
  <c r="F486"/>
  <c r="E486"/>
  <c r="I486" s="1"/>
  <c r="I485"/>
  <c r="E485"/>
  <c r="H485" s="1"/>
  <c r="H484"/>
  <c r="E484"/>
  <c r="I484" s="1"/>
  <c r="I483"/>
  <c r="E483"/>
  <c r="I482"/>
  <c r="H482"/>
  <c r="F482"/>
  <c r="E482"/>
  <c r="H481"/>
  <c r="E481"/>
  <c r="F481" s="1"/>
  <c r="H480"/>
  <c r="F480"/>
  <c r="E480"/>
  <c r="I480" s="1"/>
  <c r="I479"/>
  <c r="E479"/>
  <c r="H479" s="1"/>
  <c r="E478"/>
  <c r="I478" s="1"/>
  <c r="E477"/>
  <c r="I477" s="1"/>
  <c r="I476"/>
  <c r="H476"/>
  <c r="F476"/>
  <c r="E476"/>
  <c r="I475"/>
  <c r="H475"/>
  <c r="E475"/>
  <c r="F475" s="1"/>
  <c r="H474"/>
  <c r="F474"/>
  <c r="E474"/>
  <c r="I474" s="1"/>
  <c r="F473"/>
  <c r="E473"/>
  <c r="H473" s="1"/>
  <c r="H472"/>
  <c r="F472"/>
  <c r="E472"/>
  <c r="I472" s="1"/>
  <c r="I471"/>
  <c r="E471"/>
  <c r="I470"/>
  <c r="H470"/>
  <c r="F470"/>
  <c r="E470"/>
  <c r="I469"/>
  <c r="E469"/>
  <c r="F469" s="1"/>
  <c r="H468"/>
  <c r="F468"/>
  <c r="E468"/>
  <c r="I468" s="1"/>
  <c r="I467"/>
  <c r="E467"/>
  <c r="H467" s="1"/>
  <c r="H466"/>
  <c r="E466"/>
  <c r="I466" s="1"/>
  <c r="I465"/>
  <c r="E465"/>
  <c r="I464"/>
  <c r="H464"/>
  <c r="F464"/>
  <c r="E464"/>
  <c r="H463"/>
  <c r="E463"/>
  <c r="F463" s="1"/>
  <c r="H462"/>
  <c r="F462"/>
  <c r="E462"/>
  <c r="I462" s="1"/>
  <c r="I461"/>
  <c r="E461"/>
  <c r="H461" s="1"/>
  <c r="E460"/>
  <c r="I460" s="1"/>
  <c r="E459"/>
  <c r="I459" s="1"/>
  <c r="I458"/>
  <c r="H458"/>
  <c r="F458"/>
  <c r="E458"/>
  <c r="I457"/>
  <c r="H457"/>
  <c r="E457"/>
  <c r="F457" s="1"/>
  <c r="H456"/>
  <c r="F456"/>
  <c r="E456"/>
  <c r="I456" s="1"/>
  <c r="F455"/>
  <c r="E455"/>
  <c r="H455" s="1"/>
  <c r="H454"/>
  <c r="F454"/>
  <c r="E454"/>
  <c r="I454" s="1"/>
  <c r="I453"/>
  <c r="E453"/>
  <c r="I452"/>
  <c r="H452"/>
  <c r="F452"/>
  <c r="E452"/>
  <c r="I451"/>
  <c r="E451"/>
  <c r="F451" s="1"/>
  <c r="H450"/>
  <c r="F450"/>
  <c r="E450"/>
  <c r="I450" s="1"/>
  <c r="I449"/>
  <c r="E449"/>
  <c r="H449" s="1"/>
  <c r="H448"/>
  <c r="E448"/>
  <c r="I448" s="1"/>
  <c r="I447"/>
  <c r="E447"/>
  <c r="I446"/>
  <c r="H446"/>
  <c r="F446"/>
  <c r="E446"/>
  <c r="H445"/>
  <c r="E445"/>
  <c r="F445" s="1"/>
  <c r="H444"/>
  <c r="F444"/>
  <c r="E444"/>
  <c r="I444" s="1"/>
  <c r="I443"/>
  <c r="E443"/>
  <c r="H443" s="1"/>
  <c r="E442"/>
  <c r="I442" s="1"/>
  <c r="E441"/>
  <c r="I441" s="1"/>
  <c r="I440"/>
  <c r="H440"/>
  <c r="F440"/>
  <c r="E440"/>
  <c r="I439"/>
  <c r="H439"/>
  <c r="E439"/>
  <c r="F439" s="1"/>
  <c r="H438"/>
  <c r="F438"/>
  <c r="E438"/>
  <c r="I438" s="1"/>
  <c r="F437"/>
  <c r="E437"/>
  <c r="H437" s="1"/>
  <c r="H436"/>
  <c r="F436"/>
  <c r="E436"/>
  <c r="I436" s="1"/>
  <c r="I435"/>
  <c r="E435"/>
  <c r="I434"/>
  <c r="H434"/>
  <c r="F434"/>
  <c r="E434"/>
  <c r="I433"/>
  <c r="E433"/>
  <c r="F433" s="1"/>
  <c r="H432"/>
  <c r="F432"/>
  <c r="E432"/>
  <c r="I432" s="1"/>
  <c r="I431"/>
  <c r="E431"/>
  <c r="H431" s="1"/>
  <c r="H430"/>
  <c r="E430"/>
  <c r="I430" s="1"/>
  <c r="I429"/>
  <c r="E429"/>
  <c r="I428"/>
  <c r="H428"/>
  <c r="F428"/>
  <c r="E428"/>
  <c r="H427"/>
  <c r="E427"/>
  <c r="F427" s="1"/>
  <c r="H426"/>
  <c r="F426"/>
  <c r="E426"/>
  <c r="I426" s="1"/>
  <c r="I425"/>
  <c r="F425"/>
  <c r="E425"/>
  <c r="H425" s="1"/>
  <c r="E424"/>
  <c r="I424" s="1"/>
  <c r="E423"/>
  <c r="I423" s="1"/>
  <c r="I422"/>
  <c r="H422"/>
  <c r="F422"/>
  <c r="E422"/>
  <c r="I421"/>
  <c r="H421"/>
  <c r="E421"/>
  <c r="F421" s="1"/>
  <c r="H420"/>
  <c r="F420"/>
  <c r="E420"/>
  <c r="I420" s="1"/>
  <c r="F419"/>
  <c r="E419"/>
  <c r="H419" s="1"/>
  <c r="H418"/>
  <c r="F418"/>
  <c r="E418"/>
  <c r="I418" s="1"/>
  <c r="I417"/>
  <c r="E417"/>
  <c r="I416"/>
  <c r="H416"/>
  <c r="F416"/>
  <c r="E416"/>
  <c r="I415"/>
  <c r="E415"/>
  <c r="F415" s="1"/>
  <c r="H414"/>
  <c r="F414"/>
  <c r="E414"/>
  <c r="I414" s="1"/>
  <c r="I413"/>
  <c r="E413"/>
  <c r="H413" s="1"/>
  <c r="H412"/>
  <c r="E412"/>
  <c r="I412" s="1"/>
  <c r="I411"/>
  <c r="E411"/>
  <c r="I410"/>
  <c r="H410"/>
  <c r="F410"/>
  <c r="E410"/>
  <c r="H409"/>
  <c r="E409"/>
  <c r="F409" s="1"/>
  <c r="H408"/>
  <c r="F408"/>
  <c r="E408"/>
  <c r="I408" s="1"/>
  <c r="I407"/>
  <c r="F407"/>
  <c r="E407"/>
  <c r="H407" s="1"/>
  <c r="E406"/>
  <c r="I406" s="1"/>
  <c r="E405"/>
  <c r="I405" s="1"/>
  <c r="I404"/>
  <c r="H404"/>
  <c r="F404"/>
  <c r="E404"/>
  <c r="I403"/>
  <c r="H403"/>
  <c r="E403"/>
  <c r="F403" s="1"/>
  <c r="H402"/>
  <c r="F402"/>
  <c r="E402"/>
  <c r="I402" s="1"/>
  <c r="F401"/>
  <c r="E401"/>
  <c r="H401" s="1"/>
  <c r="H400"/>
  <c r="F400"/>
  <c r="E400"/>
  <c r="I400" s="1"/>
  <c r="I399"/>
  <c r="E399"/>
  <c r="I398"/>
  <c r="H398"/>
  <c r="F398"/>
  <c r="E398"/>
  <c r="I397"/>
  <c r="E397"/>
  <c r="F397" s="1"/>
  <c r="H396"/>
  <c r="F396"/>
  <c r="E396"/>
  <c r="I396" s="1"/>
  <c r="I395"/>
  <c r="E395"/>
  <c r="H395" s="1"/>
  <c r="H394"/>
  <c r="E394"/>
  <c r="I394" s="1"/>
  <c r="I393"/>
  <c r="E393"/>
  <c r="I392"/>
  <c r="H392"/>
  <c r="F392"/>
  <c r="E392"/>
  <c r="H391"/>
  <c r="E391"/>
  <c r="F391" s="1"/>
  <c r="H390"/>
  <c r="F390"/>
  <c r="E390"/>
  <c r="I390" s="1"/>
  <c r="I389"/>
  <c r="F389"/>
  <c r="E389"/>
  <c r="H389" s="1"/>
  <c r="E388"/>
  <c r="I388" s="1"/>
  <c r="E387"/>
  <c r="I387" s="1"/>
  <c r="I386"/>
  <c r="H386"/>
  <c r="F386"/>
  <c r="E386"/>
  <c r="I385"/>
  <c r="H385"/>
  <c r="E385"/>
  <c r="F385" s="1"/>
  <c r="H384"/>
  <c r="F384"/>
  <c r="E384"/>
  <c r="I384" s="1"/>
  <c r="F383"/>
  <c r="E383"/>
  <c r="H383" s="1"/>
  <c r="H382"/>
  <c r="F382"/>
  <c r="E382"/>
  <c r="I382" s="1"/>
  <c r="I381"/>
  <c r="E381"/>
  <c r="I380"/>
  <c r="H380"/>
  <c r="F380"/>
  <c r="E380"/>
  <c r="I379"/>
  <c r="E379"/>
  <c r="F379" s="1"/>
  <c r="H378"/>
  <c r="F378"/>
  <c r="E378"/>
  <c r="I378" s="1"/>
  <c r="I377"/>
  <c r="E377"/>
  <c r="H377" s="1"/>
  <c r="H376"/>
  <c r="E376"/>
  <c r="I376" s="1"/>
  <c r="I375"/>
  <c r="E375"/>
  <c r="I374"/>
  <c r="H374"/>
  <c r="F374"/>
  <c r="E374"/>
  <c r="I373"/>
  <c r="H373"/>
  <c r="E373"/>
  <c r="F373" s="1"/>
  <c r="H372"/>
  <c r="F372"/>
  <c r="E372"/>
  <c r="I372" s="1"/>
  <c r="I371"/>
  <c r="F371"/>
  <c r="E371"/>
  <c r="H371" s="1"/>
  <c r="E370"/>
  <c r="I370" s="1"/>
  <c r="E369"/>
  <c r="I369" s="1"/>
  <c r="I368"/>
  <c r="H368"/>
  <c r="F368"/>
  <c r="E368"/>
  <c r="I367"/>
  <c r="H367"/>
  <c r="E367"/>
  <c r="F367" s="1"/>
  <c r="H366"/>
  <c r="F366"/>
  <c r="E366"/>
  <c r="I366" s="1"/>
  <c r="I365"/>
  <c r="F365"/>
  <c r="E365"/>
  <c r="H365" s="1"/>
  <c r="I364"/>
  <c r="H364"/>
  <c r="E364"/>
  <c r="F364" s="1"/>
  <c r="I363"/>
  <c r="E363"/>
  <c r="F363" s="1"/>
  <c r="I362"/>
  <c r="H362"/>
  <c r="F362"/>
  <c r="E362"/>
  <c r="I361"/>
  <c r="H361"/>
  <c r="F361"/>
  <c r="E361"/>
  <c r="H360"/>
  <c r="E360"/>
  <c r="I360" s="1"/>
  <c r="I359"/>
  <c r="E359"/>
  <c r="H359" s="1"/>
  <c r="I358"/>
  <c r="H358"/>
  <c r="F358"/>
  <c r="E358"/>
  <c r="I357"/>
  <c r="H357"/>
  <c r="E357"/>
  <c r="F357" s="1"/>
  <c r="I356"/>
  <c r="H356"/>
  <c r="F356"/>
  <c r="E356"/>
  <c r="H355"/>
  <c r="E355"/>
  <c r="I355" s="1"/>
  <c r="H354"/>
  <c r="F354"/>
  <c r="E354"/>
  <c r="I354" s="1"/>
  <c r="I353"/>
  <c r="E353"/>
  <c r="H353" s="1"/>
  <c r="I352"/>
  <c r="E352"/>
  <c r="F352" s="1"/>
  <c r="I351"/>
  <c r="H351"/>
  <c r="E351"/>
  <c r="F351" s="1"/>
  <c r="I350"/>
  <c r="H350"/>
  <c r="F350"/>
  <c r="E350"/>
  <c r="H349"/>
  <c r="E349"/>
  <c r="F349" s="1"/>
  <c r="H348"/>
  <c r="E348"/>
  <c r="I348" s="1"/>
  <c r="I347"/>
  <c r="F347"/>
  <c r="E347"/>
  <c r="H347" s="1"/>
  <c r="I346"/>
  <c r="H346"/>
  <c r="E346"/>
  <c r="F346" s="1"/>
  <c r="I345"/>
  <c r="E345"/>
  <c r="F345" s="1"/>
  <c r="I344"/>
  <c r="H344"/>
  <c r="F344"/>
  <c r="E344"/>
  <c r="I343"/>
  <c r="H343"/>
  <c r="F343"/>
  <c r="E343"/>
  <c r="H342"/>
  <c r="E342"/>
  <c r="I342" s="1"/>
  <c r="I341"/>
  <c r="E341"/>
  <c r="H341" s="1"/>
  <c r="I340"/>
  <c r="H340"/>
  <c r="F340"/>
  <c r="E340"/>
  <c r="I339"/>
  <c r="H339"/>
  <c r="E339"/>
  <c r="F339" s="1"/>
  <c r="I338"/>
  <c r="H338"/>
  <c r="F338"/>
  <c r="E338"/>
  <c r="H337"/>
  <c r="E337"/>
  <c r="I337" s="1"/>
  <c r="H336"/>
  <c r="F336"/>
  <c r="E336"/>
  <c r="I336" s="1"/>
  <c r="I335"/>
  <c r="E335"/>
  <c r="H335" s="1"/>
  <c r="I334"/>
  <c r="E334"/>
  <c r="F334" s="1"/>
  <c r="I333"/>
  <c r="H333"/>
  <c r="E333"/>
  <c r="F333" s="1"/>
  <c r="I332"/>
  <c r="H332"/>
  <c r="F332"/>
  <c r="E332"/>
  <c r="H331"/>
  <c r="E331"/>
  <c r="F331" s="1"/>
  <c r="H330"/>
  <c r="E330"/>
  <c r="I330" s="1"/>
  <c r="I329"/>
  <c r="F329"/>
  <c r="E329"/>
  <c r="H329" s="1"/>
  <c r="I328"/>
  <c r="H328"/>
  <c r="E328"/>
  <c r="F328" s="1"/>
  <c r="I327"/>
  <c r="E327"/>
  <c r="F327" s="1"/>
  <c r="I326"/>
  <c r="H326"/>
  <c r="F326"/>
  <c r="E326"/>
  <c r="I325"/>
  <c r="H325"/>
  <c r="F325"/>
  <c r="E325"/>
  <c r="H324"/>
  <c r="E324"/>
  <c r="I324" s="1"/>
  <c r="I323"/>
  <c r="E323"/>
  <c r="H323" s="1"/>
  <c r="E322"/>
  <c r="H322" s="1"/>
  <c r="I321"/>
  <c r="H321"/>
  <c r="F321"/>
  <c r="E321"/>
  <c r="E320"/>
  <c r="H319"/>
  <c r="E319"/>
  <c r="F319" s="1"/>
  <c r="I318"/>
  <c r="F318"/>
  <c r="E318"/>
  <c r="H318" s="1"/>
  <c r="H317"/>
  <c r="E317"/>
  <c r="I317" s="1"/>
  <c r="E316"/>
  <c r="H316" s="1"/>
  <c r="I315"/>
  <c r="H315"/>
  <c r="F315"/>
  <c r="E315"/>
  <c r="E314"/>
  <c r="H313"/>
  <c r="E313"/>
  <c r="F313" s="1"/>
  <c r="I312"/>
  <c r="F312"/>
  <c r="E312"/>
  <c r="H312" s="1"/>
  <c r="H311"/>
  <c r="E311"/>
  <c r="I311" s="1"/>
  <c r="E310"/>
  <c r="H310" s="1"/>
  <c r="I309"/>
  <c r="H309"/>
  <c r="F309"/>
  <c r="E309"/>
  <c r="E308"/>
  <c r="H307"/>
  <c r="E307"/>
  <c r="F307" s="1"/>
  <c r="I306"/>
  <c r="F306"/>
  <c r="E306"/>
  <c r="H306" s="1"/>
  <c r="H305"/>
  <c r="E305"/>
  <c r="I305" s="1"/>
  <c r="E304"/>
  <c r="H304" s="1"/>
  <c r="I303"/>
  <c r="H303"/>
  <c r="F303"/>
  <c r="E303"/>
  <c r="E302"/>
  <c r="H301"/>
  <c r="E301"/>
  <c r="F301" s="1"/>
  <c r="I300"/>
  <c r="F300"/>
  <c r="E300"/>
  <c r="H300" s="1"/>
  <c r="H299"/>
  <c r="E299"/>
  <c r="I299" s="1"/>
  <c r="E298"/>
  <c r="H298" s="1"/>
  <c r="I297"/>
  <c r="H297"/>
  <c r="F297"/>
  <c r="E297"/>
  <c r="E296"/>
  <c r="H295"/>
  <c r="E295"/>
  <c r="F295" s="1"/>
  <c r="I294"/>
  <c r="F294"/>
  <c r="E294"/>
  <c r="H294" s="1"/>
  <c r="H293"/>
  <c r="E293"/>
  <c r="I293" s="1"/>
  <c r="E292"/>
  <c r="H292" s="1"/>
  <c r="I291"/>
  <c r="H291"/>
  <c r="F291"/>
  <c r="E291"/>
  <c r="E290"/>
  <c r="H289"/>
  <c r="E289"/>
  <c r="F289" s="1"/>
  <c r="I288"/>
  <c r="F288"/>
  <c r="E288"/>
  <c r="H288" s="1"/>
  <c r="H287"/>
  <c r="E287"/>
  <c r="I287" s="1"/>
  <c r="E286"/>
  <c r="H286" s="1"/>
  <c r="I285"/>
  <c r="H285"/>
  <c r="F285"/>
  <c r="E285"/>
  <c r="E284"/>
  <c r="H283"/>
  <c r="E283"/>
  <c r="F283" s="1"/>
  <c r="I282"/>
  <c r="F282"/>
  <c r="E282"/>
  <c r="H282" s="1"/>
  <c r="H281"/>
  <c r="E281"/>
  <c r="I281" s="1"/>
  <c r="E280"/>
  <c r="H280" s="1"/>
  <c r="I279"/>
  <c r="H279"/>
  <c r="F279"/>
  <c r="E279"/>
  <c r="E278"/>
  <c r="H277"/>
  <c r="E277"/>
  <c r="F277" s="1"/>
  <c r="I276"/>
  <c r="F276"/>
  <c r="E276"/>
  <c r="H276" s="1"/>
  <c r="H275"/>
  <c r="E275"/>
  <c r="I275" s="1"/>
  <c r="E274"/>
  <c r="H274" s="1"/>
  <c r="I273"/>
  <c r="H273"/>
  <c r="F273"/>
  <c r="E273"/>
  <c r="E272"/>
  <c r="H271"/>
  <c r="E271"/>
  <c r="F271" s="1"/>
  <c r="I270"/>
  <c r="F270"/>
  <c r="E270"/>
  <c r="H270" s="1"/>
  <c r="H269"/>
  <c r="E269"/>
  <c r="I269" s="1"/>
  <c r="E268"/>
  <c r="H268" s="1"/>
  <c r="I267"/>
  <c r="H267"/>
  <c r="F267"/>
  <c r="E267"/>
  <c r="E266"/>
  <c r="H265"/>
  <c r="E265"/>
  <c r="F265" s="1"/>
  <c r="I264"/>
  <c r="F264"/>
  <c r="E264"/>
  <c r="H264" s="1"/>
  <c r="H263"/>
  <c r="E263"/>
  <c r="I263" s="1"/>
  <c r="E262"/>
  <c r="H262" s="1"/>
  <c r="I261"/>
  <c r="H261"/>
  <c r="F261"/>
  <c r="E261"/>
  <c r="E260"/>
  <c r="H259"/>
  <c r="E259"/>
  <c r="F259" s="1"/>
  <c r="I258"/>
  <c r="F258"/>
  <c r="E258"/>
  <c r="H258" s="1"/>
  <c r="H257"/>
  <c r="E257"/>
  <c r="I257" s="1"/>
  <c r="E256"/>
  <c r="H256" s="1"/>
  <c r="I255"/>
  <c r="H255"/>
  <c r="F255"/>
  <c r="E255"/>
  <c r="E254"/>
  <c r="H253"/>
  <c r="E253"/>
  <c r="F253" s="1"/>
  <c r="I252"/>
  <c r="F252"/>
  <c r="E252"/>
  <c r="H252" s="1"/>
  <c r="H251"/>
  <c r="E251"/>
  <c r="I251" s="1"/>
  <c r="E250"/>
  <c r="H250" s="1"/>
  <c r="I249"/>
  <c r="H249"/>
  <c r="F249"/>
  <c r="E249"/>
  <c r="E248"/>
  <c r="H247"/>
  <c r="E247"/>
  <c r="F247" s="1"/>
  <c r="I246"/>
  <c r="F246"/>
  <c r="E246"/>
  <c r="H246" s="1"/>
  <c r="H245"/>
  <c r="E245"/>
  <c r="I245" s="1"/>
  <c r="E244"/>
  <c r="H244" s="1"/>
  <c r="I243"/>
  <c r="H243"/>
  <c r="F243"/>
  <c r="E243"/>
  <c r="E242"/>
  <c r="H241"/>
  <c r="E241"/>
  <c r="F241" s="1"/>
  <c r="I240"/>
  <c r="F240"/>
  <c r="E240"/>
  <c r="H240" s="1"/>
  <c r="H239"/>
  <c r="E239"/>
  <c r="I239" s="1"/>
  <c r="E238"/>
  <c r="H238" s="1"/>
  <c r="I237"/>
  <c r="H237"/>
  <c r="F237"/>
  <c r="E237"/>
  <c r="E236"/>
  <c r="H235"/>
  <c r="E235"/>
  <c r="F235" s="1"/>
  <c r="I234"/>
  <c r="F234"/>
  <c r="E234"/>
  <c r="H234" s="1"/>
  <c r="H233"/>
  <c r="E233"/>
  <c r="I233" s="1"/>
  <c r="E232"/>
  <c r="H232" s="1"/>
  <c r="I231"/>
  <c r="H231"/>
  <c r="F231"/>
  <c r="E231"/>
  <c r="E230"/>
  <c r="H229"/>
  <c r="E229"/>
  <c r="F229" s="1"/>
  <c r="I228"/>
  <c r="F228"/>
  <c r="E228"/>
  <c r="H228" s="1"/>
  <c r="H227"/>
  <c r="E227"/>
  <c r="I227" s="1"/>
  <c r="E226"/>
  <c r="H226" s="1"/>
  <c r="I225"/>
  <c r="H225"/>
  <c r="F225"/>
  <c r="E225"/>
  <c r="E224"/>
  <c r="H223"/>
  <c r="E223"/>
  <c r="F223" s="1"/>
  <c r="I222"/>
  <c r="F222"/>
  <c r="E222"/>
  <c r="H222" s="1"/>
  <c r="H221"/>
  <c r="E221"/>
  <c r="I221" s="1"/>
  <c r="E220"/>
  <c r="H220" s="1"/>
  <c r="I219"/>
  <c r="H219"/>
  <c r="F219"/>
  <c r="E219"/>
  <c r="E218"/>
  <c r="H217"/>
  <c r="E217"/>
  <c r="F217" s="1"/>
  <c r="I216"/>
  <c r="F216"/>
  <c r="E216"/>
  <c r="H216" s="1"/>
  <c r="H215"/>
  <c r="E215"/>
  <c r="I215" s="1"/>
  <c r="E214"/>
  <c r="H214" s="1"/>
  <c r="I213"/>
  <c r="H213"/>
  <c r="F213"/>
  <c r="E213"/>
  <c r="E212"/>
  <c r="H211"/>
  <c r="F211"/>
  <c r="E211"/>
  <c r="I211" s="1"/>
  <c r="I210"/>
  <c r="F210"/>
  <c r="E210"/>
  <c r="H210" s="1"/>
  <c r="H209"/>
  <c r="E209"/>
  <c r="I209" s="1"/>
  <c r="E208"/>
  <c r="H208" s="1"/>
  <c r="I207"/>
  <c r="H207"/>
  <c r="F207"/>
  <c r="E207"/>
  <c r="E206"/>
  <c r="H205"/>
  <c r="F205"/>
  <c r="E205"/>
  <c r="I205" s="1"/>
  <c r="I204"/>
  <c r="F204"/>
  <c r="E204"/>
  <c r="H204" s="1"/>
  <c r="H203"/>
  <c r="E203"/>
  <c r="I203" s="1"/>
  <c r="E202"/>
  <c r="H202" s="1"/>
  <c r="I201"/>
  <c r="H201"/>
  <c r="F201"/>
  <c r="E201"/>
  <c r="E200"/>
  <c r="H199"/>
  <c r="F199"/>
  <c r="E199"/>
  <c r="I199" s="1"/>
  <c r="I198"/>
  <c r="F198"/>
  <c r="E198"/>
  <c r="H198" s="1"/>
  <c r="H197"/>
  <c r="E197"/>
  <c r="I197" s="1"/>
  <c r="E196"/>
  <c r="H196" s="1"/>
  <c r="I195"/>
  <c r="H195"/>
  <c r="F195"/>
  <c r="E195"/>
  <c r="E194"/>
  <c r="H193"/>
  <c r="F193"/>
  <c r="E193"/>
  <c r="I193" s="1"/>
  <c r="I192"/>
  <c r="F192"/>
  <c r="E192"/>
  <c r="H192" s="1"/>
  <c r="H191"/>
  <c r="E191"/>
  <c r="I191" s="1"/>
  <c r="E190"/>
  <c r="H190" s="1"/>
  <c r="I189"/>
  <c r="H189"/>
  <c r="F189"/>
  <c r="E189"/>
  <c r="E188"/>
  <c r="H187"/>
  <c r="F187"/>
  <c r="E187"/>
  <c r="I187" s="1"/>
  <c r="I186"/>
  <c r="F186"/>
  <c r="E186"/>
  <c r="H186" s="1"/>
  <c r="E185"/>
  <c r="H185" s="1"/>
  <c r="E184"/>
  <c r="H184" s="1"/>
  <c r="I183"/>
  <c r="H183"/>
  <c r="F183"/>
  <c r="E183"/>
  <c r="E182"/>
  <c r="H181"/>
  <c r="F181"/>
  <c r="E181"/>
  <c r="I181" s="1"/>
  <c r="I180"/>
  <c r="F180"/>
  <c r="E180"/>
  <c r="H180" s="1"/>
  <c r="H179"/>
  <c r="E179"/>
  <c r="E178"/>
  <c r="H178" s="1"/>
  <c r="I177"/>
  <c r="H177"/>
  <c r="F177"/>
  <c r="E177"/>
  <c r="H176"/>
  <c r="E176"/>
  <c r="H175"/>
  <c r="F175"/>
  <c r="E175"/>
  <c r="I175" s="1"/>
  <c r="I174"/>
  <c r="F174"/>
  <c r="E174"/>
  <c r="H174" s="1"/>
  <c r="E173"/>
  <c r="H173" s="1"/>
  <c r="E172"/>
  <c r="H172" s="1"/>
  <c r="I171"/>
  <c r="H171"/>
  <c r="F171"/>
  <c r="E171"/>
  <c r="E170"/>
  <c r="H170" s="1"/>
  <c r="H169"/>
  <c r="F169"/>
  <c r="E169"/>
  <c r="I169" s="1"/>
  <c r="I168"/>
  <c r="F168"/>
  <c r="E168"/>
  <c r="H168" s="1"/>
  <c r="H167"/>
  <c r="E167"/>
  <c r="E166"/>
  <c r="H166" s="1"/>
  <c r="I165"/>
  <c r="H165"/>
  <c r="F165"/>
  <c r="E165"/>
  <c r="H164"/>
  <c r="E164"/>
  <c r="H163"/>
  <c r="F163"/>
  <c r="E163"/>
  <c r="I163" s="1"/>
  <c r="I162"/>
  <c r="F162"/>
  <c r="E162"/>
  <c r="H162" s="1"/>
  <c r="E161"/>
  <c r="E160"/>
  <c r="H160" s="1"/>
  <c r="I159"/>
  <c r="H159"/>
  <c r="F159"/>
  <c r="E159"/>
  <c r="E158"/>
  <c r="H158" s="1"/>
  <c r="H157"/>
  <c r="F157"/>
  <c r="E157"/>
  <c r="I157" s="1"/>
  <c r="I156"/>
  <c r="F156"/>
  <c r="E156"/>
  <c r="H156" s="1"/>
  <c r="H155"/>
  <c r="E155"/>
  <c r="E154"/>
  <c r="H154" s="1"/>
  <c r="I153"/>
  <c r="H153"/>
  <c r="F153"/>
  <c r="E153"/>
  <c r="H152"/>
  <c r="E152"/>
  <c r="H151"/>
  <c r="F151"/>
  <c r="E151"/>
  <c r="I151" s="1"/>
  <c r="I150"/>
  <c r="F150"/>
  <c r="E150"/>
  <c r="H150" s="1"/>
  <c r="E149"/>
  <c r="I149" s="1"/>
  <c r="E148"/>
  <c r="I147"/>
  <c r="H147"/>
  <c r="F147"/>
  <c r="E147"/>
  <c r="I146"/>
  <c r="H146"/>
  <c r="E146"/>
  <c r="F146" s="1"/>
  <c r="H145"/>
  <c r="F145"/>
  <c r="E145"/>
  <c r="I145" s="1"/>
  <c r="I144"/>
  <c r="F144"/>
  <c r="E144"/>
  <c r="H144" s="1"/>
  <c r="H143"/>
  <c r="E143"/>
  <c r="I143" s="1"/>
  <c r="E142"/>
  <c r="I141"/>
  <c r="H141"/>
  <c r="F141"/>
  <c r="E141"/>
  <c r="I140"/>
  <c r="H140"/>
  <c r="E140"/>
  <c r="F140" s="1"/>
  <c r="H139"/>
  <c r="F139"/>
  <c r="E139"/>
  <c r="I139" s="1"/>
  <c r="I138"/>
  <c r="F138"/>
  <c r="E138"/>
  <c r="H138" s="1"/>
  <c r="H137"/>
  <c r="E137"/>
  <c r="I137" s="1"/>
  <c r="E136"/>
  <c r="I135"/>
  <c r="H135"/>
  <c r="F135"/>
  <c r="E135"/>
  <c r="H134"/>
  <c r="E134"/>
  <c r="F134" s="1"/>
  <c r="H133"/>
  <c r="F133"/>
  <c r="E133"/>
  <c r="I133" s="1"/>
  <c r="I132"/>
  <c r="F132"/>
  <c r="E132"/>
  <c r="H132" s="1"/>
  <c r="E131"/>
  <c r="I131" s="1"/>
  <c r="E130"/>
  <c r="I129"/>
  <c r="H129"/>
  <c r="F129"/>
  <c r="E129"/>
  <c r="I128"/>
  <c r="H128"/>
  <c r="E128"/>
  <c r="F128" s="1"/>
  <c r="H127"/>
  <c r="F127"/>
  <c r="E127"/>
  <c r="I127" s="1"/>
  <c r="I126"/>
  <c r="F126"/>
  <c r="E126"/>
  <c r="H126" s="1"/>
  <c r="H125"/>
  <c r="E125"/>
  <c r="I125" s="1"/>
  <c r="E124"/>
  <c r="I123"/>
  <c r="H123"/>
  <c r="F123"/>
  <c r="E123"/>
  <c r="I122"/>
  <c r="H122"/>
  <c r="E122"/>
  <c r="F122" s="1"/>
  <c r="H121"/>
  <c r="F121"/>
  <c r="E121"/>
  <c r="I121" s="1"/>
  <c r="I120"/>
  <c r="F120"/>
  <c r="E120"/>
  <c r="H120" s="1"/>
  <c r="H119"/>
  <c r="E119"/>
  <c r="I119" s="1"/>
  <c r="E118"/>
  <c r="I117"/>
  <c r="H117"/>
  <c r="F117"/>
  <c r="E117"/>
  <c r="H116"/>
  <c r="E116"/>
  <c r="F116" s="1"/>
  <c r="H115"/>
  <c r="F115"/>
  <c r="E115"/>
  <c r="I115" s="1"/>
  <c r="I114"/>
  <c r="F114"/>
  <c r="E114"/>
  <c r="H114" s="1"/>
  <c r="E113"/>
  <c r="I113" s="1"/>
  <c r="E112"/>
  <c r="I111"/>
  <c r="H111"/>
  <c r="F111"/>
  <c r="E111"/>
  <c r="I110"/>
  <c r="H110"/>
  <c r="E110"/>
  <c r="F110" s="1"/>
  <c r="H109"/>
  <c r="F109"/>
  <c r="E109"/>
  <c r="I109" s="1"/>
  <c r="I108"/>
  <c r="F108"/>
  <c r="E108"/>
  <c r="H108" s="1"/>
  <c r="H107"/>
  <c r="E107"/>
  <c r="I107" s="1"/>
  <c r="E106"/>
  <c r="I105"/>
  <c r="H105"/>
  <c r="F105"/>
  <c r="E105"/>
  <c r="I104"/>
  <c r="H104"/>
  <c r="E104"/>
  <c r="F104" s="1"/>
  <c r="H103"/>
  <c r="F103"/>
  <c r="E103"/>
  <c r="I103" s="1"/>
  <c r="I102"/>
  <c r="F102"/>
  <c r="E102"/>
  <c r="H102" s="1"/>
  <c r="H101"/>
  <c r="E101"/>
  <c r="I101" s="1"/>
  <c r="E100"/>
  <c r="I99"/>
  <c r="H99"/>
  <c r="F99"/>
  <c r="E99"/>
  <c r="H98"/>
  <c r="E98"/>
  <c r="F98" s="1"/>
  <c r="H97"/>
  <c r="F97"/>
  <c r="E97"/>
  <c r="I97" s="1"/>
  <c r="I96"/>
  <c r="F96"/>
  <c r="E96"/>
  <c r="H96" s="1"/>
  <c r="E95"/>
  <c r="I95" s="1"/>
  <c r="E94"/>
  <c r="I93"/>
  <c r="H93"/>
  <c r="F93"/>
  <c r="E93"/>
  <c r="I92"/>
  <c r="H92"/>
  <c r="E92"/>
  <c r="F92" s="1"/>
  <c r="H91"/>
  <c r="F91"/>
  <c r="E91"/>
  <c r="I91" s="1"/>
  <c r="I90"/>
  <c r="F90"/>
  <c r="E90"/>
  <c r="H90" s="1"/>
  <c r="H89"/>
  <c r="E89"/>
  <c r="I89" s="1"/>
  <c r="E88"/>
  <c r="I87"/>
  <c r="H87"/>
  <c r="F87"/>
  <c r="E87"/>
  <c r="I86"/>
  <c r="H86"/>
  <c r="E86"/>
  <c r="F86" s="1"/>
  <c r="H85"/>
  <c r="F85"/>
  <c r="E85"/>
  <c r="I85" s="1"/>
  <c r="I84"/>
  <c r="F84"/>
  <c r="E84"/>
  <c r="H84" s="1"/>
  <c r="H83"/>
  <c r="E83"/>
  <c r="I83" s="1"/>
  <c r="E82"/>
  <c r="I81"/>
  <c r="H81"/>
  <c r="F81"/>
  <c r="E81"/>
  <c r="H80"/>
  <c r="E80"/>
  <c r="F80" s="1"/>
  <c r="H79"/>
  <c r="F79"/>
  <c r="E79"/>
  <c r="I79" s="1"/>
  <c r="I78"/>
  <c r="F78"/>
  <c r="E78"/>
  <c r="H78" s="1"/>
  <c r="E77"/>
  <c r="I77" s="1"/>
  <c r="H76"/>
  <c r="E76"/>
  <c r="F76" s="1"/>
  <c r="I75"/>
  <c r="H75"/>
  <c r="F75"/>
  <c r="E75"/>
  <c r="E74"/>
  <c r="H74" s="1"/>
  <c r="E73"/>
  <c r="I73" s="1"/>
  <c r="E72"/>
  <c r="H72" s="1"/>
  <c r="H71"/>
  <c r="E71"/>
  <c r="I71" s="1"/>
  <c r="H70"/>
  <c r="F70"/>
  <c r="E70"/>
  <c r="I70" s="1"/>
  <c r="E69"/>
  <c r="F69" s="1"/>
  <c r="I68"/>
  <c r="H68"/>
  <c r="F68"/>
  <c r="E68"/>
  <c r="I67"/>
  <c r="E67"/>
  <c r="F67" s="1"/>
  <c r="H66"/>
  <c r="F66"/>
  <c r="E66"/>
  <c r="I66" s="1"/>
  <c r="E65"/>
  <c r="H65" s="1"/>
  <c r="H64"/>
  <c r="F64"/>
  <c r="E64"/>
  <c r="I64" s="1"/>
  <c r="E63"/>
  <c r="F63" s="1"/>
  <c r="I62"/>
  <c r="H62"/>
  <c r="F62"/>
  <c r="E62"/>
  <c r="I61"/>
  <c r="E61"/>
  <c r="F61" s="1"/>
  <c r="H60"/>
  <c r="F60"/>
  <c r="E60"/>
  <c r="I60" s="1"/>
  <c r="E59"/>
  <c r="H59" s="1"/>
  <c r="H58"/>
  <c r="F58"/>
  <c r="E58"/>
  <c r="I58" s="1"/>
  <c r="E57"/>
  <c r="F57" s="1"/>
  <c r="I56"/>
  <c r="H56"/>
  <c r="F56"/>
  <c r="E56"/>
  <c r="I55"/>
  <c r="E55"/>
  <c r="F55" s="1"/>
  <c r="H54"/>
  <c r="F54"/>
  <c r="E54"/>
  <c r="I54" s="1"/>
  <c r="E53"/>
  <c r="H53" s="1"/>
  <c r="H52"/>
  <c r="F52"/>
  <c r="E52"/>
  <c r="I52" s="1"/>
  <c r="E51"/>
  <c r="F51" s="1"/>
  <c r="I50"/>
  <c r="H50"/>
  <c r="F50"/>
  <c r="E50"/>
  <c r="I49"/>
  <c r="E49"/>
  <c r="F49" s="1"/>
  <c r="H48"/>
  <c r="F48"/>
  <c r="E48"/>
  <c r="I48" s="1"/>
  <c r="E47"/>
  <c r="H47" s="1"/>
  <c r="H46"/>
  <c r="F46"/>
  <c r="E46"/>
  <c r="I46" s="1"/>
  <c r="E45"/>
  <c r="F45" s="1"/>
  <c r="I44"/>
  <c r="H44"/>
  <c r="F44"/>
  <c r="E44"/>
  <c r="I43"/>
  <c r="E43"/>
  <c r="F43" s="1"/>
  <c r="H42"/>
  <c r="F42"/>
  <c r="E42"/>
  <c r="I42" s="1"/>
  <c r="E41"/>
  <c r="H41" s="1"/>
  <c r="H40"/>
  <c r="F40"/>
  <c r="E40"/>
  <c r="I40" s="1"/>
  <c r="E39"/>
  <c r="F39" s="1"/>
  <c r="I38"/>
  <c r="H38"/>
  <c r="F38"/>
  <c r="E38"/>
  <c r="I37"/>
  <c r="E37"/>
  <c r="F37" s="1"/>
  <c r="H36"/>
  <c r="F36"/>
  <c r="E36"/>
  <c r="I36" s="1"/>
  <c r="E35"/>
  <c r="H35" s="1"/>
  <c r="H34"/>
  <c r="F34"/>
  <c r="E34"/>
  <c r="I34" s="1"/>
  <c r="E33"/>
  <c r="F33" s="1"/>
  <c r="I32"/>
  <c r="H32"/>
  <c r="F32"/>
  <c r="E32"/>
  <c r="I31"/>
  <c r="E31"/>
  <c r="F31" s="1"/>
  <c r="H30"/>
  <c r="F30"/>
  <c r="E30"/>
  <c r="I30" s="1"/>
  <c r="E29"/>
  <c r="H29" s="1"/>
  <c r="H28"/>
  <c r="F28"/>
  <c r="E28"/>
  <c r="I28" s="1"/>
  <c r="E27"/>
  <c r="F27" s="1"/>
  <c r="I26"/>
  <c r="H26"/>
  <c r="F26"/>
  <c r="E26"/>
  <c r="I25"/>
  <c r="E25"/>
  <c r="F25" s="1"/>
  <c r="H24"/>
  <c r="F24"/>
  <c r="E24"/>
  <c r="I24" s="1"/>
  <c r="E23"/>
  <c r="H23" s="1"/>
  <c r="H22"/>
  <c r="F22"/>
  <c r="E22"/>
  <c r="I22" s="1"/>
  <c r="E21"/>
  <c r="F21" s="1"/>
  <c r="I20"/>
  <c r="H20"/>
  <c r="F20"/>
  <c r="E20"/>
  <c r="I19"/>
  <c r="E19"/>
  <c r="F19" s="1"/>
  <c r="H18"/>
  <c r="F18"/>
  <c r="E18"/>
  <c r="I18" s="1"/>
  <c r="E17"/>
  <c r="H17" s="1"/>
  <c r="H16"/>
  <c r="F16"/>
  <c r="E16"/>
  <c r="I16" s="1"/>
  <c r="E15"/>
  <c r="F15" s="1"/>
  <c r="I14"/>
  <c r="H14"/>
  <c r="F14"/>
  <c r="E14"/>
  <c r="I13"/>
  <c r="E13"/>
  <c r="F13" s="1"/>
  <c r="H12"/>
  <c r="F12"/>
  <c r="E12"/>
  <c r="I12" s="1"/>
  <c r="E11"/>
  <c r="H11" s="1"/>
  <c r="H10"/>
  <c r="F10"/>
  <c r="E10"/>
  <c r="I10" s="1"/>
  <c r="E9"/>
  <c r="F9" s="1"/>
  <c r="I8"/>
  <c r="H8"/>
  <c r="F8"/>
  <c r="E8"/>
  <c r="I7"/>
  <c r="E7"/>
  <c r="F7" s="1"/>
  <c r="H6"/>
  <c r="F6"/>
  <c r="E6"/>
  <c r="I6" s="1"/>
  <c r="E5"/>
  <c r="H5" s="1"/>
  <c r="H4"/>
  <c r="F4"/>
  <c r="E4"/>
  <c r="I4" s="1"/>
  <c r="E3"/>
  <c r="F3" s="1"/>
  <c r="G4" i="5"/>
  <c r="E2" i="11"/>
  <c r="F2" s="1"/>
  <c r="G2" s="1"/>
  <c r="E2" i="10"/>
  <c r="F2" s="1"/>
  <c r="G2" s="1"/>
  <c r="E2" i="9"/>
  <c r="F2" s="1"/>
  <c r="G2" s="1"/>
  <c r="E2" i="8"/>
  <c r="F2" s="1"/>
  <c r="G2" s="1"/>
  <c r="H2" i="7"/>
  <c r="G2"/>
  <c r="F2"/>
  <c r="E2"/>
  <c r="I2" s="1"/>
  <c r="E2" i="6"/>
  <c r="H2" s="1"/>
  <c r="E2" i="1"/>
  <c r="F2" s="1"/>
  <c r="G2" s="1"/>
  <c r="F985" i="10" l="1"/>
  <c r="I985"/>
  <c r="I977"/>
  <c r="H977"/>
  <c r="F977"/>
  <c r="F913"/>
  <c r="I913"/>
  <c r="I905"/>
  <c r="H905"/>
  <c r="F905"/>
  <c r="F841"/>
  <c r="I841"/>
  <c r="I833"/>
  <c r="H833"/>
  <c r="F833"/>
  <c r="F769"/>
  <c r="I769"/>
  <c r="I761"/>
  <c r="H761"/>
  <c r="F761"/>
  <c r="F697"/>
  <c r="I697"/>
  <c r="I689"/>
  <c r="H689"/>
  <c r="F689"/>
  <c r="F639"/>
  <c r="I639"/>
  <c r="F625"/>
  <c r="I625"/>
  <c r="I577"/>
  <c r="H577"/>
  <c r="I570"/>
  <c r="H570"/>
  <c r="I560"/>
  <c r="H560"/>
  <c r="F560"/>
  <c r="I523"/>
  <c r="H523"/>
  <c r="F523"/>
  <c r="F519"/>
  <c r="I519"/>
  <c r="I470"/>
  <c r="H470"/>
  <c r="F460"/>
  <c r="I460"/>
  <c r="F429"/>
  <c r="I429"/>
  <c r="H429"/>
  <c r="I398"/>
  <c r="H398"/>
  <c r="I376"/>
  <c r="H376"/>
  <c r="F376"/>
  <c r="F372"/>
  <c r="I372"/>
  <c r="I363"/>
  <c r="H363"/>
  <c r="F363"/>
  <c r="I328"/>
  <c r="H328"/>
  <c r="F328"/>
  <c r="H325"/>
  <c r="I325"/>
  <c r="I281"/>
  <c r="H281"/>
  <c r="I171"/>
  <c r="H171"/>
  <c r="I131"/>
  <c r="H131"/>
  <c r="F131"/>
  <c r="F95"/>
  <c r="I95"/>
  <c r="H95"/>
  <c r="I76"/>
  <c r="H76"/>
  <c r="F76"/>
  <c r="F36"/>
  <c r="I36"/>
  <c r="F12"/>
  <c r="I12"/>
  <c r="F973"/>
  <c r="I973"/>
  <c r="I965"/>
  <c r="H965"/>
  <c r="F965"/>
  <c r="F901"/>
  <c r="I901"/>
  <c r="I893"/>
  <c r="H893"/>
  <c r="F893"/>
  <c r="F829"/>
  <c r="I829"/>
  <c r="I821"/>
  <c r="H821"/>
  <c r="F821"/>
  <c r="F757"/>
  <c r="I757"/>
  <c r="I749"/>
  <c r="H749"/>
  <c r="F749"/>
  <c r="F685"/>
  <c r="I685"/>
  <c r="F603"/>
  <c r="I603"/>
  <c r="F589"/>
  <c r="I589"/>
  <c r="I505"/>
  <c r="H505"/>
  <c r="F505"/>
  <c r="F501"/>
  <c r="I501"/>
  <c r="F489"/>
  <c r="I489"/>
  <c r="H489"/>
  <c r="I458"/>
  <c r="H458"/>
  <c r="F448"/>
  <c r="I448"/>
  <c r="F417"/>
  <c r="I417"/>
  <c r="H417"/>
  <c r="I347"/>
  <c r="H347"/>
  <c r="I335"/>
  <c r="H335"/>
  <c r="I291"/>
  <c r="H291"/>
  <c r="F291"/>
  <c r="I268"/>
  <c r="H268"/>
  <c r="F268"/>
  <c r="H265"/>
  <c r="I265"/>
  <c r="I184"/>
  <c r="H184"/>
  <c r="F184"/>
  <c r="I136"/>
  <c r="H136"/>
  <c r="I129"/>
  <c r="H129"/>
  <c r="I93"/>
  <c r="H93"/>
  <c r="I81"/>
  <c r="H81"/>
  <c r="F81"/>
  <c r="I64"/>
  <c r="H64"/>
  <c r="F64"/>
  <c r="I41"/>
  <c r="H41"/>
  <c r="I17"/>
  <c r="H17"/>
  <c r="F961"/>
  <c r="I961"/>
  <c r="I953"/>
  <c r="H953"/>
  <c r="F953"/>
  <c r="F889"/>
  <c r="I889"/>
  <c r="I881"/>
  <c r="H881"/>
  <c r="F881"/>
  <c r="F817"/>
  <c r="I817"/>
  <c r="I809"/>
  <c r="H809"/>
  <c r="F809"/>
  <c r="F745"/>
  <c r="I745"/>
  <c r="I737"/>
  <c r="H737"/>
  <c r="F737"/>
  <c r="I644"/>
  <c r="H644"/>
  <c r="F567"/>
  <c r="I567"/>
  <c r="F553"/>
  <c r="I553"/>
  <c r="F543"/>
  <c r="I543"/>
  <c r="H543"/>
  <c r="I530"/>
  <c r="H530"/>
  <c r="I512"/>
  <c r="H512"/>
  <c r="F477"/>
  <c r="I477"/>
  <c r="H477"/>
  <c r="I446"/>
  <c r="H446"/>
  <c r="F436"/>
  <c r="I436"/>
  <c r="F405"/>
  <c r="I405"/>
  <c r="H405"/>
  <c r="I381"/>
  <c r="H381"/>
  <c r="F381"/>
  <c r="I358"/>
  <c r="H358"/>
  <c r="F300"/>
  <c r="I300"/>
  <c r="H300"/>
  <c r="I239"/>
  <c r="H239"/>
  <c r="F239"/>
  <c r="I203"/>
  <c r="H203"/>
  <c r="F191"/>
  <c r="I191"/>
  <c r="H191"/>
  <c r="F155"/>
  <c r="I155"/>
  <c r="H155"/>
  <c r="I106"/>
  <c r="H106"/>
  <c r="F106"/>
  <c r="I69"/>
  <c r="H69"/>
  <c r="F69"/>
  <c r="F949"/>
  <c r="I949"/>
  <c r="I941"/>
  <c r="H941"/>
  <c r="F941"/>
  <c r="F877"/>
  <c r="I877"/>
  <c r="I869"/>
  <c r="H869"/>
  <c r="F869"/>
  <c r="F805"/>
  <c r="I805"/>
  <c r="I797"/>
  <c r="H797"/>
  <c r="F797"/>
  <c r="F733"/>
  <c r="I733"/>
  <c r="I725"/>
  <c r="H725"/>
  <c r="F725"/>
  <c r="I678"/>
  <c r="H678"/>
  <c r="I668"/>
  <c r="H668"/>
  <c r="F668"/>
  <c r="I608"/>
  <c r="H608"/>
  <c r="I541"/>
  <c r="H541"/>
  <c r="F465"/>
  <c r="I465"/>
  <c r="H465"/>
  <c r="I434"/>
  <c r="H434"/>
  <c r="F424"/>
  <c r="I424"/>
  <c r="F393"/>
  <c r="I393"/>
  <c r="H393"/>
  <c r="I286"/>
  <c r="H286"/>
  <c r="F275"/>
  <c r="I275"/>
  <c r="H275"/>
  <c r="I237"/>
  <c r="H237"/>
  <c r="I189"/>
  <c r="H189"/>
  <c r="I153"/>
  <c r="H153"/>
  <c r="F113"/>
  <c r="I113"/>
  <c r="H113"/>
  <c r="I57"/>
  <c r="H57"/>
  <c r="F57"/>
  <c r="F48"/>
  <c r="I48"/>
  <c r="F24"/>
  <c r="I24"/>
  <c r="I4"/>
  <c r="H4"/>
  <c r="F4"/>
  <c r="G138" s="1"/>
  <c r="F990"/>
  <c r="H985"/>
  <c r="I980"/>
  <c r="F918"/>
  <c r="H913"/>
  <c r="I908"/>
  <c r="F846"/>
  <c r="H841"/>
  <c r="I836"/>
  <c r="F774"/>
  <c r="H769"/>
  <c r="I764"/>
  <c r="F702"/>
  <c r="H697"/>
  <c r="I692"/>
  <c r="I658"/>
  <c r="H639"/>
  <c r="H625"/>
  <c r="F610"/>
  <c r="H600"/>
  <c r="I597"/>
  <c r="F577"/>
  <c r="F570"/>
  <c r="I557"/>
  <c r="H519"/>
  <c r="F499"/>
  <c r="F470"/>
  <c r="F427"/>
  <c r="F398"/>
  <c r="H372"/>
  <c r="F325"/>
  <c r="F316"/>
  <c r="F281"/>
  <c r="F226"/>
  <c r="I180"/>
  <c r="F171"/>
  <c r="H125"/>
  <c r="H89"/>
  <c r="I60"/>
  <c r="H990"/>
  <c r="F978"/>
  <c r="H973"/>
  <c r="I968"/>
  <c r="H918"/>
  <c r="F906"/>
  <c r="H901"/>
  <c r="I896"/>
  <c r="H846"/>
  <c r="F834"/>
  <c r="H829"/>
  <c r="I824"/>
  <c r="H774"/>
  <c r="F762"/>
  <c r="H757"/>
  <c r="I752"/>
  <c r="H702"/>
  <c r="F690"/>
  <c r="H685"/>
  <c r="I680"/>
  <c r="F656"/>
  <c r="F653"/>
  <c r="I622"/>
  <c r="H610"/>
  <c r="H603"/>
  <c r="H589"/>
  <c r="F574"/>
  <c r="H564"/>
  <c r="I561"/>
  <c r="H501"/>
  <c r="H499"/>
  <c r="F487"/>
  <c r="F458"/>
  <c r="H427"/>
  <c r="F415"/>
  <c r="H377"/>
  <c r="F370"/>
  <c r="F347"/>
  <c r="F335"/>
  <c r="H333"/>
  <c r="F329"/>
  <c r="H316"/>
  <c r="F265"/>
  <c r="H226"/>
  <c r="F201"/>
  <c r="F178"/>
  <c r="F136"/>
  <c r="I132"/>
  <c r="F129"/>
  <c r="I125"/>
  <c r="I102"/>
  <c r="F93"/>
  <c r="I89"/>
  <c r="F77"/>
  <c r="F41"/>
  <c r="F17"/>
  <c r="H978"/>
  <c r="F966"/>
  <c r="H961"/>
  <c r="I956"/>
  <c r="H906"/>
  <c r="F894"/>
  <c r="H889"/>
  <c r="I884"/>
  <c r="H834"/>
  <c r="F822"/>
  <c r="H817"/>
  <c r="I812"/>
  <c r="H762"/>
  <c r="F750"/>
  <c r="H745"/>
  <c r="I740"/>
  <c r="H690"/>
  <c r="H656"/>
  <c r="I653"/>
  <c r="F644"/>
  <c r="F620"/>
  <c r="F617"/>
  <c r="I586"/>
  <c r="H574"/>
  <c r="H567"/>
  <c r="H553"/>
  <c r="F530"/>
  <c r="F512"/>
  <c r="H487"/>
  <c r="F475"/>
  <c r="F446"/>
  <c r="H415"/>
  <c r="F403"/>
  <c r="I377"/>
  <c r="H370"/>
  <c r="F358"/>
  <c r="F355"/>
  <c r="H329"/>
  <c r="F310"/>
  <c r="F298"/>
  <c r="H269"/>
  <c r="F256"/>
  <c r="F203"/>
  <c r="H201"/>
  <c r="H185"/>
  <c r="H178"/>
  <c r="F100"/>
  <c r="H77"/>
  <c r="F65"/>
  <c r="I1001"/>
  <c r="H1001"/>
  <c r="F1001"/>
  <c r="F937"/>
  <c r="I937"/>
  <c r="I929"/>
  <c r="H929"/>
  <c r="F929"/>
  <c r="F865"/>
  <c r="I865"/>
  <c r="I857"/>
  <c r="H857"/>
  <c r="F857"/>
  <c r="F793"/>
  <c r="I793"/>
  <c r="I785"/>
  <c r="H785"/>
  <c r="F785"/>
  <c r="F721"/>
  <c r="I721"/>
  <c r="I713"/>
  <c r="H713"/>
  <c r="F713"/>
  <c r="I649"/>
  <c r="H649"/>
  <c r="I642"/>
  <c r="H642"/>
  <c r="I632"/>
  <c r="H632"/>
  <c r="F632"/>
  <c r="I572"/>
  <c r="H572"/>
  <c r="I494"/>
  <c r="H494"/>
  <c r="F453"/>
  <c r="I453"/>
  <c r="H453"/>
  <c r="I422"/>
  <c r="H422"/>
  <c r="F412"/>
  <c r="I412"/>
  <c r="F342"/>
  <c r="I342"/>
  <c r="H342"/>
  <c r="I323"/>
  <c r="H323"/>
  <c r="F323"/>
  <c r="I244"/>
  <c r="H244"/>
  <c r="F244"/>
  <c r="H241"/>
  <c r="I241"/>
  <c r="F221"/>
  <c r="I221"/>
  <c r="H221"/>
  <c r="I214"/>
  <c r="H214"/>
  <c r="F214"/>
  <c r="I166"/>
  <c r="H166"/>
  <c r="F166"/>
  <c r="I143"/>
  <c r="H143"/>
  <c r="F143"/>
  <c r="I111"/>
  <c r="H111"/>
  <c r="I53"/>
  <c r="H53"/>
  <c r="I29"/>
  <c r="H29"/>
  <c r="I5"/>
  <c r="H5"/>
  <c r="H966"/>
  <c r="H894"/>
  <c r="H822"/>
  <c r="H750"/>
  <c r="H620"/>
  <c r="I617"/>
  <c r="H475"/>
  <c r="H403"/>
  <c r="I355"/>
  <c r="H310"/>
  <c r="H298"/>
  <c r="I269"/>
  <c r="H256"/>
  <c r="I185"/>
  <c r="H100"/>
  <c r="H65"/>
  <c r="F997"/>
  <c r="I997"/>
  <c r="I989"/>
  <c r="H989"/>
  <c r="F989"/>
  <c r="F925"/>
  <c r="I925"/>
  <c r="I917"/>
  <c r="H917"/>
  <c r="F917"/>
  <c r="F853"/>
  <c r="I853"/>
  <c r="I845"/>
  <c r="H845"/>
  <c r="F845"/>
  <c r="F781"/>
  <c r="I781"/>
  <c r="I773"/>
  <c r="H773"/>
  <c r="F773"/>
  <c r="F709"/>
  <c r="I709"/>
  <c r="I701"/>
  <c r="H701"/>
  <c r="F701"/>
  <c r="F675"/>
  <c r="I675"/>
  <c r="F661"/>
  <c r="I661"/>
  <c r="I613"/>
  <c r="H613"/>
  <c r="I606"/>
  <c r="H606"/>
  <c r="I596"/>
  <c r="H596"/>
  <c r="F596"/>
  <c r="I536"/>
  <c r="H536"/>
  <c r="I482"/>
  <c r="H482"/>
  <c r="F472"/>
  <c r="I472"/>
  <c r="F441"/>
  <c r="I441"/>
  <c r="H441"/>
  <c r="I410"/>
  <c r="H410"/>
  <c r="F400"/>
  <c r="I400"/>
  <c r="I353"/>
  <c r="H353"/>
  <c r="I321"/>
  <c r="H321"/>
  <c r="I305"/>
  <c r="H305"/>
  <c r="I251"/>
  <c r="H251"/>
  <c r="I219"/>
  <c r="H219"/>
  <c r="F173"/>
  <c r="I173"/>
  <c r="H173"/>
  <c r="I148"/>
  <c r="H148"/>
  <c r="I141"/>
  <c r="H141"/>
  <c r="I124"/>
  <c r="H124"/>
  <c r="F124"/>
  <c r="I88"/>
  <c r="H88"/>
  <c r="F88"/>
  <c r="F942"/>
  <c r="H937"/>
  <c r="I932"/>
  <c r="F870"/>
  <c r="H865"/>
  <c r="I860"/>
  <c r="F798"/>
  <c r="H793"/>
  <c r="I788"/>
  <c r="F726"/>
  <c r="H721"/>
  <c r="I716"/>
  <c r="H672"/>
  <c r="I669"/>
  <c r="F649"/>
  <c r="F642"/>
  <c r="I629"/>
  <c r="F572"/>
  <c r="F548"/>
  <c r="F494"/>
  <c r="F451"/>
  <c r="F422"/>
  <c r="F388"/>
  <c r="F340"/>
  <c r="F241"/>
  <c r="F232"/>
  <c r="F196"/>
  <c r="F160"/>
  <c r="I120"/>
  <c r="F111"/>
  <c r="I84"/>
  <c r="F53"/>
  <c r="F29"/>
  <c r="F5"/>
  <c r="F52"/>
  <c r="F45"/>
  <c r="F40"/>
  <c r="F33"/>
  <c r="F28"/>
  <c r="F21"/>
  <c r="F16"/>
  <c r="F9"/>
  <c r="H52"/>
  <c r="H45"/>
  <c r="H40"/>
  <c r="H33"/>
  <c r="H28"/>
  <c r="H21"/>
  <c r="H16"/>
  <c r="H9"/>
  <c r="I998"/>
  <c r="H991"/>
  <c r="I986"/>
  <c r="H979"/>
  <c r="I974"/>
  <c r="H967"/>
  <c r="I962"/>
  <c r="H955"/>
  <c r="I950"/>
  <c r="H943"/>
  <c r="I938"/>
  <c r="H931"/>
  <c r="I926"/>
  <c r="H919"/>
  <c r="I914"/>
  <c r="H907"/>
  <c r="I902"/>
  <c r="H895"/>
  <c r="I890"/>
  <c r="H883"/>
  <c r="I878"/>
  <c r="H871"/>
  <c r="I866"/>
  <c r="H859"/>
  <c r="I854"/>
  <c r="H847"/>
  <c r="I842"/>
  <c r="H835"/>
  <c r="I830"/>
  <c r="H823"/>
  <c r="I818"/>
  <c r="H811"/>
  <c r="I806"/>
  <c r="H799"/>
  <c r="I794"/>
  <c r="H787"/>
  <c r="I782"/>
  <c r="H775"/>
  <c r="I770"/>
  <c r="H763"/>
  <c r="I758"/>
  <c r="H751"/>
  <c r="I746"/>
  <c r="H739"/>
  <c r="I734"/>
  <c r="H727"/>
  <c r="I722"/>
  <c r="H715"/>
  <c r="I710"/>
  <c r="H703"/>
  <c r="I698"/>
  <c r="H691"/>
  <c r="I686"/>
  <c r="H679"/>
  <c r="I676"/>
  <c r="F660"/>
  <c r="H657"/>
  <c r="I647"/>
  <c r="H643"/>
  <c r="I640"/>
  <c r="F624"/>
  <c r="H621"/>
  <c r="I611"/>
  <c r="H607"/>
  <c r="I604"/>
  <c r="F588"/>
  <c r="H585"/>
  <c r="I575"/>
  <c r="H571"/>
  <c r="I568"/>
  <c r="F552"/>
  <c r="H549"/>
  <c r="F529"/>
  <c r="F511"/>
  <c r="F379"/>
  <c r="H371"/>
  <c r="H369"/>
  <c r="F361"/>
  <c r="F357"/>
  <c r="H297"/>
  <c r="F289"/>
  <c r="F285"/>
  <c r="H257"/>
  <c r="H227"/>
  <c r="H209"/>
  <c r="H179"/>
  <c r="H161"/>
  <c r="F147"/>
  <c r="F135"/>
  <c r="H119"/>
  <c r="H101"/>
  <c r="I78"/>
  <c r="I66"/>
  <c r="I54"/>
  <c r="I42"/>
  <c r="I30"/>
  <c r="I18"/>
  <c r="I6"/>
  <c r="F3"/>
  <c r="I828" i="9"/>
  <c r="H828"/>
  <c r="H711"/>
  <c r="I711"/>
  <c r="I690"/>
  <c r="H690"/>
  <c r="I684"/>
  <c r="F684"/>
  <c r="F680"/>
  <c r="I680"/>
  <c r="F674"/>
  <c r="H674"/>
  <c r="I637"/>
  <c r="H637"/>
  <c r="F607"/>
  <c r="H607"/>
  <c r="F589"/>
  <c r="I589"/>
  <c r="I576"/>
  <c r="H576"/>
  <c r="F571"/>
  <c r="I571"/>
  <c r="H571"/>
  <c r="I558"/>
  <c r="H558"/>
  <c r="F529"/>
  <c r="I529"/>
  <c r="H529"/>
  <c r="F523"/>
  <c r="H523"/>
  <c r="I510"/>
  <c r="H510"/>
  <c r="H459"/>
  <c r="F459"/>
  <c r="H438"/>
  <c r="F438"/>
  <c r="H413"/>
  <c r="F413"/>
  <c r="H399"/>
  <c r="F399"/>
  <c r="H393"/>
  <c r="F393"/>
  <c r="F360"/>
  <c r="H360"/>
  <c r="I351"/>
  <c r="H351"/>
  <c r="I347"/>
  <c r="H347"/>
  <c r="F347"/>
  <c r="I337"/>
  <c r="H337"/>
  <c r="F264"/>
  <c r="I264"/>
  <c r="H264"/>
  <c r="H232"/>
  <c r="F232"/>
  <c r="H221"/>
  <c r="F221"/>
  <c r="I213"/>
  <c r="F213"/>
  <c r="H196"/>
  <c r="I196"/>
  <c r="F196"/>
  <c r="F192"/>
  <c r="H192"/>
  <c r="I189"/>
  <c r="H189"/>
  <c r="H160"/>
  <c r="I160"/>
  <c r="F160"/>
  <c r="F156"/>
  <c r="H156"/>
  <c r="I153"/>
  <c r="H153"/>
  <c r="H142"/>
  <c r="I142"/>
  <c r="F142"/>
  <c r="H124"/>
  <c r="I124"/>
  <c r="F124"/>
  <c r="I107"/>
  <c r="H107"/>
  <c r="I73"/>
  <c r="H73"/>
  <c r="I69"/>
  <c r="F69"/>
  <c r="I43"/>
  <c r="H43"/>
  <c r="F43"/>
  <c r="I39"/>
  <c r="H39"/>
  <c r="F39"/>
  <c r="I31"/>
  <c r="H31"/>
  <c r="F31"/>
  <c r="I19"/>
  <c r="H19"/>
  <c r="F991"/>
  <c r="H991"/>
  <c r="F974"/>
  <c r="I974"/>
  <c r="F955"/>
  <c r="H955"/>
  <c r="F938"/>
  <c r="I938"/>
  <c r="F878"/>
  <c r="I878"/>
  <c r="F824"/>
  <c r="H824"/>
  <c r="F800"/>
  <c r="I800"/>
  <c r="H693"/>
  <c r="I693"/>
  <c r="I672"/>
  <c r="H672"/>
  <c r="I666"/>
  <c r="F666"/>
  <c r="F662"/>
  <c r="I662"/>
  <c r="F656"/>
  <c r="H656"/>
  <c r="H621"/>
  <c r="I621"/>
  <c r="H614"/>
  <c r="F614"/>
  <c r="H603"/>
  <c r="I603"/>
  <c r="F603"/>
  <c r="I546"/>
  <c r="H546"/>
  <c r="F481"/>
  <c r="I481"/>
  <c r="H481"/>
  <c r="F475"/>
  <c r="H475"/>
  <c r="H441"/>
  <c r="F441"/>
  <c r="F409"/>
  <c r="I409"/>
  <c r="I375"/>
  <c r="H375"/>
  <c r="I371"/>
  <c r="H371"/>
  <c r="F371"/>
  <c r="H334"/>
  <c r="I334"/>
  <c r="H325"/>
  <c r="F325"/>
  <c r="I297"/>
  <c r="H297"/>
  <c r="I293"/>
  <c r="H293"/>
  <c r="F293"/>
  <c r="I283"/>
  <c r="H283"/>
  <c r="I227"/>
  <c r="F227"/>
  <c r="F216"/>
  <c r="I216"/>
  <c r="F204"/>
  <c r="I204"/>
  <c r="H178"/>
  <c r="I178"/>
  <c r="F178"/>
  <c r="F168"/>
  <c r="I168"/>
  <c r="F132"/>
  <c r="I132"/>
  <c r="I117"/>
  <c r="H117"/>
  <c r="H112"/>
  <c r="I112"/>
  <c r="H94"/>
  <c r="I94"/>
  <c r="F94"/>
  <c r="F6"/>
  <c r="I6"/>
  <c r="I996"/>
  <c r="F989"/>
  <c r="H985"/>
  <c r="I960"/>
  <c r="F953"/>
  <c r="H949"/>
  <c r="H913"/>
  <c r="H911"/>
  <c r="I908"/>
  <c r="F900"/>
  <c r="F895"/>
  <c r="F883"/>
  <c r="F880"/>
  <c r="F876"/>
  <c r="I872"/>
  <c r="H842"/>
  <c r="F828"/>
  <c r="I793"/>
  <c r="I765"/>
  <c r="F751"/>
  <c r="H745"/>
  <c r="I739"/>
  <c r="F727"/>
  <c r="H721"/>
  <c r="I717"/>
  <c r="F690"/>
  <c r="H684"/>
  <c r="H680"/>
  <c r="I674"/>
  <c r="F637"/>
  <c r="H631"/>
  <c r="I611"/>
  <c r="I607"/>
  <c r="H589"/>
  <c r="F576"/>
  <c r="F558"/>
  <c r="I523"/>
  <c r="F510"/>
  <c r="I438"/>
  <c r="F435"/>
  <c r="I413"/>
  <c r="H407"/>
  <c r="I360"/>
  <c r="F337"/>
  <c r="F322"/>
  <c r="H319"/>
  <c r="H261"/>
  <c r="I232"/>
  <c r="I221"/>
  <c r="H213"/>
  <c r="I192"/>
  <c r="F189"/>
  <c r="I156"/>
  <c r="F153"/>
  <c r="F107"/>
  <c r="F73"/>
  <c r="F19"/>
  <c r="H675"/>
  <c r="I675"/>
  <c r="I654"/>
  <c r="H654"/>
  <c r="I648"/>
  <c r="F648"/>
  <c r="F644"/>
  <c r="I644"/>
  <c r="F638"/>
  <c r="H638"/>
  <c r="I569"/>
  <c r="F569"/>
  <c r="F517"/>
  <c r="I517"/>
  <c r="H517"/>
  <c r="F511"/>
  <c r="H511"/>
  <c r="I498"/>
  <c r="H498"/>
  <c r="F469"/>
  <c r="I469"/>
  <c r="H469"/>
  <c r="H461"/>
  <c r="F461"/>
  <c r="H423"/>
  <c r="F423"/>
  <c r="H417"/>
  <c r="F417"/>
  <c r="H401"/>
  <c r="F401"/>
  <c r="H361"/>
  <c r="F361"/>
  <c r="I357"/>
  <c r="H357"/>
  <c r="F357"/>
  <c r="I341"/>
  <c r="F341"/>
  <c r="I335"/>
  <c r="H335"/>
  <c r="H313"/>
  <c r="F313"/>
  <c r="H280"/>
  <c r="I280"/>
  <c r="H271"/>
  <c r="F271"/>
  <c r="F240"/>
  <c r="I240"/>
  <c r="H240"/>
  <c r="I233"/>
  <c r="H233"/>
  <c r="F233"/>
  <c r="H193"/>
  <c r="F193"/>
  <c r="H157"/>
  <c r="F157"/>
  <c r="I137"/>
  <c r="H137"/>
  <c r="I91"/>
  <c r="H91"/>
  <c r="I87"/>
  <c r="H87"/>
  <c r="I71"/>
  <c r="H71"/>
  <c r="H28"/>
  <c r="I28"/>
  <c r="I721"/>
  <c r="I631"/>
  <c r="I407"/>
  <c r="I319"/>
  <c r="H6"/>
  <c r="F806"/>
  <c r="I806"/>
  <c r="F986"/>
  <c r="I986"/>
  <c r="F967"/>
  <c r="H967"/>
  <c r="F950"/>
  <c r="I950"/>
  <c r="F931"/>
  <c r="H931"/>
  <c r="H904"/>
  <c r="F904"/>
  <c r="H874"/>
  <c r="F874"/>
  <c r="I852"/>
  <c r="F852"/>
  <c r="I792"/>
  <c r="H792"/>
  <c r="F752"/>
  <c r="H752"/>
  <c r="I738"/>
  <c r="F738"/>
  <c r="F734"/>
  <c r="I734"/>
  <c r="F728"/>
  <c r="H728"/>
  <c r="H657"/>
  <c r="I657"/>
  <c r="I619"/>
  <c r="H619"/>
  <c r="H600"/>
  <c r="F600"/>
  <c r="F553"/>
  <c r="I553"/>
  <c r="H553"/>
  <c r="F547"/>
  <c r="H547"/>
  <c r="I534"/>
  <c r="H534"/>
  <c r="F505"/>
  <c r="I505"/>
  <c r="H505"/>
  <c r="I486"/>
  <c r="H486"/>
  <c r="F451"/>
  <c r="I451"/>
  <c r="H451"/>
  <c r="H443"/>
  <c r="F443"/>
  <c r="F397"/>
  <c r="I397"/>
  <c r="I381"/>
  <c r="H381"/>
  <c r="F381"/>
  <c r="H358"/>
  <c r="F358"/>
  <c r="I317"/>
  <c r="F317"/>
  <c r="H310"/>
  <c r="I310"/>
  <c r="I303"/>
  <c r="H303"/>
  <c r="F303"/>
  <c r="I287"/>
  <c r="F287"/>
  <c r="I281"/>
  <c r="H281"/>
  <c r="H259"/>
  <c r="F259"/>
  <c r="F246"/>
  <c r="I246"/>
  <c r="F234"/>
  <c r="H234"/>
  <c r="H187"/>
  <c r="F187"/>
  <c r="H151"/>
  <c r="F151"/>
  <c r="I121"/>
  <c r="H121"/>
  <c r="F121"/>
  <c r="I109"/>
  <c r="H109"/>
  <c r="F60"/>
  <c r="H60"/>
  <c r="I41"/>
  <c r="H41"/>
  <c r="F41"/>
  <c r="H34"/>
  <c r="I34"/>
  <c r="F34"/>
  <c r="H997"/>
  <c r="F965"/>
  <c r="H961"/>
  <c r="F929"/>
  <c r="H907"/>
  <c r="F871"/>
  <c r="F829"/>
  <c r="H806"/>
  <c r="F691"/>
  <c r="H685"/>
  <c r="I681"/>
  <c r="F654"/>
  <c r="H648"/>
  <c r="H644"/>
  <c r="I638"/>
  <c r="H563"/>
  <c r="I511"/>
  <c r="F498"/>
  <c r="I461"/>
  <c r="I401"/>
  <c r="H395"/>
  <c r="I376"/>
  <c r="I361"/>
  <c r="H341"/>
  <c r="F335"/>
  <c r="I313"/>
  <c r="I298"/>
  <c r="I271"/>
  <c r="I265"/>
  <c r="I197"/>
  <c r="I193"/>
  <c r="H179"/>
  <c r="I161"/>
  <c r="I157"/>
  <c r="F137"/>
  <c r="F91"/>
  <c r="F71"/>
  <c r="F45"/>
  <c r="F28"/>
  <c r="I816"/>
  <c r="F816"/>
  <c r="F794"/>
  <c r="H794"/>
  <c r="F758"/>
  <c r="I758"/>
  <c r="F926"/>
  <c r="I926"/>
  <c r="H894"/>
  <c r="I894"/>
  <c r="F788"/>
  <c r="H788"/>
  <c r="F764"/>
  <c r="I764"/>
  <c r="I750"/>
  <c r="H750"/>
  <c r="I744"/>
  <c r="F744"/>
  <c r="I726"/>
  <c r="H726"/>
  <c r="I720"/>
  <c r="F720"/>
  <c r="F716"/>
  <c r="I716"/>
  <c r="F710"/>
  <c r="H710"/>
  <c r="H639"/>
  <c r="I639"/>
  <c r="I606"/>
  <c r="H606"/>
  <c r="I574"/>
  <c r="H574"/>
  <c r="F574"/>
  <c r="H566"/>
  <c r="F566"/>
  <c r="F541"/>
  <c r="I541"/>
  <c r="H541"/>
  <c r="I522"/>
  <c r="H522"/>
  <c r="F499"/>
  <c r="H499"/>
  <c r="F433"/>
  <c r="I433"/>
  <c r="H433"/>
  <c r="H425"/>
  <c r="F425"/>
  <c r="H411"/>
  <c r="F411"/>
  <c r="H405"/>
  <c r="F405"/>
  <c r="H389"/>
  <c r="F389"/>
  <c r="H382"/>
  <c r="F382"/>
  <c r="I359"/>
  <c r="H359"/>
  <c r="H346"/>
  <c r="F346"/>
  <c r="F342"/>
  <c r="I342"/>
  <c r="H304"/>
  <c r="F304"/>
  <c r="I263"/>
  <c r="F263"/>
  <c r="H256"/>
  <c r="I256"/>
  <c r="I235"/>
  <c r="H235"/>
  <c r="I209"/>
  <c r="H209"/>
  <c r="I191"/>
  <c r="H191"/>
  <c r="I173"/>
  <c r="H173"/>
  <c r="I155"/>
  <c r="H155"/>
  <c r="I119"/>
  <c r="H119"/>
  <c r="I105"/>
  <c r="F105"/>
  <c r="I89"/>
  <c r="H89"/>
  <c r="I11"/>
  <c r="H11"/>
  <c r="F11"/>
  <c r="H4"/>
  <c r="I4"/>
  <c r="I997"/>
  <c r="I992"/>
  <c r="F984"/>
  <c r="I967"/>
  <c r="H965"/>
  <c r="I961"/>
  <c r="I956"/>
  <c r="F948"/>
  <c r="I931"/>
  <c r="H929"/>
  <c r="I907"/>
  <c r="I904"/>
  <c r="F898"/>
  <c r="H884"/>
  <c r="H879"/>
  <c r="I874"/>
  <c r="H871"/>
  <c r="H852"/>
  <c r="F841"/>
  <c r="I829"/>
  <c r="F792"/>
  <c r="I752"/>
  <c r="H738"/>
  <c r="H734"/>
  <c r="I728"/>
  <c r="I691"/>
  <c r="I685"/>
  <c r="F673"/>
  <c r="H667"/>
  <c r="I663"/>
  <c r="F619"/>
  <c r="I600"/>
  <c r="H594"/>
  <c r="I563"/>
  <c r="I547"/>
  <c r="F534"/>
  <c r="F486"/>
  <c r="I443"/>
  <c r="H397"/>
  <c r="I395"/>
  <c r="H317"/>
  <c r="F310"/>
  <c r="I179"/>
  <c r="I822"/>
  <c r="H822"/>
  <c r="I810"/>
  <c r="F810"/>
  <c r="F979"/>
  <c r="H979"/>
  <c r="F962"/>
  <c r="I962"/>
  <c r="F943"/>
  <c r="H943"/>
  <c r="F866"/>
  <c r="H866"/>
  <c r="I864"/>
  <c r="H864"/>
  <c r="F836"/>
  <c r="I836"/>
  <c r="F830"/>
  <c r="H830"/>
  <c r="I786"/>
  <c r="H786"/>
  <c r="I780"/>
  <c r="F780"/>
  <c r="I774"/>
  <c r="F774"/>
  <c r="F770"/>
  <c r="I770"/>
  <c r="H753"/>
  <c r="I753"/>
  <c r="H729"/>
  <c r="I729"/>
  <c r="I708"/>
  <c r="H708"/>
  <c r="I702"/>
  <c r="F702"/>
  <c r="F698"/>
  <c r="I698"/>
  <c r="F692"/>
  <c r="H692"/>
  <c r="I630"/>
  <c r="H630"/>
  <c r="F630"/>
  <c r="F626"/>
  <c r="I626"/>
  <c r="F620"/>
  <c r="H620"/>
  <c r="H575"/>
  <c r="I575"/>
  <c r="F535"/>
  <c r="H535"/>
  <c r="F493"/>
  <c r="I493"/>
  <c r="H493"/>
  <c r="F487"/>
  <c r="H487"/>
  <c r="I474"/>
  <c r="H474"/>
  <c r="H456"/>
  <c r="F456"/>
  <c r="F421"/>
  <c r="I421"/>
  <c r="I383"/>
  <c r="H383"/>
  <c r="H370"/>
  <c r="F370"/>
  <c r="F366"/>
  <c r="I366"/>
  <c r="F318"/>
  <c r="I318"/>
  <c r="H318"/>
  <c r="I305"/>
  <c r="H305"/>
  <c r="H292"/>
  <c r="F292"/>
  <c r="F288"/>
  <c r="I288"/>
  <c r="I177"/>
  <c r="F177"/>
  <c r="I115"/>
  <c r="H115"/>
  <c r="F115"/>
  <c r="H76"/>
  <c r="I76"/>
  <c r="F76"/>
  <c r="H58"/>
  <c r="I58"/>
  <c r="H52"/>
  <c r="I52"/>
  <c r="F52"/>
  <c r="F136"/>
  <c r="F133"/>
  <c r="F127"/>
  <c r="F118"/>
  <c r="F113"/>
  <c r="H108"/>
  <c r="F106"/>
  <c r="H99"/>
  <c r="F88"/>
  <c r="F81"/>
  <c r="F70"/>
  <c r="F61"/>
  <c r="F59"/>
  <c r="H48"/>
  <c r="F29"/>
  <c r="F7"/>
  <c r="F5"/>
  <c r="G9" s="1"/>
  <c r="F3"/>
  <c r="H636"/>
  <c r="H618"/>
  <c r="H610"/>
  <c r="I585"/>
  <c r="I567"/>
  <c r="I463"/>
  <c r="I445"/>
  <c r="I427"/>
  <c r="I415"/>
  <c r="I403"/>
  <c r="I391"/>
  <c r="I336"/>
  <c r="H321"/>
  <c r="H311"/>
  <c r="I282"/>
  <c r="H267"/>
  <c r="H257"/>
  <c r="H243"/>
  <c r="I208"/>
  <c r="I190"/>
  <c r="I172"/>
  <c r="I154"/>
  <c r="I136"/>
  <c r="I118"/>
  <c r="H113"/>
  <c r="I108"/>
  <c r="I106"/>
  <c r="I88"/>
  <c r="I70"/>
  <c r="F57"/>
  <c r="F51"/>
  <c r="H42"/>
  <c r="F40"/>
  <c r="F35"/>
  <c r="H29"/>
  <c r="F27"/>
  <c r="F10"/>
  <c r="H5"/>
  <c r="H3"/>
  <c r="I995" i="8"/>
  <c r="F973"/>
  <c r="H967"/>
  <c r="I964"/>
  <c r="F952"/>
  <c r="H947"/>
  <c r="H937"/>
  <c r="H935"/>
  <c r="I932"/>
  <c r="F923"/>
  <c r="F910"/>
  <c r="H905"/>
  <c r="I898"/>
  <c r="F880"/>
  <c r="I869"/>
  <c r="I851"/>
  <c r="F841"/>
  <c r="I836"/>
  <c r="I829"/>
  <c r="H803"/>
  <c r="H793"/>
  <c r="I790"/>
  <c r="F754"/>
  <c r="I743"/>
  <c r="I739"/>
  <c r="H737"/>
  <c r="H726"/>
  <c r="F723"/>
  <c r="I714"/>
  <c r="I709"/>
  <c r="F705"/>
  <c r="F702"/>
  <c r="F699"/>
  <c r="H678"/>
  <c r="F671"/>
  <c r="I667"/>
  <c r="F660"/>
  <c r="I649"/>
  <c r="I645"/>
  <c r="H637"/>
  <c r="F630"/>
  <c r="F627"/>
  <c r="F625"/>
  <c r="H613"/>
  <c r="H607"/>
  <c r="F603"/>
  <c r="H600"/>
  <c r="F595"/>
  <c r="F585"/>
  <c r="H564"/>
  <c r="F557"/>
  <c r="I553"/>
  <c r="I546"/>
  <c r="I541"/>
  <c r="H534"/>
  <c r="I531"/>
  <c r="H529"/>
  <c r="H518"/>
  <c r="F515"/>
  <c r="H511"/>
  <c r="I487"/>
  <c r="H481"/>
  <c r="F474"/>
  <c r="F462"/>
  <c r="I447"/>
  <c r="I439"/>
  <c r="I435"/>
  <c r="I427"/>
  <c r="I423"/>
  <c r="I420"/>
  <c r="H414"/>
  <c r="I408"/>
  <c r="I397"/>
  <c r="I393"/>
  <c r="H391"/>
  <c r="I387"/>
  <c r="F370"/>
  <c r="I358"/>
  <c r="H347"/>
  <c r="H345"/>
  <c r="I341"/>
  <c r="F322"/>
  <c r="F317"/>
  <c r="F304"/>
  <c r="F293"/>
  <c r="H281"/>
  <c r="F275"/>
  <c r="I259"/>
  <c r="F250"/>
  <c r="H243"/>
  <c r="F241"/>
  <c r="H232"/>
  <c r="I228"/>
  <c r="I221"/>
  <c r="I215"/>
  <c r="I211"/>
  <c r="F208"/>
  <c r="H204"/>
  <c r="F202"/>
  <c r="I198"/>
  <c r="I191"/>
  <c r="I185"/>
  <c r="I179"/>
  <c r="I174"/>
  <c r="I155"/>
  <c r="I145"/>
  <c r="H143"/>
  <c r="H136"/>
  <c r="I130"/>
  <c r="I126"/>
  <c r="I119"/>
  <c r="I113"/>
  <c r="I103"/>
  <c r="H101"/>
  <c r="F82"/>
  <c r="I66"/>
  <c r="I61"/>
  <c r="I59"/>
  <c r="F52"/>
  <c r="F43"/>
  <c r="H41"/>
  <c r="H36"/>
  <c r="I34"/>
  <c r="I30"/>
  <c r="I13"/>
  <c r="H10"/>
  <c r="I1000"/>
  <c r="F988"/>
  <c r="H973"/>
  <c r="H913"/>
  <c r="H883"/>
  <c r="I880"/>
  <c r="F856"/>
  <c r="I848"/>
  <c r="I844"/>
  <c r="H841"/>
  <c r="F833"/>
  <c r="F820"/>
  <c r="F814"/>
  <c r="I787"/>
  <c r="I737"/>
  <c r="H702"/>
  <c r="I699"/>
  <c r="H660"/>
  <c r="H630"/>
  <c r="I627"/>
  <c r="H625"/>
  <c r="I600"/>
  <c r="H593"/>
  <c r="I529"/>
  <c r="I518"/>
  <c r="H515"/>
  <c r="F465"/>
  <c r="H462"/>
  <c r="I391"/>
  <c r="H376"/>
  <c r="H322"/>
  <c r="H311"/>
  <c r="H304"/>
  <c r="H293"/>
  <c r="F291"/>
  <c r="H286"/>
  <c r="H275"/>
  <c r="H262"/>
  <c r="I241"/>
  <c r="H208"/>
  <c r="I204"/>
  <c r="H202"/>
  <c r="I143"/>
  <c r="I101"/>
  <c r="H82"/>
  <c r="H52"/>
  <c r="I43"/>
  <c r="I41"/>
  <c r="I36"/>
  <c r="H527" i="10"/>
  <c r="I527"/>
  <c r="I516"/>
  <c r="H516"/>
  <c r="F502"/>
  <c r="H502"/>
  <c r="I450"/>
  <c r="H450"/>
  <c r="F450"/>
  <c r="I432"/>
  <c r="H432"/>
  <c r="F432"/>
  <c r="I540"/>
  <c r="H540"/>
  <c r="H533"/>
  <c r="I533"/>
  <c r="I522"/>
  <c r="H522"/>
  <c r="F508"/>
  <c r="H508"/>
  <c r="H497"/>
  <c r="I497"/>
  <c r="I492"/>
  <c r="H492"/>
  <c r="F484"/>
  <c r="H484"/>
  <c r="H479"/>
  <c r="I479"/>
  <c r="H473"/>
  <c r="F473"/>
  <c r="I473"/>
  <c r="H467"/>
  <c r="F467"/>
  <c r="I467"/>
  <c r="H461"/>
  <c r="F461"/>
  <c r="I461"/>
  <c r="F1000"/>
  <c r="F994"/>
  <c r="F988"/>
  <c r="F982"/>
  <c r="F976"/>
  <c r="F970"/>
  <c r="F964"/>
  <c r="F958"/>
  <c r="F952"/>
  <c r="F946"/>
  <c r="F940"/>
  <c r="F934"/>
  <c r="F928"/>
  <c r="F922"/>
  <c r="F916"/>
  <c r="F910"/>
  <c r="F904"/>
  <c r="F898"/>
  <c r="F892"/>
  <c r="F886"/>
  <c r="F880"/>
  <c r="F874"/>
  <c r="F868"/>
  <c r="F862"/>
  <c r="F856"/>
  <c r="F850"/>
  <c r="F844"/>
  <c r="F838"/>
  <c r="F832"/>
  <c r="F826"/>
  <c r="F820"/>
  <c r="F814"/>
  <c r="F808"/>
  <c r="F802"/>
  <c r="F796"/>
  <c r="F790"/>
  <c r="F784"/>
  <c r="F778"/>
  <c r="F772"/>
  <c r="F766"/>
  <c r="F760"/>
  <c r="F754"/>
  <c r="F748"/>
  <c r="F742"/>
  <c r="F736"/>
  <c r="F730"/>
  <c r="F724"/>
  <c r="F718"/>
  <c r="F712"/>
  <c r="F706"/>
  <c r="F700"/>
  <c r="F694"/>
  <c r="F688"/>
  <c r="F682"/>
  <c r="F535"/>
  <c r="F527"/>
  <c r="F516"/>
  <c r="I502"/>
  <c r="I528"/>
  <c r="H528"/>
  <c r="F514"/>
  <c r="H514"/>
  <c r="H503"/>
  <c r="I503"/>
  <c r="I474"/>
  <c r="H474"/>
  <c r="I468"/>
  <c r="H468"/>
  <c r="I462"/>
  <c r="H462"/>
  <c r="I444"/>
  <c r="H444"/>
  <c r="F444"/>
  <c r="I426"/>
  <c r="H426"/>
  <c r="F426"/>
  <c r="F999"/>
  <c r="F993"/>
  <c r="F987"/>
  <c r="F981"/>
  <c r="F975"/>
  <c r="F969"/>
  <c r="F963"/>
  <c r="F957"/>
  <c r="F951"/>
  <c r="F945"/>
  <c r="F939"/>
  <c r="F933"/>
  <c r="F927"/>
  <c r="F921"/>
  <c r="F915"/>
  <c r="F909"/>
  <c r="F903"/>
  <c r="F897"/>
  <c r="F891"/>
  <c r="F885"/>
  <c r="F879"/>
  <c r="F873"/>
  <c r="F867"/>
  <c r="F861"/>
  <c r="F855"/>
  <c r="F849"/>
  <c r="F843"/>
  <c r="F837"/>
  <c r="F831"/>
  <c r="F825"/>
  <c r="F819"/>
  <c r="F813"/>
  <c r="F807"/>
  <c r="F801"/>
  <c r="F795"/>
  <c r="F789"/>
  <c r="F783"/>
  <c r="F777"/>
  <c r="F771"/>
  <c r="F765"/>
  <c r="F759"/>
  <c r="F753"/>
  <c r="F747"/>
  <c r="F741"/>
  <c r="F735"/>
  <c r="F729"/>
  <c r="F723"/>
  <c r="F717"/>
  <c r="F711"/>
  <c r="F705"/>
  <c r="F699"/>
  <c r="F693"/>
  <c r="F687"/>
  <c r="F681"/>
  <c r="F677"/>
  <c r="F673"/>
  <c r="F670"/>
  <c r="F666"/>
  <c r="F659"/>
  <c r="F655"/>
  <c r="F652"/>
  <c r="F648"/>
  <c r="F641"/>
  <c r="F637"/>
  <c r="F634"/>
  <c r="F630"/>
  <c r="F623"/>
  <c r="F619"/>
  <c r="F616"/>
  <c r="F612"/>
  <c r="F605"/>
  <c r="F601"/>
  <c r="F598"/>
  <c r="F594"/>
  <c r="F587"/>
  <c r="F583"/>
  <c r="F580"/>
  <c r="F576"/>
  <c r="F569"/>
  <c r="F565"/>
  <c r="F562"/>
  <c r="F558"/>
  <c r="F551"/>
  <c r="F540"/>
  <c r="H538"/>
  <c r="F533"/>
  <c r="F522"/>
  <c r="I508"/>
  <c r="F497"/>
  <c r="F492"/>
  <c r="I484"/>
  <c r="F479"/>
  <c r="I534"/>
  <c r="H534"/>
  <c r="F520"/>
  <c r="H520"/>
  <c r="H509"/>
  <c r="I509"/>
  <c r="I498"/>
  <c r="H498"/>
  <c r="F490"/>
  <c r="H490"/>
  <c r="H485"/>
  <c r="I485"/>
  <c r="I480"/>
  <c r="H480"/>
  <c r="H1000"/>
  <c r="F998"/>
  <c r="H994"/>
  <c r="F992"/>
  <c r="H988"/>
  <c r="F986"/>
  <c r="H982"/>
  <c r="F980"/>
  <c r="H976"/>
  <c r="F974"/>
  <c r="H970"/>
  <c r="F968"/>
  <c r="H964"/>
  <c r="F962"/>
  <c r="H958"/>
  <c r="F956"/>
  <c r="H952"/>
  <c r="F950"/>
  <c r="H946"/>
  <c r="F944"/>
  <c r="H940"/>
  <c r="F938"/>
  <c r="H934"/>
  <c r="F932"/>
  <c r="H928"/>
  <c r="F926"/>
  <c r="H922"/>
  <c r="F920"/>
  <c r="H916"/>
  <c r="F914"/>
  <c r="H910"/>
  <c r="F908"/>
  <c r="H904"/>
  <c r="F902"/>
  <c r="H898"/>
  <c r="F896"/>
  <c r="H892"/>
  <c r="F890"/>
  <c r="H886"/>
  <c r="F884"/>
  <c r="H880"/>
  <c r="F878"/>
  <c r="H874"/>
  <c r="F872"/>
  <c r="H868"/>
  <c r="F866"/>
  <c r="H862"/>
  <c r="F860"/>
  <c r="H856"/>
  <c r="F854"/>
  <c r="H850"/>
  <c r="F848"/>
  <c r="H844"/>
  <c r="F842"/>
  <c r="H838"/>
  <c r="F836"/>
  <c r="H832"/>
  <c r="F830"/>
  <c r="H826"/>
  <c r="F824"/>
  <c r="H820"/>
  <c r="F818"/>
  <c r="H814"/>
  <c r="F812"/>
  <c r="H808"/>
  <c r="F806"/>
  <c r="H802"/>
  <c r="F800"/>
  <c r="H796"/>
  <c r="F794"/>
  <c r="H790"/>
  <c r="F788"/>
  <c r="H784"/>
  <c r="F782"/>
  <c r="H778"/>
  <c r="F776"/>
  <c r="H772"/>
  <c r="F770"/>
  <c r="H766"/>
  <c r="F764"/>
  <c r="H760"/>
  <c r="F758"/>
  <c r="H754"/>
  <c r="F752"/>
  <c r="H748"/>
  <c r="F746"/>
  <c r="H742"/>
  <c r="F740"/>
  <c r="H736"/>
  <c r="F734"/>
  <c r="H730"/>
  <c r="F728"/>
  <c r="H724"/>
  <c r="F722"/>
  <c r="H718"/>
  <c r="F716"/>
  <c r="H712"/>
  <c r="F710"/>
  <c r="H706"/>
  <c r="F704"/>
  <c r="H700"/>
  <c r="F698"/>
  <c r="H694"/>
  <c r="F692"/>
  <c r="H688"/>
  <c r="F686"/>
  <c r="H682"/>
  <c r="F680"/>
  <c r="H670"/>
  <c r="H663"/>
  <c r="H652"/>
  <c r="H645"/>
  <c r="H634"/>
  <c r="H627"/>
  <c r="H616"/>
  <c r="H609"/>
  <c r="H598"/>
  <c r="H591"/>
  <c r="H580"/>
  <c r="H573"/>
  <c r="H562"/>
  <c r="H555"/>
  <c r="F547"/>
  <c r="F545"/>
  <c r="I538"/>
  <c r="H535"/>
  <c r="F528"/>
  <c r="I514"/>
  <c r="F503"/>
  <c r="F474"/>
  <c r="F468"/>
  <c r="F462"/>
  <c r="F526"/>
  <c r="H526"/>
  <c r="H515"/>
  <c r="I515"/>
  <c r="I504"/>
  <c r="H504"/>
  <c r="I456"/>
  <c r="H456"/>
  <c r="F456"/>
  <c r="I438"/>
  <c r="H438"/>
  <c r="F438"/>
  <c r="I420"/>
  <c r="H420"/>
  <c r="F420"/>
  <c r="H999"/>
  <c r="H993"/>
  <c r="H987"/>
  <c r="H981"/>
  <c r="H975"/>
  <c r="H969"/>
  <c r="H963"/>
  <c r="H957"/>
  <c r="H951"/>
  <c r="H945"/>
  <c r="H939"/>
  <c r="H933"/>
  <c r="H927"/>
  <c r="H921"/>
  <c r="H915"/>
  <c r="H909"/>
  <c r="H903"/>
  <c r="H897"/>
  <c r="H891"/>
  <c r="H885"/>
  <c r="H879"/>
  <c r="H873"/>
  <c r="H867"/>
  <c r="H861"/>
  <c r="H855"/>
  <c r="H849"/>
  <c r="H843"/>
  <c r="H837"/>
  <c r="H831"/>
  <c r="H825"/>
  <c r="H819"/>
  <c r="H813"/>
  <c r="H807"/>
  <c r="H801"/>
  <c r="H795"/>
  <c r="H789"/>
  <c r="H783"/>
  <c r="H777"/>
  <c r="H771"/>
  <c r="H765"/>
  <c r="H759"/>
  <c r="H753"/>
  <c r="H747"/>
  <c r="H741"/>
  <c r="H735"/>
  <c r="H729"/>
  <c r="H723"/>
  <c r="H717"/>
  <c r="H711"/>
  <c r="H705"/>
  <c r="H699"/>
  <c r="H693"/>
  <c r="H687"/>
  <c r="H681"/>
  <c r="I677"/>
  <c r="F676"/>
  <c r="H673"/>
  <c r="F672"/>
  <c r="H666"/>
  <c r="F665"/>
  <c r="I663"/>
  <c r="I659"/>
  <c r="F658"/>
  <c r="H655"/>
  <c r="F654"/>
  <c r="H648"/>
  <c r="F647"/>
  <c r="I645"/>
  <c r="I641"/>
  <c r="F640"/>
  <c r="H637"/>
  <c r="F636"/>
  <c r="H630"/>
  <c r="F629"/>
  <c r="I627"/>
  <c r="I623"/>
  <c r="F622"/>
  <c r="H619"/>
  <c r="F618"/>
  <c r="H612"/>
  <c r="F611"/>
  <c r="I609"/>
  <c r="I605"/>
  <c r="F604"/>
  <c r="H601"/>
  <c r="F600"/>
  <c r="H594"/>
  <c r="F593"/>
  <c r="I591"/>
  <c r="I587"/>
  <c r="F586"/>
  <c r="H583"/>
  <c r="F582"/>
  <c r="H576"/>
  <c r="F575"/>
  <c r="I573"/>
  <c r="I569"/>
  <c r="F568"/>
  <c r="H565"/>
  <c r="F564"/>
  <c r="H558"/>
  <c r="F557"/>
  <c r="I555"/>
  <c r="I551"/>
  <c r="F550"/>
  <c r="I545"/>
  <c r="F534"/>
  <c r="I520"/>
  <c r="F509"/>
  <c r="F498"/>
  <c r="I490"/>
  <c r="F485"/>
  <c r="F480"/>
  <c r="I546"/>
  <c r="H546"/>
  <c r="F532"/>
  <c r="H532"/>
  <c r="H521"/>
  <c r="I521"/>
  <c r="I510"/>
  <c r="H510"/>
  <c r="F496"/>
  <c r="H496"/>
  <c r="H491"/>
  <c r="I491"/>
  <c r="I486"/>
  <c r="H486"/>
  <c r="F478"/>
  <c r="H478"/>
  <c r="H669"/>
  <c r="H651"/>
  <c r="H633"/>
  <c r="H615"/>
  <c r="H597"/>
  <c r="H579"/>
  <c r="H561"/>
  <c r="H547"/>
  <c r="I338"/>
  <c r="H338"/>
  <c r="I302"/>
  <c r="H302"/>
  <c r="I272"/>
  <c r="H272"/>
  <c r="I254"/>
  <c r="H254"/>
  <c r="F228"/>
  <c r="H228"/>
  <c r="H217"/>
  <c r="I217"/>
  <c r="I206"/>
  <c r="H206"/>
  <c r="F198"/>
  <c r="H198"/>
  <c r="H193"/>
  <c r="I193"/>
  <c r="H472"/>
  <c r="H466"/>
  <c r="H460"/>
  <c r="I455"/>
  <c r="H454"/>
  <c r="I449"/>
  <c r="H448"/>
  <c r="I443"/>
  <c r="H442"/>
  <c r="I437"/>
  <c r="H436"/>
  <c r="I431"/>
  <c r="H430"/>
  <c r="I425"/>
  <c r="H424"/>
  <c r="I419"/>
  <c r="H418"/>
  <c r="I413"/>
  <c r="H412"/>
  <c r="I407"/>
  <c r="H406"/>
  <c r="I401"/>
  <c r="H400"/>
  <c r="I395"/>
  <c r="H394"/>
  <c r="I389"/>
  <c r="I385"/>
  <c r="I367"/>
  <c r="I348"/>
  <c r="H339"/>
  <c r="I331"/>
  <c r="I312"/>
  <c r="H303"/>
  <c r="I295"/>
  <c r="I276"/>
  <c r="H273"/>
  <c r="I258"/>
  <c r="H255"/>
  <c r="I247"/>
  <c r="I386"/>
  <c r="H386"/>
  <c r="I368"/>
  <c r="H368"/>
  <c r="I332"/>
  <c r="H332"/>
  <c r="I296"/>
  <c r="H296"/>
  <c r="I248"/>
  <c r="H248"/>
  <c r="H223"/>
  <c r="I223"/>
  <c r="I212"/>
  <c r="H212"/>
  <c r="I362"/>
  <c r="H362"/>
  <c r="I326"/>
  <c r="H326"/>
  <c r="I290"/>
  <c r="H290"/>
  <c r="I266"/>
  <c r="H266"/>
  <c r="I242"/>
  <c r="H242"/>
  <c r="H229"/>
  <c r="I229"/>
  <c r="I218"/>
  <c r="H218"/>
  <c r="F204"/>
  <c r="H204"/>
  <c r="H199"/>
  <c r="I199"/>
  <c r="I194"/>
  <c r="H194"/>
  <c r="I188"/>
  <c r="H188"/>
  <c r="I176"/>
  <c r="H176"/>
  <c r="F176"/>
  <c r="I164"/>
  <c r="H164"/>
  <c r="F164"/>
  <c r="I152"/>
  <c r="H152"/>
  <c r="F152"/>
  <c r="F414"/>
  <c r="F408"/>
  <c r="F402"/>
  <c r="F396"/>
  <c r="F390"/>
  <c r="F386"/>
  <c r="H384"/>
  <c r="F368"/>
  <c r="H366"/>
  <c r="F351"/>
  <c r="F349"/>
  <c r="F332"/>
  <c r="H330"/>
  <c r="F315"/>
  <c r="F313"/>
  <c r="F296"/>
  <c r="H294"/>
  <c r="F279"/>
  <c r="F277"/>
  <c r="F261"/>
  <c r="F259"/>
  <c r="F248"/>
  <c r="H246"/>
  <c r="F231"/>
  <c r="F223"/>
  <c r="F212"/>
  <c r="I380"/>
  <c r="H380"/>
  <c r="I356"/>
  <c r="H356"/>
  <c r="I320"/>
  <c r="H320"/>
  <c r="I284"/>
  <c r="H284"/>
  <c r="I236"/>
  <c r="H236"/>
  <c r="I224"/>
  <c r="H224"/>
  <c r="F210"/>
  <c r="H210"/>
  <c r="F455"/>
  <c r="F449"/>
  <c r="F443"/>
  <c r="F437"/>
  <c r="F431"/>
  <c r="F425"/>
  <c r="F419"/>
  <c r="F413"/>
  <c r="F407"/>
  <c r="F401"/>
  <c r="F395"/>
  <c r="F389"/>
  <c r="I384"/>
  <c r="F375"/>
  <c r="F373"/>
  <c r="I366"/>
  <c r="F362"/>
  <c r="H360"/>
  <c r="I349"/>
  <c r="F345"/>
  <c r="F343"/>
  <c r="I330"/>
  <c r="F326"/>
  <c r="H324"/>
  <c r="I313"/>
  <c r="F309"/>
  <c r="F307"/>
  <c r="I294"/>
  <c r="F290"/>
  <c r="H288"/>
  <c r="I277"/>
  <c r="F266"/>
  <c r="H264"/>
  <c r="I259"/>
  <c r="I246"/>
  <c r="F242"/>
  <c r="H240"/>
  <c r="F229"/>
  <c r="F218"/>
  <c r="I204"/>
  <c r="F199"/>
  <c r="F194"/>
  <c r="F188"/>
  <c r="I350"/>
  <c r="H350"/>
  <c r="I314"/>
  <c r="H314"/>
  <c r="I278"/>
  <c r="H278"/>
  <c r="I260"/>
  <c r="H260"/>
  <c r="I230"/>
  <c r="H230"/>
  <c r="F216"/>
  <c r="H216"/>
  <c r="H205"/>
  <c r="I205"/>
  <c r="I200"/>
  <c r="H200"/>
  <c r="F192"/>
  <c r="H192"/>
  <c r="H414"/>
  <c r="H408"/>
  <c r="H402"/>
  <c r="H396"/>
  <c r="H390"/>
  <c r="F380"/>
  <c r="H378"/>
  <c r="I373"/>
  <c r="I360"/>
  <c r="F356"/>
  <c r="H354"/>
  <c r="H351"/>
  <c r="I343"/>
  <c r="F339"/>
  <c r="F337"/>
  <c r="I324"/>
  <c r="F320"/>
  <c r="H318"/>
  <c r="H315"/>
  <c r="I307"/>
  <c r="F303"/>
  <c r="F301"/>
  <c r="I288"/>
  <c r="F284"/>
  <c r="H282"/>
  <c r="H279"/>
  <c r="F273"/>
  <c r="F271"/>
  <c r="I264"/>
  <c r="H261"/>
  <c r="F255"/>
  <c r="F253"/>
  <c r="I240"/>
  <c r="F236"/>
  <c r="H234"/>
  <c r="H231"/>
  <c r="F224"/>
  <c r="I210"/>
  <c r="I374"/>
  <c r="H374"/>
  <c r="I344"/>
  <c r="H344"/>
  <c r="I308"/>
  <c r="H308"/>
  <c r="F222"/>
  <c r="H222"/>
  <c r="H211"/>
  <c r="I211"/>
  <c r="I182"/>
  <c r="H182"/>
  <c r="F182"/>
  <c r="I170"/>
  <c r="H170"/>
  <c r="F170"/>
  <c r="I158"/>
  <c r="H158"/>
  <c r="F158"/>
  <c r="F385"/>
  <c r="I378"/>
  <c r="H375"/>
  <c r="F369"/>
  <c r="F367"/>
  <c r="I354"/>
  <c r="F350"/>
  <c r="H348"/>
  <c r="H345"/>
  <c r="I337"/>
  <c r="F333"/>
  <c r="F331"/>
  <c r="I318"/>
  <c r="F314"/>
  <c r="H312"/>
  <c r="H309"/>
  <c r="I301"/>
  <c r="F297"/>
  <c r="F295"/>
  <c r="I282"/>
  <c r="F278"/>
  <c r="H276"/>
  <c r="I271"/>
  <c r="F260"/>
  <c r="H258"/>
  <c r="I253"/>
  <c r="F249"/>
  <c r="F247"/>
  <c r="I234"/>
  <c r="F230"/>
  <c r="I216"/>
  <c r="F205"/>
  <c r="F200"/>
  <c r="I192"/>
  <c r="I187"/>
  <c r="H186"/>
  <c r="I181"/>
  <c r="H180"/>
  <c r="I175"/>
  <c r="H174"/>
  <c r="I169"/>
  <c r="H168"/>
  <c r="I163"/>
  <c r="H162"/>
  <c r="I157"/>
  <c r="H156"/>
  <c r="I151"/>
  <c r="H150"/>
  <c r="I145"/>
  <c r="H144"/>
  <c r="I139"/>
  <c r="H138"/>
  <c r="I133"/>
  <c r="H132"/>
  <c r="I127"/>
  <c r="H126"/>
  <c r="I121"/>
  <c r="H120"/>
  <c r="I115"/>
  <c r="H114"/>
  <c r="I109"/>
  <c r="H108"/>
  <c r="I103"/>
  <c r="H102"/>
  <c r="I97"/>
  <c r="H96"/>
  <c r="I91"/>
  <c r="H90"/>
  <c r="I85"/>
  <c r="H84"/>
  <c r="I79"/>
  <c r="H78"/>
  <c r="I73"/>
  <c r="H72"/>
  <c r="I67"/>
  <c r="H66"/>
  <c r="I61"/>
  <c r="H60"/>
  <c r="I55"/>
  <c r="H54"/>
  <c r="I49"/>
  <c r="H48"/>
  <c r="I43"/>
  <c r="H42"/>
  <c r="I37"/>
  <c r="H36"/>
  <c r="I31"/>
  <c r="H30"/>
  <c r="I25"/>
  <c r="H24"/>
  <c r="I19"/>
  <c r="H18"/>
  <c r="I13"/>
  <c r="H12"/>
  <c r="I7"/>
  <c r="H6"/>
  <c r="F146"/>
  <c r="F140"/>
  <c r="F134"/>
  <c r="F128"/>
  <c r="F122"/>
  <c r="F116"/>
  <c r="F110"/>
  <c r="F104"/>
  <c r="F98"/>
  <c r="F92"/>
  <c r="F86"/>
  <c r="F80"/>
  <c r="F74"/>
  <c r="F68"/>
  <c r="F62"/>
  <c r="F56"/>
  <c r="F50"/>
  <c r="F44"/>
  <c r="F38"/>
  <c r="F32"/>
  <c r="F26"/>
  <c r="F20"/>
  <c r="F14"/>
  <c r="F8"/>
  <c r="G3"/>
  <c r="F187"/>
  <c r="F181"/>
  <c r="F175"/>
  <c r="F169"/>
  <c r="F163"/>
  <c r="F157"/>
  <c r="F151"/>
  <c r="F145"/>
  <c r="F139"/>
  <c r="F133"/>
  <c r="F127"/>
  <c r="F121"/>
  <c r="F115"/>
  <c r="F109"/>
  <c r="F103"/>
  <c r="F97"/>
  <c r="F91"/>
  <c r="F85"/>
  <c r="F79"/>
  <c r="F73"/>
  <c r="F67"/>
  <c r="F61"/>
  <c r="F55"/>
  <c r="F49"/>
  <c r="F43"/>
  <c r="F37"/>
  <c r="F31"/>
  <c r="F25"/>
  <c r="F19"/>
  <c r="F13"/>
  <c r="F7"/>
  <c r="H146"/>
  <c r="H140"/>
  <c r="H134"/>
  <c r="H128"/>
  <c r="H122"/>
  <c r="H116"/>
  <c r="H110"/>
  <c r="H104"/>
  <c r="H98"/>
  <c r="H92"/>
  <c r="H86"/>
  <c r="H80"/>
  <c r="H74"/>
  <c r="H68"/>
  <c r="H62"/>
  <c r="H56"/>
  <c r="H50"/>
  <c r="H44"/>
  <c r="H38"/>
  <c r="H32"/>
  <c r="H26"/>
  <c r="H20"/>
  <c r="H14"/>
  <c r="H8"/>
  <c r="G102"/>
  <c r="I2"/>
  <c r="H2"/>
  <c r="D7" i="5"/>
  <c r="I881" i="9"/>
  <c r="H881"/>
  <c r="H867"/>
  <c r="F867"/>
  <c r="I856"/>
  <c r="H856"/>
  <c r="I845"/>
  <c r="H845"/>
  <c r="H831"/>
  <c r="F831"/>
  <c r="I820"/>
  <c r="H820"/>
  <c r="I809"/>
  <c r="H809"/>
  <c r="H795"/>
  <c r="F795"/>
  <c r="I784"/>
  <c r="H784"/>
  <c r="I773"/>
  <c r="H773"/>
  <c r="I761"/>
  <c r="H761"/>
  <c r="F754"/>
  <c r="I754"/>
  <c r="H754"/>
  <c r="I999"/>
  <c r="H998"/>
  <c r="I993"/>
  <c r="H992"/>
  <c r="I987"/>
  <c r="H986"/>
  <c r="I981"/>
  <c r="H980"/>
  <c r="I975"/>
  <c r="H974"/>
  <c r="I969"/>
  <c r="H968"/>
  <c r="I963"/>
  <c r="H962"/>
  <c r="I957"/>
  <c r="H956"/>
  <c r="I951"/>
  <c r="H950"/>
  <c r="I945"/>
  <c r="H944"/>
  <c r="I939"/>
  <c r="H938"/>
  <c r="I933"/>
  <c r="H932"/>
  <c r="I927"/>
  <c r="H923"/>
  <c r="I920"/>
  <c r="I916"/>
  <c r="I909"/>
  <c r="H905"/>
  <c r="I902"/>
  <c r="I898"/>
  <c r="I891"/>
  <c r="I885"/>
  <c r="H882"/>
  <c r="I862"/>
  <c r="H862"/>
  <c r="I851"/>
  <c r="H851"/>
  <c r="H837"/>
  <c r="F837"/>
  <c r="I826"/>
  <c r="H826"/>
  <c r="I815"/>
  <c r="H815"/>
  <c r="H801"/>
  <c r="F801"/>
  <c r="I790"/>
  <c r="H790"/>
  <c r="I779"/>
  <c r="H779"/>
  <c r="I755"/>
  <c r="H755"/>
  <c r="F748"/>
  <c r="I748"/>
  <c r="H748"/>
  <c r="F731"/>
  <c r="I731"/>
  <c r="H731"/>
  <c r="F719"/>
  <c r="I719"/>
  <c r="H719"/>
  <c r="F707"/>
  <c r="I707"/>
  <c r="H707"/>
  <c r="I875"/>
  <c r="H875"/>
  <c r="I868"/>
  <c r="H868"/>
  <c r="I857"/>
  <c r="H857"/>
  <c r="H843"/>
  <c r="F843"/>
  <c r="I832"/>
  <c r="H832"/>
  <c r="I821"/>
  <c r="H821"/>
  <c r="H807"/>
  <c r="F807"/>
  <c r="I796"/>
  <c r="H796"/>
  <c r="I785"/>
  <c r="H785"/>
  <c r="H771"/>
  <c r="F771"/>
  <c r="I749"/>
  <c r="H749"/>
  <c r="F742"/>
  <c r="I742"/>
  <c r="H742"/>
  <c r="F1000"/>
  <c r="F994"/>
  <c r="F988"/>
  <c r="F982"/>
  <c r="F976"/>
  <c r="F970"/>
  <c r="F964"/>
  <c r="F958"/>
  <c r="F952"/>
  <c r="F946"/>
  <c r="F940"/>
  <c r="F934"/>
  <c r="F928"/>
  <c r="F924"/>
  <c r="F921"/>
  <c r="F917"/>
  <c r="F910"/>
  <c r="F906"/>
  <c r="F903"/>
  <c r="F899"/>
  <c r="F892"/>
  <c r="F888"/>
  <c r="F886"/>
  <c r="F862"/>
  <c r="F851"/>
  <c r="I837"/>
  <c r="F826"/>
  <c r="F815"/>
  <c r="I801"/>
  <c r="F790"/>
  <c r="F779"/>
  <c r="F755"/>
  <c r="I863"/>
  <c r="H863"/>
  <c r="H849"/>
  <c r="F849"/>
  <c r="I838"/>
  <c r="H838"/>
  <c r="I827"/>
  <c r="H827"/>
  <c r="H813"/>
  <c r="F813"/>
  <c r="I802"/>
  <c r="H802"/>
  <c r="I791"/>
  <c r="H791"/>
  <c r="H777"/>
  <c r="F777"/>
  <c r="I743"/>
  <c r="H743"/>
  <c r="F736"/>
  <c r="I736"/>
  <c r="H736"/>
  <c r="F999"/>
  <c r="F993"/>
  <c r="F987"/>
  <c r="F981"/>
  <c r="F975"/>
  <c r="F969"/>
  <c r="F963"/>
  <c r="F957"/>
  <c r="F951"/>
  <c r="F945"/>
  <c r="F939"/>
  <c r="F933"/>
  <c r="H921"/>
  <c r="H914"/>
  <c r="H903"/>
  <c r="H896"/>
  <c r="I886"/>
  <c r="F875"/>
  <c r="H873"/>
  <c r="F868"/>
  <c r="F857"/>
  <c r="I843"/>
  <c r="F832"/>
  <c r="F821"/>
  <c r="I807"/>
  <c r="F796"/>
  <c r="F785"/>
  <c r="I771"/>
  <c r="F749"/>
  <c r="I887"/>
  <c r="H887"/>
  <c r="I869"/>
  <c r="H869"/>
  <c r="H855"/>
  <c r="F855"/>
  <c r="I844"/>
  <c r="H844"/>
  <c r="I833"/>
  <c r="H833"/>
  <c r="H819"/>
  <c r="F819"/>
  <c r="I808"/>
  <c r="H808"/>
  <c r="I797"/>
  <c r="H797"/>
  <c r="H783"/>
  <c r="F783"/>
  <c r="I772"/>
  <c r="H772"/>
  <c r="F766"/>
  <c r="I766"/>
  <c r="H766"/>
  <c r="I737"/>
  <c r="H737"/>
  <c r="F725"/>
  <c r="I725"/>
  <c r="H725"/>
  <c r="F713"/>
  <c r="I713"/>
  <c r="H713"/>
  <c r="F701"/>
  <c r="I701"/>
  <c r="H701"/>
  <c r="H1000"/>
  <c r="H994"/>
  <c r="H988"/>
  <c r="H982"/>
  <c r="H976"/>
  <c r="H970"/>
  <c r="H964"/>
  <c r="H958"/>
  <c r="H952"/>
  <c r="H946"/>
  <c r="H940"/>
  <c r="H934"/>
  <c r="H928"/>
  <c r="F927"/>
  <c r="H924"/>
  <c r="F923"/>
  <c r="H917"/>
  <c r="I914"/>
  <c r="I910"/>
  <c r="H906"/>
  <c r="H899"/>
  <c r="I896"/>
  <c r="I892"/>
  <c r="H888"/>
  <c r="I873"/>
  <c r="H861"/>
  <c r="F861"/>
  <c r="I850"/>
  <c r="H850"/>
  <c r="I839"/>
  <c r="H839"/>
  <c r="H825"/>
  <c r="F825"/>
  <c r="I814"/>
  <c r="H814"/>
  <c r="I803"/>
  <c r="H803"/>
  <c r="H789"/>
  <c r="F789"/>
  <c r="I778"/>
  <c r="H778"/>
  <c r="I767"/>
  <c r="H767"/>
  <c r="F760"/>
  <c r="I760"/>
  <c r="H760"/>
  <c r="H920"/>
  <c r="H902"/>
  <c r="F887"/>
  <c r="H885"/>
  <c r="I880"/>
  <c r="F869"/>
  <c r="I855"/>
  <c r="F844"/>
  <c r="F833"/>
  <c r="I819"/>
  <c r="F808"/>
  <c r="F797"/>
  <c r="I783"/>
  <c r="F772"/>
  <c r="F737"/>
  <c r="H561"/>
  <c r="I561"/>
  <c r="F548"/>
  <c r="H548"/>
  <c r="H543"/>
  <c r="I543"/>
  <c r="I538"/>
  <c r="H538"/>
  <c r="F530"/>
  <c r="H530"/>
  <c r="H525"/>
  <c r="I525"/>
  <c r="I520"/>
  <c r="H520"/>
  <c r="F512"/>
  <c r="H512"/>
  <c r="H507"/>
  <c r="I507"/>
  <c r="I502"/>
  <c r="H502"/>
  <c r="F494"/>
  <c r="H494"/>
  <c r="H489"/>
  <c r="I489"/>
  <c r="I484"/>
  <c r="H484"/>
  <c r="F476"/>
  <c r="H476"/>
  <c r="H471"/>
  <c r="I471"/>
  <c r="I466"/>
  <c r="H466"/>
  <c r="I460"/>
  <c r="H460"/>
  <c r="F460"/>
  <c r="I454"/>
  <c r="H454"/>
  <c r="F454"/>
  <c r="I448"/>
  <c r="H448"/>
  <c r="F448"/>
  <c r="I442"/>
  <c r="H442"/>
  <c r="F442"/>
  <c r="I436"/>
  <c r="H436"/>
  <c r="F436"/>
  <c r="I430"/>
  <c r="H430"/>
  <c r="F430"/>
  <c r="F416"/>
  <c r="I416"/>
  <c r="H416"/>
  <c r="F398"/>
  <c r="I398"/>
  <c r="H398"/>
  <c r="F765"/>
  <c r="F759"/>
  <c r="F753"/>
  <c r="F747"/>
  <c r="F741"/>
  <c r="F735"/>
  <c r="F729"/>
  <c r="F723"/>
  <c r="F717"/>
  <c r="F711"/>
  <c r="F705"/>
  <c r="F699"/>
  <c r="H695"/>
  <c r="F693"/>
  <c r="H689"/>
  <c r="F687"/>
  <c r="H683"/>
  <c r="F681"/>
  <c r="H677"/>
  <c r="F675"/>
  <c r="H671"/>
  <c r="F669"/>
  <c r="H665"/>
  <c r="F663"/>
  <c r="H659"/>
  <c r="F657"/>
  <c r="H653"/>
  <c r="F651"/>
  <c r="H647"/>
  <c r="F645"/>
  <c r="H641"/>
  <c r="F639"/>
  <c r="H635"/>
  <c r="F633"/>
  <c r="H629"/>
  <c r="F627"/>
  <c r="H623"/>
  <c r="F621"/>
  <c r="H617"/>
  <c r="F615"/>
  <c r="I613"/>
  <c r="F611"/>
  <c r="I609"/>
  <c r="F608"/>
  <c r="H605"/>
  <c r="F604"/>
  <c r="I602"/>
  <c r="H598"/>
  <c r="F597"/>
  <c r="I595"/>
  <c r="F593"/>
  <c r="I591"/>
  <c r="F590"/>
  <c r="H587"/>
  <c r="F586"/>
  <c r="I584"/>
  <c r="H580"/>
  <c r="F579"/>
  <c r="I577"/>
  <c r="F575"/>
  <c r="I573"/>
  <c r="F572"/>
  <c r="H569"/>
  <c r="F568"/>
  <c r="I566"/>
  <c r="H562"/>
  <c r="I554"/>
  <c r="F550"/>
  <c r="H555"/>
  <c r="I555"/>
  <c r="H730"/>
  <c r="H724"/>
  <c r="H718"/>
  <c r="H712"/>
  <c r="H706"/>
  <c r="H700"/>
  <c r="I695"/>
  <c r="H694"/>
  <c r="I689"/>
  <c r="H688"/>
  <c r="I683"/>
  <c r="H682"/>
  <c r="I677"/>
  <c r="H676"/>
  <c r="I671"/>
  <c r="H670"/>
  <c r="I665"/>
  <c r="H664"/>
  <c r="I659"/>
  <c r="H658"/>
  <c r="I653"/>
  <c r="H652"/>
  <c r="I647"/>
  <c r="H646"/>
  <c r="I641"/>
  <c r="H640"/>
  <c r="I635"/>
  <c r="H634"/>
  <c r="I629"/>
  <c r="H628"/>
  <c r="I623"/>
  <c r="H622"/>
  <c r="I617"/>
  <c r="H616"/>
  <c r="H608"/>
  <c r="I605"/>
  <c r="H601"/>
  <c r="H590"/>
  <c r="I587"/>
  <c r="H583"/>
  <c r="H572"/>
  <c r="H565"/>
  <c r="F561"/>
  <c r="H559"/>
  <c r="H556"/>
  <c r="I548"/>
  <c r="F543"/>
  <c r="F538"/>
  <c r="I530"/>
  <c r="F525"/>
  <c r="F520"/>
  <c r="I512"/>
  <c r="F507"/>
  <c r="F502"/>
  <c r="I494"/>
  <c r="F489"/>
  <c r="F484"/>
  <c r="I476"/>
  <c r="F471"/>
  <c r="F466"/>
  <c r="H549"/>
  <c r="I549"/>
  <c r="I544"/>
  <c r="H544"/>
  <c r="F536"/>
  <c r="H536"/>
  <c r="H531"/>
  <c r="I531"/>
  <c r="I526"/>
  <c r="H526"/>
  <c r="F518"/>
  <c r="H518"/>
  <c r="H513"/>
  <c r="I513"/>
  <c r="I508"/>
  <c r="H508"/>
  <c r="F500"/>
  <c r="H500"/>
  <c r="H495"/>
  <c r="I495"/>
  <c r="I490"/>
  <c r="H490"/>
  <c r="F482"/>
  <c r="H482"/>
  <c r="H477"/>
  <c r="I477"/>
  <c r="I472"/>
  <c r="H472"/>
  <c r="F464"/>
  <c r="H464"/>
  <c r="F458"/>
  <c r="H458"/>
  <c r="F452"/>
  <c r="H452"/>
  <c r="F446"/>
  <c r="H446"/>
  <c r="F440"/>
  <c r="H440"/>
  <c r="F434"/>
  <c r="H434"/>
  <c r="F428"/>
  <c r="H428"/>
  <c r="F410"/>
  <c r="I410"/>
  <c r="H410"/>
  <c r="I730"/>
  <c r="I724"/>
  <c r="I718"/>
  <c r="I712"/>
  <c r="I706"/>
  <c r="I700"/>
  <c r="I694"/>
  <c r="I688"/>
  <c r="I682"/>
  <c r="I676"/>
  <c r="I670"/>
  <c r="I664"/>
  <c r="I658"/>
  <c r="I652"/>
  <c r="I646"/>
  <c r="I640"/>
  <c r="I634"/>
  <c r="I628"/>
  <c r="I622"/>
  <c r="I616"/>
  <c r="H604"/>
  <c r="I601"/>
  <c r="I597"/>
  <c r="H586"/>
  <c r="I583"/>
  <c r="I579"/>
  <c r="H568"/>
  <c r="I565"/>
  <c r="I559"/>
  <c r="H550"/>
  <c r="F542"/>
  <c r="H542"/>
  <c r="H537"/>
  <c r="I537"/>
  <c r="I532"/>
  <c r="H532"/>
  <c r="F524"/>
  <c r="H524"/>
  <c r="H519"/>
  <c r="I519"/>
  <c r="I514"/>
  <c r="H514"/>
  <c r="F506"/>
  <c r="H506"/>
  <c r="H501"/>
  <c r="I501"/>
  <c r="I496"/>
  <c r="H496"/>
  <c r="F488"/>
  <c r="H488"/>
  <c r="H483"/>
  <c r="I483"/>
  <c r="I478"/>
  <c r="H478"/>
  <c r="F470"/>
  <c r="H470"/>
  <c r="F422"/>
  <c r="I422"/>
  <c r="H422"/>
  <c r="F404"/>
  <c r="I404"/>
  <c r="H404"/>
  <c r="F609"/>
  <c r="F602"/>
  <c r="F598"/>
  <c r="F591"/>
  <c r="F584"/>
  <c r="F580"/>
  <c r="H613"/>
  <c r="H595"/>
  <c r="H577"/>
  <c r="I560"/>
  <c r="F556"/>
  <c r="F554"/>
  <c r="I542"/>
  <c r="F537"/>
  <c r="F532"/>
  <c r="I524"/>
  <c r="F519"/>
  <c r="F514"/>
  <c r="I506"/>
  <c r="F501"/>
  <c r="F496"/>
  <c r="I488"/>
  <c r="F483"/>
  <c r="F478"/>
  <c r="I470"/>
  <c r="H386"/>
  <c r="F386"/>
  <c r="H368"/>
  <c r="F368"/>
  <c r="H344"/>
  <c r="F344"/>
  <c r="H326"/>
  <c r="F326"/>
  <c r="H308"/>
  <c r="F308"/>
  <c r="H290"/>
  <c r="F290"/>
  <c r="H272"/>
  <c r="F272"/>
  <c r="H254"/>
  <c r="F254"/>
  <c r="I104"/>
  <c r="H104"/>
  <c r="F104"/>
  <c r="I92"/>
  <c r="H92"/>
  <c r="F92"/>
  <c r="I80"/>
  <c r="H80"/>
  <c r="F80"/>
  <c r="I68"/>
  <c r="H68"/>
  <c r="F68"/>
  <c r="I56"/>
  <c r="H56"/>
  <c r="F56"/>
  <c r="I44"/>
  <c r="H44"/>
  <c r="F44"/>
  <c r="I26"/>
  <c r="H26"/>
  <c r="F26"/>
  <c r="I8"/>
  <c r="H8"/>
  <c r="F8"/>
  <c r="G13" s="1"/>
  <c r="I465"/>
  <c r="I459"/>
  <c r="I453"/>
  <c r="I447"/>
  <c r="I441"/>
  <c r="I435"/>
  <c r="I429"/>
  <c r="I423"/>
  <c r="I417"/>
  <c r="I411"/>
  <c r="I405"/>
  <c r="I399"/>
  <c r="I393"/>
  <c r="H392"/>
  <c r="I387"/>
  <c r="H384"/>
  <c r="H366"/>
  <c r="H363"/>
  <c r="H342"/>
  <c r="H324"/>
  <c r="H306"/>
  <c r="H288"/>
  <c r="H270"/>
  <c r="H252"/>
  <c r="H249"/>
  <c r="I238"/>
  <c r="I228"/>
  <c r="H225"/>
  <c r="I214"/>
  <c r="H111"/>
  <c r="H102"/>
  <c r="F99"/>
  <c r="H90"/>
  <c r="F87"/>
  <c r="H78"/>
  <c r="F75"/>
  <c r="H66"/>
  <c r="H33"/>
  <c r="H15"/>
  <c r="H362"/>
  <c r="F362"/>
  <c r="H248"/>
  <c r="F248"/>
  <c r="H224"/>
  <c r="F224"/>
  <c r="I206"/>
  <c r="H206"/>
  <c r="F206"/>
  <c r="I194"/>
  <c r="H194"/>
  <c r="F194"/>
  <c r="I182"/>
  <c r="H182"/>
  <c r="F182"/>
  <c r="I170"/>
  <c r="H170"/>
  <c r="F170"/>
  <c r="I158"/>
  <c r="H158"/>
  <c r="F158"/>
  <c r="I146"/>
  <c r="H146"/>
  <c r="F146"/>
  <c r="I134"/>
  <c r="H134"/>
  <c r="F134"/>
  <c r="I122"/>
  <c r="H122"/>
  <c r="F122"/>
  <c r="G6"/>
  <c r="G7"/>
  <c r="G3"/>
  <c r="I392"/>
  <c r="H380"/>
  <c r="F380"/>
  <c r="H356"/>
  <c r="F356"/>
  <c r="H338"/>
  <c r="F338"/>
  <c r="H320"/>
  <c r="F320"/>
  <c r="H302"/>
  <c r="F302"/>
  <c r="H284"/>
  <c r="F284"/>
  <c r="H266"/>
  <c r="F266"/>
  <c r="H242"/>
  <c r="F242"/>
  <c r="H218"/>
  <c r="F218"/>
  <c r="I110"/>
  <c r="H110"/>
  <c r="F110"/>
  <c r="I32"/>
  <c r="H32"/>
  <c r="F32"/>
  <c r="I14"/>
  <c r="H14"/>
  <c r="F14"/>
  <c r="F424"/>
  <c r="F418"/>
  <c r="F412"/>
  <c r="F406"/>
  <c r="F400"/>
  <c r="F394"/>
  <c r="F388"/>
  <c r="F375"/>
  <c r="F364"/>
  <c r="F351"/>
  <c r="F333"/>
  <c r="F315"/>
  <c r="F297"/>
  <c r="F279"/>
  <c r="F261"/>
  <c r="F250"/>
  <c r="F226"/>
  <c r="H30"/>
  <c r="H12"/>
  <c r="H236"/>
  <c r="F236"/>
  <c r="H212"/>
  <c r="F212"/>
  <c r="I98"/>
  <c r="H98"/>
  <c r="F98"/>
  <c r="I86"/>
  <c r="H86"/>
  <c r="F86"/>
  <c r="I74"/>
  <c r="H74"/>
  <c r="F74"/>
  <c r="I62"/>
  <c r="H62"/>
  <c r="F62"/>
  <c r="I50"/>
  <c r="H50"/>
  <c r="F50"/>
  <c r="I30"/>
  <c r="I12"/>
  <c r="G5"/>
  <c r="H374"/>
  <c r="F374"/>
  <c r="H350"/>
  <c r="F350"/>
  <c r="H332"/>
  <c r="F332"/>
  <c r="H314"/>
  <c r="F314"/>
  <c r="H296"/>
  <c r="F296"/>
  <c r="H278"/>
  <c r="F278"/>
  <c r="H260"/>
  <c r="F260"/>
  <c r="I200"/>
  <c r="H200"/>
  <c r="F200"/>
  <c r="I188"/>
  <c r="H188"/>
  <c r="F188"/>
  <c r="I176"/>
  <c r="H176"/>
  <c r="F176"/>
  <c r="I164"/>
  <c r="H164"/>
  <c r="F164"/>
  <c r="I152"/>
  <c r="H152"/>
  <c r="F152"/>
  <c r="I140"/>
  <c r="H140"/>
  <c r="F140"/>
  <c r="I128"/>
  <c r="H128"/>
  <c r="F128"/>
  <c r="I116"/>
  <c r="H116"/>
  <c r="F116"/>
  <c r="I38"/>
  <c r="H38"/>
  <c r="F38"/>
  <c r="I20"/>
  <c r="H20"/>
  <c r="F20"/>
  <c r="H424"/>
  <c r="H418"/>
  <c r="H412"/>
  <c r="H406"/>
  <c r="H400"/>
  <c r="H394"/>
  <c r="H388"/>
  <c r="F387"/>
  <c r="I380"/>
  <c r="H372"/>
  <c r="F369"/>
  <c r="I364"/>
  <c r="I356"/>
  <c r="H348"/>
  <c r="F345"/>
  <c r="I338"/>
  <c r="H330"/>
  <c r="F327"/>
  <c r="I320"/>
  <c r="H312"/>
  <c r="F309"/>
  <c r="I302"/>
  <c r="H294"/>
  <c r="F291"/>
  <c r="I284"/>
  <c r="H276"/>
  <c r="F273"/>
  <c r="I266"/>
  <c r="H258"/>
  <c r="F255"/>
  <c r="I250"/>
  <c r="I242"/>
  <c r="F238"/>
  <c r="I234"/>
  <c r="H231"/>
  <c r="I226"/>
  <c r="I218"/>
  <c r="F214"/>
  <c r="I210"/>
  <c r="F207"/>
  <c r="H198"/>
  <c r="F195"/>
  <c r="H186"/>
  <c r="F183"/>
  <c r="H174"/>
  <c r="F171"/>
  <c r="H162"/>
  <c r="F159"/>
  <c r="H150"/>
  <c r="F147"/>
  <c r="H138"/>
  <c r="F135"/>
  <c r="H126"/>
  <c r="F123"/>
  <c r="H114"/>
  <c r="H105"/>
  <c r="I96"/>
  <c r="H93"/>
  <c r="I84"/>
  <c r="H81"/>
  <c r="I72"/>
  <c r="H69"/>
  <c r="I60"/>
  <c r="H57"/>
  <c r="I48"/>
  <c r="H45"/>
  <c r="H36"/>
  <c r="H27"/>
  <c r="H18"/>
  <c r="H9"/>
  <c r="H230"/>
  <c r="F230"/>
  <c r="I382"/>
  <c r="F376"/>
  <c r="I372"/>
  <c r="H369"/>
  <c r="F363"/>
  <c r="I358"/>
  <c r="F352"/>
  <c r="I348"/>
  <c r="H345"/>
  <c r="I340"/>
  <c r="F334"/>
  <c r="I330"/>
  <c r="H327"/>
  <c r="I322"/>
  <c r="F316"/>
  <c r="I312"/>
  <c r="H309"/>
  <c r="I304"/>
  <c r="F298"/>
  <c r="I294"/>
  <c r="H291"/>
  <c r="I286"/>
  <c r="F280"/>
  <c r="I276"/>
  <c r="H273"/>
  <c r="I268"/>
  <c r="F262"/>
  <c r="I258"/>
  <c r="H255"/>
  <c r="F249"/>
  <c r="I244"/>
  <c r="I236"/>
  <c r="H228"/>
  <c r="F225"/>
  <c r="I220"/>
  <c r="I212"/>
  <c r="H207"/>
  <c r="I198"/>
  <c r="H195"/>
  <c r="I186"/>
  <c r="H183"/>
  <c r="I174"/>
  <c r="H171"/>
  <c r="I162"/>
  <c r="H159"/>
  <c r="I150"/>
  <c r="H147"/>
  <c r="I138"/>
  <c r="H135"/>
  <c r="I126"/>
  <c r="H123"/>
  <c r="I114"/>
  <c r="F111"/>
  <c r="I36"/>
  <c r="F33"/>
  <c r="I18"/>
  <c r="F15"/>
  <c r="G11"/>
  <c r="G4"/>
  <c r="I2"/>
  <c r="D6" i="5"/>
  <c r="H2" i="9"/>
  <c r="I209" i="8"/>
  <c r="I197"/>
  <c r="I154"/>
  <c r="I124"/>
  <c r="I112"/>
  <c r="I28"/>
  <c r="I16"/>
  <c r="I11"/>
  <c r="F985"/>
  <c r="F949"/>
  <c r="I944"/>
  <c r="F940"/>
  <c r="F931"/>
  <c r="F929"/>
  <c r="I926"/>
  <c r="F916"/>
  <c r="F907"/>
  <c r="I902"/>
  <c r="F889"/>
  <c r="F887"/>
  <c r="I878"/>
  <c r="F850"/>
  <c r="F839"/>
  <c r="F826"/>
  <c r="I812"/>
  <c r="F797"/>
  <c r="F784"/>
  <c r="F775"/>
  <c r="F773"/>
  <c r="F742"/>
  <c r="F731"/>
  <c r="F717"/>
  <c r="F707"/>
  <c r="H704"/>
  <c r="F687"/>
  <c r="F683"/>
  <c r="I680"/>
  <c r="F666"/>
  <c r="F654"/>
  <c r="F651"/>
  <c r="F636"/>
  <c r="F624"/>
  <c r="F621"/>
  <c r="F619"/>
  <c r="F605"/>
  <c r="H602"/>
  <c r="F573"/>
  <c r="F569"/>
  <c r="I566"/>
  <c r="F549"/>
  <c r="F539"/>
  <c r="H536"/>
  <c r="F522"/>
  <c r="F517"/>
  <c r="F503"/>
  <c r="I500"/>
  <c r="F492"/>
  <c r="I483"/>
  <c r="F477"/>
  <c r="F475"/>
  <c r="F469"/>
  <c r="F467"/>
  <c r="F457"/>
  <c r="F455"/>
  <c r="F445"/>
  <c r="F443"/>
  <c r="F438"/>
  <c r="F426"/>
  <c r="F407"/>
  <c r="F402"/>
  <c r="F390"/>
  <c r="F385"/>
  <c r="H383"/>
  <c r="H381"/>
  <c r="H371"/>
  <c r="F369"/>
  <c r="H353"/>
  <c r="F351"/>
  <c r="H330"/>
  <c r="I325"/>
  <c r="H306"/>
  <c r="F274"/>
  <c r="F271"/>
  <c r="H257"/>
  <c r="H251"/>
  <c r="H249"/>
  <c r="F227"/>
  <c r="F215"/>
  <c r="F203"/>
  <c r="F191"/>
  <c r="F184"/>
  <c r="F172"/>
  <c r="F167"/>
  <c r="H162"/>
  <c r="I139"/>
  <c r="H137"/>
  <c r="F130"/>
  <c r="F118"/>
  <c r="I97"/>
  <c r="H90"/>
  <c r="F85"/>
  <c r="H83"/>
  <c r="H78"/>
  <c r="F73"/>
  <c r="F34"/>
  <c r="F22"/>
  <c r="F7"/>
  <c r="F1001"/>
  <c r="I998"/>
  <c r="F994"/>
  <c r="H985"/>
  <c r="F983"/>
  <c r="I980"/>
  <c r="F976"/>
  <c r="F967"/>
  <c r="F965"/>
  <c r="I962"/>
  <c r="F958"/>
  <c r="H949"/>
  <c r="F947"/>
  <c r="I940"/>
  <c r="F934"/>
  <c r="H931"/>
  <c r="H929"/>
  <c r="I920"/>
  <c r="I916"/>
  <c r="H907"/>
  <c r="F905"/>
  <c r="F892"/>
  <c r="H889"/>
  <c r="H887"/>
  <c r="F883"/>
  <c r="F881"/>
  <c r="I872"/>
  <c r="F868"/>
  <c r="F859"/>
  <c r="F857"/>
  <c r="I854"/>
  <c r="I850"/>
  <c r="F844"/>
  <c r="H839"/>
  <c r="F835"/>
  <c r="I830"/>
  <c r="I826"/>
  <c r="F817"/>
  <c r="F815"/>
  <c r="I806"/>
  <c r="F802"/>
  <c r="H797"/>
  <c r="F793"/>
  <c r="F791"/>
  <c r="I788"/>
  <c r="I784"/>
  <c r="H775"/>
  <c r="H773"/>
  <c r="F769"/>
  <c r="I764"/>
  <c r="F760"/>
  <c r="F751"/>
  <c r="F749"/>
  <c r="I746"/>
  <c r="I742"/>
  <c r="F736"/>
  <c r="H731"/>
  <c r="F720"/>
  <c r="I717"/>
  <c r="H715"/>
  <c r="H709"/>
  <c r="H707"/>
  <c r="F696"/>
  <c r="F690"/>
  <c r="H685"/>
  <c r="H683"/>
  <c r="H666"/>
  <c r="H654"/>
  <c r="H649"/>
  <c r="H644"/>
  <c r="H636"/>
  <c r="H624"/>
  <c r="H619"/>
  <c r="F612"/>
  <c r="F607"/>
  <c r="H605"/>
  <c r="F593"/>
  <c r="I590"/>
  <c r="F582"/>
  <c r="F576"/>
  <c r="H571"/>
  <c r="H569"/>
  <c r="F552"/>
  <c r="I549"/>
  <c r="H547"/>
  <c r="H545"/>
  <c r="H541"/>
  <c r="H539"/>
  <c r="F528"/>
  <c r="H522"/>
  <c r="I519"/>
  <c r="H517"/>
  <c r="F513"/>
  <c r="F511"/>
  <c r="F505"/>
  <c r="H503"/>
  <c r="H492"/>
  <c r="F480"/>
  <c r="H475"/>
  <c r="H469"/>
  <c r="H457"/>
  <c r="H445"/>
  <c r="H438"/>
  <c r="F435"/>
  <c r="H428"/>
  <c r="H426"/>
  <c r="H421"/>
  <c r="F414"/>
  <c r="F411"/>
  <c r="H409"/>
  <c r="H407"/>
  <c r="H402"/>
  <c r="F399"/>
  <c r="H397"/>
  <c r="H392"/>
  <c r="H390"/>
  <c r="F388"/>
  <c r="I383"/>
  <c r="F376"/>
  <c r="I371"/>
  <c r="H359"/>
  <c r="I353"/>
  <c r="H341"/>
  <c r="H335"/>
  <c r="F333"/>
  <c r="I330"/>
  <c r="F311"/>
  <c r="F309"/>
  <c r="I306"/>
  <c r="F299"/>
  <c r="H297"/>
  <c r="F292"/>
  <c r="F286"/>
  <c r="F280"/>
  <c r="H274"/>
  <c r="F268"/>
  <c r="F262"/>
  <c r="I257"/>
  <c r="I251"/>
  <c r="F244"/>
  <c r="F238"/>
  <c r="I229"/>
  <c r="H227"/>
  <c r="H222"/>
  <c r="I217"/>
  <c r="H210"/>
  <c r="I205"/>
  <c r="H198"/>
  <c r="I193"/>
  <c r="H186"/>
  <c r="I169"/>
  <c r="I162"/>
  <c r="I157"/>
  <c r="H155"/>
  <c r="F148"/>
  <c r="I137"/>
  <c r="H132"/>
  <c r="I127"/>
  <c r="H125"/>
  <c r="H120"/>
  <c r="F115"/>
  <c r="H113"/>
  <c r="F106"/>
  <c r="F94"/>
  <c r="I90"/>
  <c r="I85"/>
  <c r="I83"/>
  <c r="I78"/>
  <c r="I73"/>
  <c r="F70"/>
  <c r="F58"/>
  <c r="F46"/>
  <c r="F31"/>
  <c r="H29"/>
  <c r="H24"/>
  <c r="F19"/>
  <c r="H17"/>
  <c r="H12"/>
  <c r="I7"/>
  <c r="F4"/>
  <c r="H4"/>
  <c r="F997"/>
  <c r="I992"/>
  <c r="I988"/>
  <c r="F979"/>
  <c r="I974"/>
  <c r="I970"/>
  <c r="F961"/>
  <c r="I956"/>
  <c r="I952"/>
  <c r="H943"/>
  <c r="F941"/>
  <c r="F928"/>
  <c r="H925"/>
  <c r="H923"/>
  <c r="F919"/>
  <c r="F917"/>
  <c r="I910"/>
  <c r="H901"/>
  <c r="H899"/>
  <c r="F886"/>
  <c r="H877"/>
  <c r="H875"/>
  <c r="F871"/>
  <c r="I866"/>
  <c r="I862"/>
  <c r="F853"/>
  <c r="F851"/>
  <c r="I842"/>
  <c r="F838"/>
  <c r="H833"/>
  <c r="F829"/>
  <c r="F827"/>
  <c r="I824"/>
  <c r="I820"/>
  <c r="H811"/>
  <c r="H809"/>
  <c r="F805"/>
  <c r="I800"/>
  <c r="F796"/>
  <c r="F787"/>
  <c r="F785"/>
  <c r="I782"/>
  <c r="I778"/>
  <c r="F772"/>
  <c r="H767"/>
  <c r="F763"/>
  <c r="I758"/>
  <c r="I754"/>
  <c r="F745"/>
  <c r="F743"/>
  <c r="I734"/>
  <c r="F730"/>
  <c r="H727"/>
  <c r="H725"/>
  <c r="F714"/>
  <c r="F708"/>
  <c r="H703"/>
  <c r="H701"/>
  <c r="F684"/>
  <c r="I681"/>
  <c r="H679"/>
  <c r="H673"/>
  <c r="H671"/>
  <c r="F661"/>
  <c r="H659"/>
  <c r="F648"/>
  <c r="F643"/>
  <c r="H641"/>
  <c r="F631"/>
  <c r="H629"/>
  <c r="H618"/>
  <c r="F606"/>
  <c r="H601"/>
  <c r="H595"/>
  <c r="F591"/>
  <c r="F589"/>
  <c r="F587"/>
  <c r="H584"/>
  <c r="F570"/>
  <c r="I567"/>
  <c r="H565"/>
  <c r="H559"/>
  <c r="H557"/>
  <c r="F546"/>
  <c r="F540"/>
  <c r="H535"/>
  <c r="H533"/>
  <c r="H516"/>
  <c r="F510"/>
  <c r="F504"/>
  <c r="I501"/>
  <c r="H499"/>
  <c r="F487"/>
  <c r="H482"/>
  <c r="H474"/>
  <c r="H468"/>
  <c r="I465"/>
  <c r="F463"/>
  <c r="F461"/>
  <c r="H456"/>
  <c r="I453"/>
  <c r="F451"/>
  <c r="F449"/>
  <c r="H444"/>
  <c r="I441"/>
  <c r="I433"/>
  <c r="F425"/>
  <c r="F420"/>
  <c r="F408"/>
  <c r="I405"/>
  <c r="F396"/>
  <c r="H384"/>
  <c r="H382"/>
  <c r="I379"/>
  <c r="H370"/>
  <c r="I365"/>
  <c r="F358"/>
  <c r="H352"/>
  <c r="I347"/>
  <c r="F340"/>
  <c r="F334"/>
  <c r="F331"/>
  <c r="H329"/>
  <c r="H327"/>
  <c r="I323"/>
  <c r="H317"/>
  <c r="F310"/>
  <c r="F307"/>
  <c r="H305"/>
  <c r="F298"/>
  <c r="H288"/>
  <c r="H270"/>
  <c r="H258"/>
  <c r="H256"/>
  <c r="I252"/>
  <c r="H250"/>
  <c r="H240"/>
  <c r="F233"/>
  <c r="H226"/>
  <c r="F221"/>
  <c r="H214"/>
  <c r="F209"/>
  <c r="F197"/>
  <c r="I163"/>
  <c r="H161"/>
  <c r="F154"/>
  <c r="H138"/>
  <c r="F124"/>
  <c r="F112"/>
  <c r="H96"/>
  <c r="I91"/>
  <c r="H89"/>
  <c r="H84"/>
  <c r="F79"/>
  <c r="H77"/>
  <c r="H72"/>
  <c r="F28"/>
  <c r="F16"/>
  <c r="F11"/>
  <c r="H6"/>
  <c r="F1000"/>
  <c r="I986"/>
  <c r="F982"/>
  <c r="F964"/>
  <c r="I950"/>
  <c r="F946"/>
  <c r="I928"/>
  <c r="I908"/>
  <c r="F904"/>
  <c r="I886"/>
  <c r="I838"/>
  <c r="I796"/>
  <c r="I772"/>
  <c r="F748"/>
  <c r="I730"/>
  <c r="I727"/>
  <c r="I703"/>
  <c r="F689"/>
  <c r="H686"/>
  <c r="I679"/>
  <c r="I673"/>
  <c r="F669"/>
  <c r="F657"/>
  <c r="F653"/>
  <c r="H650"/>
  <c r="I591"/>
  <c r="F575"/>
  <c r="H572"/>
  <c r="I565"/>
  <c r="I559"/>
  <c r="F555"/>
  <c r="F551"/>
  <c r="I548"/>
  <c r="I535"/>
  <c r="F495"/>
  <c r="H491"/>
  <c r="I482"/>
  <c r="F479"/>
  <c r="H476"/>
  <c r="H425"/>
  <c r="I384"/>
  <c r="I329"/>
  <c r="I270"/>
  <c r="I161"/>
  <c r="I138"/>
  <c r="I96"/>
  <c r="I89"/>
  <c r="I84"/>
  <c r="I79"/>
  <c r="I77"/>
  <c r="I72"/>
  <c r="I6"/>
  <c r="I2"/>
  <c r="H2"/>
  <c r="I927"/>
  <c r="F927"/>
  <c r="F984"/>
  <c r="I984"/>
  <c r="I969"/>
  <c r="F969"/>
  <c r="F948"/>
  <c r="I948"/>
  <c r="I933"/>
  <c r="F933"/>
  <c r="F912"/>
  <c r="I912"/>
  <c r="I897"/>
  <c r="F897"/>
  <c r="F876"/>
  <c r="I876"/>
  <c r="I861"/>
  <c r="F861"/>
  <c r="F840"/>
  <c r="I840"/>
  <c r="I825"/>
  <c r="F825"/>
  <c r="F804"/>
  <c r="I804"/>
  <c r="I789"/>
  <c r="F789"/>
  <c r="F768"/>
  <c r="I768"/>
  <c r="I753"/>
  <c r="F753"/>
  <c r="F732"/>
  <c r="I732"/>
  <c r="F662"/>
  <c r="I662"/>
  <c r="H662"/>
  <c r="F632"/>
  <c r="I632"/>
  <c r="H632"/>
  <c r="I616"/>
  <c r="H616"/>
  <c r="F616"/>
  <c r="F578"/>
  <c r="I578"/>
  <c r="H578"/>
  <c r="F560"/>
  <c r="I560"/>
  <c r="H560"/>
  <c r="F524"/>
  <c r="I524"/>
  <c r="H524"/>
  <c r="I442"/>
  <c r="H442"/>
  <c r="F442"/>
  <c r="I437"/>
  <c r="H437"/>
  <c r="F437"/>
  <c r="I406"/>
  <c r="H406"/>
  <c r="F406"/>
  <c r="I401"/>
  <c r="H401"/>
  <c r="F401"/>
  <c r="I389"/>
  <c r="H389"/>
  <c r="F389"/>
  <c r="I362"/>
  <c r="H362"/>
  <c r="F362"/>
  <c r="I315"/>
  <c r="H315"/>
  <c r="F315"/>
  <c r="F294"/>
  <c r="I294"/>
  <c r="H294"/>
  <c r="H277"/>
  <c r="I277"/>
  <c r="F277"/>
  <c r="H253"/>
  <c r="I253"/>
  <c r="F253"/>
  <c r="H927"/>
  <c r="F942"/>
  <c r="I942"/>
  <c r="F906"/>
  <c r="I906"/>
  <c r="I891"/>
  <c r="F891"/>
  <c r="F870"/>
  <c r="I870"/>
  <c r="F990"/>
  <c r="I990"/>
  <c r="I975"/>
  <c r="F975"/>
  <c r="F954"/>
  <c r="I954"/>
  <c r="I939"/>
  <c r="F939"/>
  <c r="F918"/>
  <c r="I918"/>
  <c r="I903"/>
  <c r="F903"/>
  <c r="F882"/>
  <c r="I882"/>
  <c r="I867"/>
  <c r="F867"/>
  <c r="F846"/>
  <c r="I846"/>
  <c r="I831"/>
  <c r="F831"/>
  <c r="F810"/>
  <c r="I810"/>
  <c r="I795"/>
  <c r="F795"/>
  <c r="F774"/>
  <c r="I774"/>
  <c r="I759"/>
  <c r="F759"/>
  <c r="F738"/>
  <c r="I738"/>
  <c r="F728"/>
  <c r="I728"/>
  <c r="H728"/>
  <c r="F710"/>
  <c r="I710"/>
  <c r="H710"/>
  <c r="F692"/>
  <c r="I692"/>
  <c r="H692"/>
  <c r="F674"/>
  <c r="I674"/>
  <c r="H674"/>
  <c r="H663"/>
  <c r="I663"/>
  <c r="F663"/>
  <c r="H633"/>
  <c r="I633"/>
  <c r="F633"/>
  <c r="I617"/>
  <c r="F617"/>
  <c r="H579"/>
  <c r="I579"/>
  <c r="F579"/>
  <c r="H561"/>
  <c r="I561"/>
  <c r="F561"/>
  <c r="F488"/>
  <c r="I488"/>
  <c r="H488"/>
  <c r="I454"/>
  <c r="H454"/>
  <c r="F454"/>
  <c r="I159"/>
  <c r="H159"/>
  <c r="F159"/>
  <c r="H984"/>
  <c r="H969"/>
  <c r="H948"/>
  <c r="H933"/>
  <c r="H912"/>
  <c r="H897"/>
  <c r="H861"/>
  <c r="H840"/>
  <c r="H825"/>
  <c r="H804"/>
  <c r="H789"/>
  <c r="H768"/>
  <c r="H753"/>
  <c r="H732"/>
  <c r="F978"/>
  <c r="I978"/>
  <c r="I855"/>
  <c r="F855"/>
  <c r="F834"/>
  <c r="I834"/>
  <c r="I783"/>
  <c r="F783"/>
  <c r="F762"/>
  <c r="I762"/>
  <c r="I747"/>
  <c r="F747"/>
  <c r="I599"/>
  <c r="F599"/>
  <c r="I45"/>
  <c r="H45"/>
  <c r="F45"/>
  <c r="F996"/>
  <c r="I996"/>
  <c r="I981"/>
  <c r="F981"/>
  <c r="F960"/>
  <c r="I960"/>
  <c r="I945"/>
  <c r="F945"/>
  <c r="F924"/>
  <c r="I924"/>
  <c r="I909"/>
  <c r="F909"/>
  <c r="F888"/>
  <c r="I888"/>
  <c r="I873"/>
  <c r="F873"/>
  <c r="F852"/>
  <c r="I852"/>
  <c r="I837"/>
  <c r="F837"/>
  <c r="F816"/>
  <c r="I816"/>
  <c r="I801"/>
  <c r="F801"/>
  <c r="F780"/>
  <c r="I780"/>
  <c r="I765"/>
  <c r="F765"/>
  <c r="F744"/>
  <c r="I744"/>
  <c r="I729"/>
  <c r="F729"/>
  <c r="H711"/>
  <c r="I711"/>
  <c r="F711"/>
  <c r="H693"/>
  <c r="I693"/>
  <c r="F693"/>
  <c r="H675"/>
  <c r="I675"/>
  <c r="F675"/>
  <c r="I664"/>
  <c r="H664"/>
  <c r="F664"/>
  <c r="I634"/>
  <c r="H634"/>
  <c r="F634"/>
  <c r="F596"/>
  <c r="I596"/>
  <c r="H596"/>
  <c r="I580"/>
  <c r="H580"/>
  <c r="F580"/>
  <c r="I562"/>
  <c r="H562"/>
  <c r="F562"/>
  <c r="I526"/>
  <c r="H526"/>
  <c r="F526"/>
  <c r="H507"/>
  <c r="I507"/>
  <c r="F507"/>
  <c r="I466"/>
  <c r="H466"/>
  <c r="F466"/>
  <c r="F440"/>
  <c r="I440"/>
  <c r="H440"/>
  <c r="F404"/>
  <c r="I404"/>
  <c r="H404"/>
  <c r="I987"/>
  <c r="F987"/>
  <c r="F966"/>
  <c r="I966"/>
  <c r="I951"/>
  <c r="F951"/>
  <c r="F930"/>
  <c r="I930"/>
  <c r="I915"/>
  <c r="F915"/>
  <c r="F894"/>
  <c r="I894"/>
  <c r="I879"/>
  <c r="F879"/>
  <c r="F858"/>
  <c r="I858"/>
  <c r="I843"/>
  <c r="F843"/>
  <c r="F822"/>
  <c r="I822"/>
  <c r="I807"/>
  <c r="F807"/>
  <c r="F786"/>
  <c r="I786"/>
  <c r="I771"/>
  <c r="F771"/>
  <c r="F750"/>
  <c r="I750"/>
  <c r="I735"/>
  <c r="F735"/>
  <c r="I712"/>
  <c r="H712"/>
  <c r="F712"/>
  <c r="I694"/>
  <c r="H694"/>
  <c r="F694"/>
  <c r="I676"/>
  <c r="H676"/>
  <c r="F676"/>
  <c r="I665"/>
  <c r="F665"/>
  <c r="I635"/>
  <c r="F635"/>
  <c r="H597"/>
  <c r="I597"/>
  <c r="F597"/>
  <c r="I581"/>
  <c r="F581"/>
  <c r="I563"/>
  <c r="F563"/>
  <c r="F542"/>
  <c r="I542"/>
  <c r="H542"/>
  <c r="I490"/>
  <c r="H490"/>
  <c r="F490"/>
  <c r="H471"/>
  <c r="I471"/>
  <c r="F471"/>
  <c r="F452"/>
  <c r="I452"/>
  <c r="H452"/>
  <c r="I424"/>
  <c r="H424"/>
  <c r="F424"/>
  <c r="I419"/>
  <c r="H419"/>
  <c r="F419"/>
  <c r="I395"/>
  <c r="H395"/>
  <c r="F395"/>
  <c r="I285"/>
  <c r="H285"/>
  <c r="F285"/>
  <c r="I111"/>
  <c r="H111"/>
  <c r="F111"/>
  <c r="H996"/>
  <c r="H981"/>
  <c r="H960"/>
  <c r="I999"/>
  <c r="F999"/>
  <c r="I963"/>
  <c r="F963"/>
  <c r="I819"/>
  <c r="F819"/>
  <c r="F798"/>
  <c r="I798"/>
  <c r="H615"/>
  <c r="I615"/>
  <c r="F615"/>
  <c r="I544"/>
  <c r="H544"/>
  <c r="F544"/>
  <c r="I473"/>
  <c r="F473"/>
  <c r="H473"/>
  <c r="F422"/>
  <c r="I422"/>
  <c r="H422"/>
  <c r="I993"/>
  <c r="F993"/>
  <c r="F972"/>
  <c r="I972"/>
  <c r="I957"/>
  <c r="F957"/>
  <c r="F936"/>
  <c r="I936"/>
  <c r="I921"/>
  <c r="F921"/>
  <c r="F900"/>
  <c r="I900"/>
  <c r="I885"/>
  <c r="F885"/>
  <c r="F864"/>
  <c r="I864"/>
  <c r="I849"/>
  <c r="F849"/>
  <c r="F828"/>
  <c r="I828"/>
  <c r="I813"/>
  <c r="F813"/>
  <c r="F792"/>
  <c r="I792"/>
  <c r="I777"/>
  <c r="F777"/>
  <c r="F756"/>
  <c r="I756"/>
  <c r="I741"/>
  <c r="F741"/>
  <c r="I713"/>
  <c r="F713"/>
  <c r="I695"/>
  <c r="F695"/>
  <c r="I677"/>
  <c r="F677"/>
  <c r="F614"/>
  <c r="I614"/>
  <c r="H614"/>
  <c r="I598"/>
  <c r="H598"/>
  <c r="F598"/>
  <c r="I509"/>
  <c r="F509"/>
  <c r="H509"/>
  <c r="F464"/>
  <c r="I464"/>
  <c r="H464"/>
  <c r="H373"/>
  <c r="I373"/>
  <c r="F373"/>
  <c r="H319"/>
  <c r="I319"/>
  <c r="F319"/>
  <c r="I302"/>
  <c r="H302"/>
  <c r="F302"/>
  <c r="F264"/>
  <c r="I264"/>
  <c r="H264"/>
  <c r="I472"/>
  <c r="H472"/>
  <c r="I448"/>
  <c r="H448"/>
  <c r="F448"/>
  <c r="I375"/>
  <c r="H375"/>
  <c r="I321"/>
  <c r="H321"/>
  <c r="I296"/>
  <c r="H296"/>
  <c r="F296"/>
  <c r="I255"/>
  <c r="H255"/>
  <c r="F255"/>
  <c r="I117"/>
  <c r="H117"/>
  <c r="F117"/>
  <c r="I3"/>
  <c r="H3"/>
  <c r="F3"/>
  <c r="I718"/>
  <c r="H718"/>
  <c r="I700"/>
  <c r="H700"/>
  <c r="I682"/>
  <c r="H682"/>
  <c r="I658"/>
  <c r="H658"/>
  <c r="I628"/>
  <c r="H628"/>
  <c r="I592"/>
  <c r="H592"/>
  <c r="I568"/>
  <c r="H568"/>
  <c r="I550"/>
  <c r="H550"/>
  <c r="I532"/>
  <c r="H532"/>
  <c r="I502"/>
  <c r="H502"/>
  <c r="I436"/>
  <c r="H436"/>
  <c r="F436"/>
  <c r="I418"/>
  <c r="H418"/>
  <c r="F418"/>
  <c r="I380"/>
  <c r="H380"/>
  <c r="F380"/>
  <c r="H337"/>
  <c r="I337"/>
  <c r="I326"/>
  <c r="H326"/>
  <c r="F326"/>
  <c r="I248"/>
  <c r="H248"/>
  <c r="I153"/>
  <c r="H153"/>
  <c r="F153"/>
  <c r="I63"/>
  <c r="H63"/>
  <c r="F63"/>
  <c r="D5" i="5"/>
  <c r="I722" i="8"/>
  <c r="I704"/>
  <c r="I686"/>
  <c r="I668"/>
  <c r="I651"/>
  <c r="I638"/>
  <c r="I621"/>
  <c r="I602"/>
  <c r="I585"/>
  <c r="I572"/>
  <c r="I554"/>
  <c r="F545"/>
  <c r="F543"/>
  <c r="I536"/>
  <c r="F527"/>
  <c r="F525"/>
  <c r="I512"/>
  <c r="H506"/>
  <c r="I495"/>
  <c r="F491"/>
  <c r="F489"/>
  <c r="I476"/>
  <c r="F472"/>
  <c r="H470"/>
  <c r="H467"/>
  <c r="H458"/>
  <c r="H455"/>
  <c r="H446"/>
  <c r="H443"/>
  <c r="F375"/>
  <c r="F321"/>
  <c r="I508"/>
  <c r="H508"/>
  <c r="I460"/>
  <c r="H460"/>
  <c r="F460"/>
  <c r="F360"/>
  <c r="I360"/>
  <c r="H360"/>
  <c r="H313"/>
  <c r="I313"/>
  <c r="F313"/>
  <c r="F300"/>
  <c r="I300"/>
  <c r="H283"/>
  <c r="I283"/>
  <c r="I279"/>
  <c r="H279"/>
  <c r="F279"/>
  <c r="I266"/>
  <c r="H266"/>
  <c r="I152"/>
  <c r="H152"/>
  <c r="F152"/>
  <c r="I652"/>
  <c r="H652"/>
  <c r="I622"/>
  <c r="H622"/>
  <c r="I586"/>
  <c r="H586"/>
  <c r="I496"/>
  <c r="H496"/>
  <c r="I400"/>
  <c r="H400"/>
  <c r="F400"/>
  <c r="I394"/>
  <c r="H394"/>
  <c r="F394"/>
  <c r="I357"/>
  <c r="H357"/>
  <c r="F342"/>
  <c r="I342"/>
  <c r="H342"/>
  <c r="H235"/>
  <c r="I235"/>
  <c r="I146"/>
  <c r="H146"/>
  <c r="F146"/>
  <c r="I123"/>
  <c r="H123"/>
  <c r="I110"/>
  <c r="H110"/>
  <c r="F110"/>
  <c r="F998"/>
  <c r="F992"/>
  <c r="F986"/>
  <c r="F980"/>
  <c r="F974"/>
  <c r="F968"/>
  <c r="F962"/>
  <c r="F956"/>
  <c r="F950"/>
  <c r="F944"/>
  <c r="F938"/>
  <c r="F932"/>
  <c r="F926"/>
  <c r="F920"/>
  <c r="F914"/>
  <c r="F908"/>
  <c r="F902"/>
  <c r="F896"/>
  <c r="F890"/>
  <c r="F884"/>
  <c r="F878"/>
  <c r="F872"/>
  <c r="F866"/>
  <c r="F860"/>
  <c r="F854"/>
  <c r="F848"/>
  <c r="F842"/>
  <c r="F836"/>
  <c r="F830"/>
  <c r="F824"/>
  <c r="F818"/>
  <c r="F812"/>
  <c r="F806"/>
  <c r="F800"/>
  <c r="F794"/>
  <c r="F788"/>
  <c r="F782"/>
  <c r="F776"/>
  <c r="F770"/>
  <c r="F764"/>
  <c r="F758"/>
  <c r="F752"/>
  <c r="F746"/>
  <c r="F740"/>
  <c r="F734"/>
  <c r="F718"/>
  <c r="H716"/>
  <c r="F700"/>
  <c r="H698"/>
  <c r="F682"/>
  <c r="H680"/>
  <c r="F658"/>
  <c r="H656"/>
  <c r="H653"/>
  <c r="F647"/>
  <c r="F645"/>
  <c r="F628"/>
  <c r="H626"/>
  <c r="H623"/>
  <c r="F611"/>
  <c r="F609"/>
  <c r="F592"/>
  <c r="H590"/>
  <c r="H587"/>
  <c r="F568"/>
  <c r="H566"/>
  <c r="F550"/>
  <c r="H548"/>
  <c r="I543"/>
  <c r="F532"/>
  <c r="H530"/>
  <c r="I525"/>
  <c r="F521"/>
  <c r="F519"/>
  <c r="I506"/>
  <c r="F502"/>
  <c r="H500"/>
  <c r="H497"/>
  <c r="I489"/>
  <c r="F485"/>
  <c r="F483"/>
  <c r="I470"/>
  <c r="I458"/>
  <c r="I446"/>
  <c r="H434"/>
  <c r="F431"/>
  <c r="H416"/>
  <c r="F413"/>
  <c r="F337"/>
  <c r="F248"/>
  <c r="I646"/>
  <c r="H646"/>
  <c r="I610"/>
  <c r="H610"/>
  <c r="I520"/>
  <c r="H520"/>
  <c r="I484"/>
  <c r="H484"/>
  <c r="F378"/>
  <c r="I378"/>
  <c r="H378"/>
  <c r="I339"/>
  <c r="H339"/>
  <c r="F324"/>
  <c r="I324"/>
  <c r="H324"/>
  <c r="F246"/>
  <c r="I246"/>
  <c r="I104"/>
  <c r="H104"/>
  <c r="F104"/>
  <c r="I27"/>
  <c r="H27"/>
  <c r="F27"/>
  <c r="I723"/>
  <c r="I705"/>
  <c r="I687"/>
  <c r="I669"/>
  <c r="I650"/>
  <c r="H647"/>
  <c r="I639"/>
  <c r="I620"/>
  <c r="H611"/>
  <c r="I603"/>
  <c r="I584"/>
  <c r="I573"/>
  <c r="I555"/>
  <c r="I537"/>
  <c r="H521"/>
  <c r="I513"/>
  <c r="I494"/>
  <c r="H485"/>
  <c r="I477"/>
  <c r="H461"/>
  <c r="H449"/>
  <c r="I724"/>
  <c r="H724"/>
  <c r="I706"/>
  <c r="H706"/>
  <c r="I688"/>
  <c r="H688"/>
  <c r="I670"/>
  <c r="H670"/>
  <c r="I640"/>
  <c r="H640"/>
  <c r="I604"/>
  <c r="H604"/>
  <c r="I574"/>
  <c r="H574"/>
  <c r="I556"/>
  <c r="H556"/>
  <c r="I538"/>
  <c r="H538"/>
  <c r="I514"/>
  <c r="H514"/>
  <c r="I478"/>
  <c r="H478"/>
  <c r="I430"/>
  <c r="H430"/>
  <c r="F430"/>
  <c r="I412"/>
  <c r="H412"/>
  <c r="F412"/>
  <c r="H355"/>
  <c r="I355"/>
  <c r="I344"/>
  <c r="H344"/>
  <c r="F344"/>
  <c r="I237"/>
  <c r="H237"/>
  <c r="I116"/>
  <c r="H116"/>
  <c r="F116"/>
  <c r="I290"/>
  <c r="H290"/>
  <c r="I260"/>
  <c r="H260"/>
  <c r="I242"/>
  <c r="H242"/>
  <c r="I230"/>
  <c r="H230"/>
  <c r="F230"/>
  <c r="I224"/>
  <c r="H224"/>
  <c r="F224"/>
  <c r="I218"/>
  <c r="H218"/>
  <c r="F218"/>
  <c r="I212"/>
  <c r="H212"/>
  <c r="F212"/>
  <c r="I206"/>
  <c r="H206"/>
  <c r="F206"/>
  <c r="I200"/>
  <c r="H200"/>
  <c r="F200"/>
  <c r="I194"/>
  <c r="H194"/>
  <c r="F194"/>
  <c r="I188"/>
  <c r="H188"/>
  <c r="F188"/>
  <c r="I147"/>
  <c r="H147"/>
  <c r="I140"/>
  <c r="H140"/>
  <c r="F140"/>
  <c r="I105"/>
  <c r="H105"/>
  <c r="I98"/>
  <c r="H98"/>
  <c r="F98"/>
  <c r="I92"/>
  <c r="H92"/>
  <c r="F92"/>
  <c r="I21"/>
  <c r="H21"/>
  <c r="F21"/>
  <c r="I374"/>
  <c r="H374"/>
  <c r="I356"/>
  <c r="H356"/>
  <c r="I338"/>
  <c r="H338"/>
  <c r="I320"/>
  <c r="H320"/>
  <c r="I284"/>
  <c r="H284"/>
  <c r="I236"/>
  <c r="H236"/>
  <c r="I231"/>
  <c r="H231"/>
  <c r="I225"/>
  <c r="H225"/>
  <c r="I219"/>
  <c r="H219"/>
  <c r="I213"/>
  <c r="H213"/>
  <c r="I207"/>
  <c r="H207"/>
  <c r="I201"/>
  <c r="H201"/>
  <c r="I195"/>
  <c r="H195"/>
  <c r="I189"/>
  <c r="H189"/>
  <c r="I182"/>
  <c r="H182"/>
  <c r="F182"/>
  <c r="I141"/>
  <c r="H141"/>
  <c r="I134"/>
  <c r="H134"/>
  <c r="F134"/>
  <c r="I99"/>
  <c r="H99"/>
  <c r="I93"/>
  <c r="H93"/>
  <c r="I86"/>
  <c r="H86"/>
  <c r="F86"/>
  <c r="I80"/>
  <c r="H80"/>
  <c r="F80"/>
  <c r="I74"/>
  <c r="H74"/>
  <c r="F74"/>
  <c r="I57"/>
  <c r="H57"/>
  <c r="F57"/>
  <c r="I39"/>
  <c r="H39"/>
  <c r="F39"/>
  <c r="I314"/>
  <c r="H314"/>
  <c r="I278"/>
  <c r="H278"/>
  <c r="I254"/>
  <c r="H254"/>
  <c r="I183"/>
  <c r="H183"/>
  <c r="I176"/>
  <c r="H176"/>
  <c r="F176"/>
  <c r="I170"/>
  <c r="H170"/>
  <c r="F170"/>
  <c r="I164"/>
  <c r="H164"/>
  <c r="F164"/>
  <c r="I135"/>
  <c r="H135"/>
  <c r="I128"/>
  <c r="H128"/>
  <c r="F128"/>
  <c r="I87"/>
  <c r="H87"/>
  <c r="I81"/>
  <c r="H81"/>
  <c r="I75"/>
  <c r="H75"/>
  <c r="I33"/>
  <c r="H33"/>
  <c r="F33"/>
  <c r="I15"/>
  <c r="H15"/>
  <c r="F15"/>
  <c r="I385"/>
  <c r="F374"/>
  <c r="H372"/>
  <c r="I367"/>
  <c r="F356"/>
  <c r="H354"/>
  <c r="I349"/>
  <c r="F338"/>
  <c r="H336"/>
  <c r="I331"/>
  <c r="F320"/>
  <c r="H318"/>
  <c r="I307"/>
  <c r="F303"/>
  <c r="F301"/>
  <c r="I288"/>
  <c r="F284"/>
  <c r="H282"/>
  <c r="I271"/>
  <c r="F267"/>
  <c r="F265"/>
  <c r="I258"/>
  <c r="F249"/>
  <c r="F247"/>
  <c r="I240"/>
  <c r="F236"/>
  <c r="H234"/>
  <c r="F231"/>
  <c r="F225"/>
  <c r="F219"/>
  <c r="F213"/>
  <c r="F207"/>
  <c r="F201"/>
  <c r="F195"/>
  <c r="F189"/>
  <c r="F141"/>
  <c r="F99"/>
  <c r="F93"/>
  <c r="I386"/>
  <c r="H386"/>
  <c r="I368"/>
  <c r="H368"/>
  <c r="I350"/>
  <c r="H350"/>
  <c r="I332"/>
  <c r="H332"/>
  <c r="I308"/>
  <c r="H308"/>
  <c r="I272"/>
  <c r="H272"/>
  <c r="I177"/>
  <c r="H177"/>
  <c r="I171"/>
  <c r="H171"/>
  <c r="I165"/>
  <c r="H165"/>
  <c r="I158"/>
  <c r="H158"/>
  <c r="F158"/>
  <c r="I129"/>
  <c r="H129"/>
  <c r="I122"/>
  <c r="H122"/>
  <c r="F122"/>
  <c r="I69"/>
  <c r="H69"/>
  <c r="F69"/>
  <c r="I51"/>
  <c r="H51"/>
  <c r="F51"/>
  <c r="I9"/>
  <c r="H9"/>
  <c r="F9"/>
  <c r="F381"/>
  <c r="F379"/>
  <c r="I372"/>
  <c r="H369"/>
  <c r="F363"/>
  <c r="F361"/>
  <c r="I354"/>
  <c r="H351"/>
  <c r="F345"/>
  <c r="F343"/>
  <c r="I336"/>
  <c r="H333"/>
  <c r="F327"/>
  <c r="F325"/>
  <c r="I318"/>
  <c r="F314"/>
  <c r="H312"/>
  <c r="H309"/>
  <c r="I301"/>
  <c r="F297"/>
  <c r="F295"/>
  <c r="I282"/>
  <c r="F278"/>
  <c r="H276"/>
  <c r="H273"/>
  <c r="I265"/>
  <c r="F254"/>
  <c r="H252"/>
  <c r="I247"/>
  <c r="I234"/>
  <c r="F183"/>
  <c r="F135"/>
  <c r="F87"/>
  <c r="F81"/>
  <c r="F75"/>
  <c r="F68"/>
  <c r="F62"/>
  <c r="F56"/>
  <c r="F50"/>
  <c r="F44"/>
  <c r="F38"/>
  <c r="F32"/>
  <c r="F26"/>
  <c r="F20"/>
  <c r="F14"/>
  <c r="F8"/>
  <c r="F229"/>
  <c r="F223"/>
  <c r="F217"/>
  <c r="F211"/>
  <c r="F205"/>
  <c r="F199"/>
  <c r="F193"/>
  <c r="F187"/>
  <c r="F181"/>
  <c r="F175"/>
  <c r="F169"/>
  <c r="F163"/>
  <c r="F157"/>
  <c r="F151"/>
  <c r="F145"/>
  <c r="F139"/>
  <c r="F133"/>
  <c r="F127"/>
  <c r="F121"/>
  <c r="F109"/>
  <c r="F103"/>
  <c r="F97"/>
  <c r="F91"/>
  <c r="H68"/>
  <c r="H62"/>
  <c r="H56"/>
  <c r="H50"/>
  <c r="H44"/>
  <c r="H38"/>
  <c r="H32"/>
  <c r="H26"/>
  <c r="H20"/>
  <c r="H14"/>
  <c r="H8"/>
  <c r="G5" i="6"/>
  <c r="G4"/>
  <c r="G3"/>
  <c r="H214"/>
  <c r="I214"/>
  <c r="F214"/>
  <c r="H232"/>
  <c r="I232"/>
  <c r="F232"/>
  <c r="I3"/>
  <c r="F6"/>
  <c r="G968" s="1"/>
  <c r="H8"/>
  <c r="I9"/>
  <c r="F12"/>
  <c r="H14"/>
  <c r="I15"/>
  <c r="F18"/>
  <c r="H20"/>
  <c r="I21"/>
  <c r="F24"/>
  <c r="H26"/>
  <c r="I27"/>
  <c r="F30"/>
  <c r="H32"/>
  <c r="I33"/>
  <c r="F36"/>
  <c r="H38"/>
  <c r="I39"/>
  <c r="F42"/>
  <c r="H44"/>
  <c r="I45"/>
  <c r="F48"/>
  <c r="H50"/>
  <c r="I51"/>
  <c r="F53"/>
  <c r="I54"/>
  <c r="F56"/>
  <c r="I58"/>
  <c r="F60"/>
  <c r="H61"/>
  <c r="F67"/>
  <c r="H68"/>
  <c r="F71"/>
  <c r="I72"/>
  <c r="F74"/>
  <c r="I76"/>
  <c r="F78"/>
  <c r="H79"/>
  <c r="F85"/>
  <c r="H86"/>
  <c r="F89"/>
  <c r="I90"/>
  <c r="F92"/>
  <c r="I94"/>
  <c r="F96"/>
  <c r="H97"/>
  <c r="F103"/>
  <c r="H104"/>
  <c r="F107"/>
  <c r="I108"/>
  <c r="F110"/>
  <c r="I112"/>
  <c r="F114"/>
  <c r="H115"/>
  <c r="I120"/>
  <c r="H125"/>
  <c r="I128"/>
  <c r="F132"/>
  <c r="I138"/>
  <c r="H143"/>
  <c r="I146"/>
  <c r="F150"/>
  <c r="I156"/>
  <c r="H161"/>
  <c r="I164"/>
  <c r="F168"/>
  <c r="I174"/>
  <c r="H179"/>
  <c r="I182"/>
  <c r="F186"/>
  <c r="I192"/>
  <c r="H197"/>
  <c r="I200"/>
  <c r="F204"/>
  <c r="H212"/>
  <c r="H221"/>
  <c r="H230"/>
  <c r="H239"/>
  <c r="H130"/>
  <c r="F130"/>
  <c r="H148"/>
  <c r="F148"/>
  <c r="H166"/>
  <c r="F166"/>
  <c r="H184"/>
  <c r="F184"/>
  <c r="H202"/>
  <c r="F202"/>
  <c r="F302"/>
  <c r="H302"/>
  <c r="I302"/>
  <c r="F320"/>
  <c r="H320"/>
  <c r="I320"/>
  <c r="F338"/>
  <c r="H338"/>
  <c r="I338"/>
  <c r="H3"/>
  <c r="E2" i="5" s="1"/>
  <c r="F7" i="6"/>
  <c r="G12" s="1"/>
  <c r="H9"/>
  <c r="F13"/>
  <c r="H15"/>
  <c r="F19"/>
  <c r="H21"/>
  <c r="H27"/>
  <c r="H33"/>
  <c r="H39"/>
  <c r="H45"/>
  <c r="H51"/>
  <c r="H226"/>
  <c r="I226"/>
  <c r="F226"/>
  <c r="H244"/>
  <c r="I244"/>
  <c r="F244"/>
  <c r="F248"/>
  <c r="H248"/>
  <c r="H250"/>
  <c r="I250"/>
  <c r="F250"/>
  <c r="F254"/>
  <c r="H254"/>
  <c r="H256"/>
  <c r="I256"/>
  <c r="F256"/>
  <c r="F260"/>
  <c r="H260"/>
  <c r="H262"/>
  <c r="I262"/>
  <c r="F262"/>
  <c r="F266"/>
  <c r="H266"/>
  <c r="H268"/>
  <c r="I268"/>
  <c r="F268"/>
  <c r="F272"/>
  <c r="H272"/>
  <c r="H274"/>
  <c r="I274"/>
  <c r="F274"/>
  <c r="F278"/>
  <c r="H278"/>
  <c r="H280"/>
  <c r="I280"/>
  <c r="F280"/>
  <c r="F284"/>
  <c r="H284"/>
  <c r="H131"/>
  <c r="H149"/>
  <c r="H167"/>
  <c r="H185"/>
  <c r="H203"/>
  <c r="H118"/>
  <c r="F118"/>
  <c r="H136"/>
  <c r="F136"/>
  <c r="H154"/>
  <c r="F154"/>
  <c r="H172"/>
  <c r="F172"/>
  <c r="H190"/>
  <c r="F190"/>
  <c r="H208"/>
  <c r="F208"/>
  <c r="F290"/>
  <c r="H290"/>
  <c r="I290"/>
  <c r="F308"/>
  <c r="H308"/>
  <c r="I308"/>
  <c r="F326"/>
  <c r="H326"/>
  <c r="I326"/>
  <c r="F131"/>
  <c r="F149"/>
  <c r="F167"/>
  <c r="F185"/>
  <c r="F203"/>
  <c r="F215"/>
  <c r="F233"/>
  <c r="H220"/>
  <c r="I220"/>
  <c r="F220"/>
  <c r="H238"/>
  <c r="I238"/>
  <c r="F238"/>
  <c r="I194"/>
  <c r="I204"/>
  <c r="H124"/>
  <c r="F124"/>
  <c r="H142"/>
  <c r="F142"/>
  <c r="H160"/>
  <c r="F160"/>
  <c r="H178"/>
  <c r="F178"/>
  <c r="H196"/>
  <c r="F196"/>
  <c r="F296"/>
  <c r="H296"/>
  <c r="I296"/>
  <c r="F314"/>
  <c r="H314"/>
  <c r="I314"/>
  <c r="F332"/>
  <c r="H332"/>
  <c r="I332"/>
  <c r="H64"/>
  <c r="H82"/>
  <c r="H100"/>
  <c r="F119"/>
  <c r="H122"/>
  <c r="I130"/>
  <c r="F137"/>
  <c r="H140"/>
  <c r="I148"/>
  <c r="F155"/>
  <c r="H158"/>
  <c r="I166"/>
  <c r="F173"/>
  <c r="H176"/>
  <c r="I184"/>
  <c r="F191"/>
  <c r="H194"/>
  <c r="I202"/>
  <c r="F209"/>
  <c r="I212"/>
  <c r="F227"/>
  <c r="I230"/>
  <c r="H508"/>
  <c r="I508"/>
  <c r="H537"/>
  <c r="I537"/>
  <c r="F537"/>
  <c r="H544"/>
  <c r="I544"/>
  <c r="H573"/>
  <c r="I573"/>
  <c r="F573"/>
  <c r="H580"/>
  <c r="I580"/>
  <c r="F286"/>
  <c r="F292"/>
  <c r="F298"/>
  <c r="F304"/>
  <c r="F310"/>
  <c r="F316"/>
  <c r="F322"/>
  <c r="F328"/>
  <c r="F334"/>
  <c r="F340"/>
  <c r="F346"/>
  <c r="F352"/>
  <c r="F358"/>
  <c r="H360"/>
  <c r="F366"/>
  <c r="F370"/>
  <c r="I371"/>
  <c r="F373"/>
  <c r="I375"/>
  <c r="F377"/>
  <c r="H378"/>
  <c r="F384"/>
  <c r="F388"/>
  <c r="I389"/>
  <c r="F391"/>
  <c r="I393"/>
  <c r="F395"/>
  <c r="H396"/>
  <c r="F402"/>
  <c r="F406"/>
  <c r="I407"/>
  <c r="F409"/>
  <c r="I411"/>
  <c r="F413"/>
  <c r="H414"/>
  <c r="F420"/>
  <c r="F424"/>
  <c r="I425"/>
  <c r="F427"/>
  <c r="I429"/>
  <c r="F431"/>
  <c r="H432"/>
  <c r="F438"/>
  <c r="F442"/>
  <c r="I443"/>
  <c r="F445"/>
  <c r="I447"/>
  <c r="F449"/>
  <c r="H450"/>
  <c r="F456"/>
  <c r="F460"/>
  <c r="I461"/>
  <c r="F463"/>
  <c r="I465"/>
  <c r="F467"/>
  <c r="H468"/>
  <c r="F474"/>
  <c r="F478"/>
  <c r="I479"/>
  <c r="F481"/>
  <c r="I483"/>
  <c r="F485"/>
  <c r="H486"/>
  <c r="F492"/>
  <c r="F502"/>
  <c r="F504"/>
  <c r="I504"/>
  <c r="H507"/>
  <c r="I507"/>
  <c r="F507"/>
  <c r="H514"/>
  <c r="I514"/>
  <c r="H543"/>
  <c r="I543"/>
  <c r="F543"/>
  <c r="H550"/>
  <c r="I550"/>
  <c r="H579"/>
  <c r="I579"/>
  <c r="F579"/>
  <c r="H586"/>
  <c r="I586"/>
  <c r="H610"/>
  <c r="I610"/>
  <c r="F610"/>
  <c r="I344"/>
  <c r="I350"/>
  <c r="I356"/>
  <c r="I361"/>
  <c r="I379"/>
  <c r="I397"/>
  <c r="I415"/>
  <c r="I433"/>
  <c r="I451"/>
  <c r="I469"/>
  <c r="I487"/>
  <c r="H513"/>
  <c r="I513"/>
  <c r="F513"/>
  <c r="H520"/>
  <c r="I520"/>
  <c r="H549"/>
  <c r="I549"/>
  <c r="F549"/>
  <c r="H556"/>
  <c r="I556"/>
  <c r="H585"/>
  <c r="I585"/>
  <c r="F585"/>
  <c r="H592"/>
  <c r="I592"/>
  <c r="H344"/>
  <c r="H350"/>
  <c r="H356"/>
  <c r="H361"/>
  <c r="I365"/>
  <c r="I369"/>
  <c r="H372"/>
  <c r="I376"/>
  <c r="H379"/>
  <c r="I383"/>
  <c r="I387"/>
  <c r="H390"/>
  <c r="I394"/>
  <c r="H397"/>
  <c r="I401"/>
  <c r="I405"/>
  <c r="H408"/>
  <c r="I412"/>
  <c r="H415"/>
  <c r="I419"/>
  <c r="I423"/>
  <c r="H426"/>
  <c r="I430"/>
  <c r="H433"/>
  <c r="I437"/>
  <c r="I441"/>
  <c r="H444"/>
  <c r="I448"/>
  <c r="H451"/>
  <c r="I455"/>
  <c r="I459"/>
  <c r="H462"/>
  <c r="I466"/>
  <c r="H469"/>
  <c r="I473"/>
  <c r="I477"/>
  <c r="H480"/>
  <c r="I484"/>
  <c r="H487"/>
  <c r="I491"/>
  <c r="F498"/>
  <c r="I498"/>
  <c r="I501"/>
  <c r="F501"/>
  <c r="H519"/>
  <c r="I519"/>
  <c r="F519"/>
  <c r="H526"/>
  <c r="I526"/>
  <c r="H555"/>
  <c r="I555"/>
  <c r="F555"/>
  <c r="H562"/>
  <c r="I562"/>
  <c r="H591"/>
  <c r="I591"/>
  <c r="F591"/>
  <c r="H598"/>
  <c r="I598"/>
  <c r="I286"/>
  <c r="I292"/>
  <c r="I298"/>
  <c r="I304"/>
  <c r="I310"/>
  <c r="I316"/>
  <c r="I322"/>
  <c r="I328"/>
  <c r="I334"/>
  <c r="I340"/>
  <c r="I346"/>
  <c r="I352"/>
  <c r="I358"/>
  <c r="H369"/>
  <c r="I373"/>
  <c r="H376"/>
  <c r="H387"/>
  <c r="I391"/>
  <c r="H394"/>
  <c r="H405"/>
  <c r="I409"/>
  <c r="H412"/>
  <c r="H423"/>
  <c r="I427"/>
  <c r="H430"/>
  <c r="H441"/>
  <c r="I445"/>
  <c r="H448"/>
  <c r="H459"/>
  <c r="I463"/>
  <c r="H466"/>
  <c r="H477"/>
  <c r="I481"/>
  <c r="H484"/>
  <c r="H525"/>
  <c r="I525"/>
  <c r="F525"/>
  <c r="H532"/>
  <c r="I532"/>
  <c r="H561"/>
  <c r="I561"/>
  <c r="F561"/>
  <c r="H568"/>
  <c r="I568"/>
  <c r="H597"/>
  <c r="I597"/>
  <c r="F597"/>
  <c r="H604"/>
  <c r="I604"/>
  <c r="F604"/>
  <c r="H616"/>
  <c r="I616"/>
  <c r="F616"/>
  <c r="I363"/>
  <c r="F365"/>
  <c r="H366"/>
  <c r="F372"/>
  <c r="I377"/>
  <c r="I381"/>
  <c r="F383"/>
  <c r="H384"/>
  <c r="F390"/>
  <c r="I395"/>
  <c r="I399"/>
  <c r="F401"/>
  <c r="H402"/>
  <c r="F408"/>
  <c r="I413"/>
  <c r="I417"/>
  <c r="F419"/>
  <c r="H420"/>
  <c r="F426"/>
  <c r="I431"/>
  <c r="I435"/>
  <c r="F437"/>
  <c r="H438"/>
  <c r="F444"/>
  <c r="I449"/>
  <c r="I453"/>
  <c r="F455"/>
  <c r="H456"/>
  <c r="F462"/>
  <c r="I467"/>
  <c r="I471"/>
  <c r="F473"/>
  <c r="H474"/>
  <c r="F480"/>
  <c r="I485"/>
  <c r="I489"/>
  <c r="F491"/>
  <c r="H492"/>
  <c r="I495"/>
  <c r="F495"/>
  <c r="H531"/>
  <c r="I531"/>
  <c r="F531"/>
  <c r="H538"/>
  <c r="I538"/>
  <c r="H567"/>
  <c r="I567"/>
  <c r="F567"/>
  <c r="H574"/>
  <c r="I574"/>
  <c r="I730"/>
  <c r="H730"/>
  <c r="H741"/>
  <c r="I741"/>
  <c r="H752"/>
  <c r="F752"/>
  <c r="I766"/>
  <c r="H766"/>
  <c r="H777"/>
  <c r="I777"/>
  <c r="H788"/>
  <c r="F788"/>
  <c r="I802"/>
  <c r="H802"/>
  <c r="H813"/>
  <c r="I813"/>
  <c r="H824"/>
  <c r="F824"/>
  <c r="I838"/>
  <c r="H838"/>
  <c r="H849"/>
  <c r="I849"/>
  <c r="H860"/>
  <c r="F860"/>
  <c r="H884"/>
  <c r="I884"/>
  <c r="F884"/>
  <c r="H891"/>
  <c r="I891"/>
  <c r="H920"/>
  <c r="I920"/>
  <c r="F920"/>
  <c r="H927"/>
  <c r="I927"/>
  <c r="H956"/>
  <c r="I956"/>
  <c r="F956"/>
  <c r="H963"/>
  <c r="I963"/>
  <c r="H987"/>
  <c r="I987"/>
  <c r="F987"/>
  <c r="H999"/>
  <c r="I999"/>
  <c r="F999"/>
  <c r="H497"/>
  <c r="H503"/>
  <c r="H509"/>
  <c r="I510"/>
  <c r="H515"/>
  <c r="I516"/>
  <c r="H521"/>
  <c r="I522"/>
  <c r="H527"/>
  <c r="I528"/>
  <c r="H533"/>
  <c r="I534"/>
  <c r="H539"/>
  <c r="I540"/>
  <c r="H545"/>
  <c r="I546"/>
  <c r="H551"/>
  <c r="I552"/>
  <c r="H557"/>
  <c r="I558"/>
  <c r="H563"/>
  <c r="I564"/>
  <c r="H569"/>
  <c r="I570"/>
  <c r="H575"/>
  <c r="I576"/>
  <c r="H581"/>
  <c r="I582"/>
  <c r="H587"/>
  <c r="I588"/>
  <c r="H593"/>
  <c r="I594"/>
  <c r="H599"/>
  <c r="I600"/>
  <c r="F603"/>
  <c r="H605"/>
  <c r="I606"/>
  <c r="F609"/>
  <c r="H611"/>
  <c r="I612"/>
  <c r="F615"/>
  <c r="H617"/>
  <c r="I618"/>
  <c r="F620"/>
  <c r="I621"/>
  <c r="F623"/>
  <c r="I625"/>
  <c r="F627"/>
  <c r="H628"/>
  <c r="F634"/>
  <c r="H635"/>
  <c r="F638"/>
  <c r="I639"/>
  <c r="F641"/>
  <c r="I643"/>
  <c r="F645"/>
  <c r="H646"/>
  <c r="F652"/>
  <c r="H653"/>
  <c r="F656"/>
  <c r="I657"/>
  <c r="F659"/>
  <c r="I661"/>
  <c r="F663"/>
  <c r="H664"/>
  <c r="I681"/>
  <c r="H686"/>
  <c r="I699"/>
  <c r="H704"/>
  <c r="I717"/>
  <c r="H722"/>
  <c r="I670"/>
  <c r="H670"/>
  <c r="I688"/>
  <c r="H688"/>
  <c r="I706"/>
  <c r="H706"/>
  <c r="I724"/>
  <c r="H724"/>
  <c r="H735"/>
  <c r="I735"/>
  <c r="H746"/>
  <c r="F746"/>
  <c r="I760"/>
  <c r="H760"/>
  <c r="H771"/>
  <c r="I771"/>
  <c r="H782"/>
  <c r="F782"/>
  <c r="I796"/>
  <c r="H796"/>
  <c r="H807"/>
  <c r="I807"/>
  <c r="H818"/>
  <c r="F818"/>
  <c r="I832"/>
  <c r="H832"/>
  <c r="H843"/>
  <c r="I843"/>
  <c r="H854"/>
  <c r="F854"/>
  <c r="I868"/>
  <c r="H868"/>
  <c r="H890"/>
  <c r="I890"/>
  <c r="F890"/>
  <c r="H897"/>
  <c r="I897"/>
  <c r="H926"/>
  <c r="I926"/>
  <c r="F926"/>
  <c r="H933"/>
  <c r="I933"/>
  <c r="H962"/>
  <c r="I962"/>
  <c r="F962"/>
  <c r="H969"/>
  <c r="I969"/>
  <c r="F681"/>
  <c r="F683"/>
  <c r="F699"/>
  <c r="F701"/>
  <c r="F717"/>
  <c r="F719"/>
  <c r="H729"/>
  <c r="I729"/>
  <c r="H740"/>
  <c r="F740"/>
  <c r="I754"/>
  <c r="H754"/>
  <c r="H765"/>
  <c r="I765"/>
  <c r="H776"/>
  <c r="F776"/>
  <c r="I790"/>
  <c r="H790"/>
  <c r="H801"/>
  <c r="I801"/>
  <c r="H812"/>
  <c r="F812"/>
  <c r="I826"/>
  <c r="H826"/>
  <c r="H837"/>
  <c r="I837"/>
  <c r="H848"/>
  <c r="F848"/>
  <c r="I862"/>
  <c r="H862"/>
  <c r="H896"/>
  <c r="I896"/>
  <c r="F896"/>
  <c r="H903"/>
  <c r="I903"/>
  <c r="H932"/>
  <c r="I932"/>
  <c r="F932"/>
  <c r="H939"/>
  <c r="I939"/>
  <c r="H968"/>
  <c r="I968"/>
  <c r="F968"/>
  <c r="H975"/>
  <c r="I975"/>
  <c r="I676"/>
  <c r="H676"/>
  <c r="I694"/>
  <c r="H694"/>
  <c r="I712"/>
  <c r="H712"/>
  <c r="H734"/>
  <c r="F734"/>
  <c r="I748"/>
  <c r="H748"/>
  <c r="H759"/>
  <c r="I759"/>
  <c r="H770"/>
  <c r="F770"/>
  <c r="I784"/>
  <c r="H784"/>
  <c r="H795"/>
  <c r="I795"/>
  <c r="H806"/>
  <c r="F806"/>
  <c r="I820"/>
  <c r="H820"/>
  <c r="H831"/>
  <c r="I831"/>
  <c r="H842"/>
  <c r="F842"/>
  <c r="I856"/>
  <c r="H856"/>
  <c r="H867"/>
  <c r="I867"/>
  <c r="H873"/>
  <c r="I873"/>
  <c r="H902"/>
  <c r="I902"/>
  <c r="F902"/>
  <c r="H909"/>
  <c r="I909"/>
  <c r="H938"/>
  <c r="I938"/>
  <c r="F938"/>
  <c r="H945"/>
  <c r="I945"/>
  <c r="H974"/>
  <c r="I974"/>
  <c r="F974"/>
  <c r="H981"/>
  <c r="I981"/>
  <c r="F981"/>
  <c r="H993"/>
  <c r="I993"/>
  <c r="F993"/>
  <c r="I603"/>
  <c r="I609"/>
  <c r="I615"/>
  <c r="I623"/>
  <c r="I641"/>
  <c r="I659"/>
  <c r="F671"/>
  <c r="F687"/>
  <c r="F689"/>
  <c r="I698"/>
  <c r="F705"/>
  <c r="F707"/>
  <c r="I716"/>
  <c r="F723"/>
  <c r="H728"/>
  <c r="F728"/>
  <c r="I742"/>
  <c r="H742"/>
  <c r="H753"/>
  <c r="I753"/>
  <c r="H764"/>
  <c r="F764"/>
  <c r="I778"/>
  <c r="H778"/>
  <c r="H789"/>
  <c r="I789"/>
  <c r="H800"/>
  <c r="F800"/>
  <c r="I814"/>
  <c r="H814"/>
  <c r="H825"/>
  <c r="I825"/>
  <c r="H836"/>
  <c r="F836"/>
  <c r="I850"/>
  <c r="H850"/>
  <c r="H861"/>
  <c r="I861"/>
  <c r="H872"/>
  <c r="I872"/>
  <c r="F872"/>
  <c r="H879"/>
  <c r="I879"/>
  <c r="H908"/>
  <c r="I908"/>
  <c r="F908"/>
  <c r="H915"/>
  <c r="I915"/>
  <c r="H944"/>
  <c r="I944"/>
  <c r="F944"/>
  <c r="H951"/>
  <c r="I951"/>
  <c r="I620"/>
  <c r="I627"/>
  <c r="I631"/>
  <c r="H634"/>
  <c r="I638"/>
  <c r="I645"/>
  <c r="I649"/>
  <c r="H652"/>
  <c r="I656"/>
  <c r="I663"/>
  <c r="I667"/>
  <c r="I682"/>
  <c r="H682"/>
  <c r="I700"/>
  <c r="H700"/>
  <c r="I718"/>
  <c r="H718"/>
  <c r="I736"/>
  <c r="H736"/>
  <c r="H747"/>
  <c r="I747"/>
  <c r="H758"/>
  <c r="F758"/>
  <c r="I772"/>
  <c r="H772"/>
  <c r="H783"/>
  <c r="I783"/>
  <c r="H794"/>
  <c r="F794"/>
  <c r="I808"/>
  <c r="H808"/>
  <c r="H819"/>
  <c r="I819"/>
  <c r="H830"/>
  <c r="F830"/>
  <c r="I844"/>
  <c r="H844"/>
  <c r="H855"/>
  <c r="I855"/>
  <c r="H866"/>
  <c r="F866"/>
  <c r="H878"/>
  <c r="I878"/>
  <c r="F878"/>
  <c r="H885"/>
  <c r="I885"/>
  <c r="H914"/>
  <c r="I914"/>
  <c r="F914"/>
  <c r="H921"/>
  <c r="I921"/>
  <c r="H950"/>
  <c r="I950"/>
  <c r="F950"/>
  <c r="H957"/>
  <c r="I957"/>
  <c r="H631"/>
  <c r="H649"/>
  <c r="H667"/>
  <c r="H683"/>
  <c r="I686"/>
  <c r="H701"/>
  <c r="I704"/>
  <c r="H719"/>
  <c r="I722"/>
  <c r="F963"/>
  <c r="H874"/>
  <c r="H880"/>
  <c r="H886"/>
  <c r="H892"/>
  <c r="H898"/>
  <c r="H904"/>
  <c r="H910"/>
  <c r="H916"/>
  <c r="H922"/>
  <c r="H928"/>
  <c r="H934"/>
  <c r="H940"/>
  <c r="H946"/>
  <c r="H952"/>
  <c r="H958"/>
  <c r="H964"/>
  <c r="H970"/>
  <c r="H976"/>
  <c r="F980"/>
  <c r="H982"/>
  <c r="F986"/>
  <c r="H988"/>
  <c r="F992"/>
  <c r="H994"/>
  <c r="F998"/>
  <c r="H1000"/>
  <c r="I980"/>
  <c r="I986"/>
  <c r="I992"/>
  <c r="I998"/>
  <c r="D2" i="5"/>
  <c r="F2" i="6"/>
  <c r="G2" s="1"/>
  <c r="G5" i="11"/>
  <c r="G4"/>
  <c r="G3"/>
  <c r="F344"/>
  <c r="H344"/>
  <c r="F362"/>
  <c r="H362"/>
  <c r="F380"/>
  <c r="H380"/>
  <c r="F398"/>
  <c r="H398"/>
  <c r="F416"/>
  <c r="H416"/>
  <c r="F434"/>
  <c r="H434"/>
  <c r="F452"/>
  <c r="H452"/>
  <c r="F470"/>
  <c r="H470"/>
  <c r="F488"/>
  <c r="H488"/>
  <c r="I519"/>
  <c r="F519"/>
  <c r="F528"/>
  <c r="I528"/>
  <c r="I537"/>
  <c r="F537"/>
  <c r="H549"/>
  <c r="I549"/>
  <c r="F549"/>
  <c r="H556"/>
  <c r="I556"/>
  <c r="F6"/>
  <c r="G968" s="1"/>
  <c r="F12"/>
  <c r="F18"/>
  <c r="I21"/>
  <c r="F24"/>
  <c r="I27"/>
  <c r="F30"/>
  <c r="I33"/>
  <c r="F36"/>
  <c r="I39"/>
  <c r="F42"/>
  <c r="I45"/>
  <c r="F48"/>
  <c r="I51"/>
  <c r="F54"/>
  <c r="I57"/>
  <c r="F60"/>
  <c r="I63"/>
  <c r="F66"/>
  <c r="I69"/>
  <c r="F72"/>
  <c r="I75"/>
  <c r="F78"/>
  <c r="I81"/>
  <c r="F84"/>
  <c r="I87"/>
  <c r="F90"/>
  <c r="I93"/>
  <c r="F96"/>
  <c r="I99"/>
  <c r="F102"/>
  <c r="I105"/>
  <c r="F108"/>
  <c r="I111"/>
  <c r="F114"/>
  <c r="I117"/>
  <c r="F120"/>
  <c r="I123"/>
  <c r="F126"/>
  <c r="I129"/>
  <c r="F132"/>
  <c r="I135"/>
  <c r="F138"/>
  <c r="I141"/>
  <c r="F144"/>
  <c r="I147"/>
  <c r="F150"/>
  <c r="I153"/>
  <c r="F156"/>
  <c r="I159"/>
  <c r="F162"/>
  <c r="I165"/>
  <c r="F168"/>
  <c r="I171"/>
  <c r="F174"/>
  <c r="I177"/>
  <c r="F180"/>
  <c r="I183"/>
  <c r="F186"/>
  <c r="I189"/>
  <c r="F192"/>
  <c r="I195"/>
  <c r="F198"/>
  <c r="I201"/>
  <c r="F204"/>
  <c r="I207"/>
  <c r="F210"/>
  <c r="I213"/>
  <c r="F216"/>
  <c r="I219"/>
  <c r="F222"/>
  <c r="I225"/>
  <c r="F228"/>
  <c r="I231"/>
  <c r="F234"/>
  <c r="I237"/>
  <c r="F240"/>
  <c r="I243"/>
  <c r="F246"/>
  <c r="I249"/>
  <c r="F252"/>
  <c r="I255"/>
  <c r="F258"/>
  <c r="I261"/>
  <c r="F264"/>
  <c r="I267"/>
  <c r="F270"/>
  <c r="I273"/>
  <c r="F276"/>
  <c r="I279"/>
  <c r="F282"/>
  <c r="I285"/>
  <c r="F288"/>
  <c r="I291"/>
  <c r="F294"/>
  <c r="I297"/>
  <c r="F300"/>
  <c r="I303"/>
  <c r="F306"/>
  <c r="I309"/>
  <c r="F312"/>
  <c r="I315"/>
  <c r="F318"/>
  <c r="I321"/>
  <c r="F324"/>
  <c r="I327"/>
  <c r="F330"/>
  <c r="I333"/>
  <c r="F336"/>
  <c r="H337"/>
  <c r="F339"/>
  <c r="H342"/>
  <c r="F357"/>
  <c r="H360"/>
  <c r="F375"/>
  <c r="H378"/>
  <c r="F393"/>
  <c r="H396"/>
  <c r="F411"/>
  <c r="H414"/>
  <c r="F429"/>
  <c r="H432"/>
  <c r="F447"/>
  <c r="H450"/>
  <c r="F465"/>
  <c r="H468"/>
  <c r="F483"/>
  <c r="H486"/>
  <c r="F507"/>
  <c r="I526"/>
  <c r="H555"/>
  <c r="I555"/>
  <c r="F555"/>
  <c r="H562"/>
  <c r="I562"/>
  <c r="F7"/>
  <c r="F13"/>
  <c r="F19"/>
  <c r="F25"/>
  <c r="F31"/>
  <c r="F37"/>
  <c r="F43"/>
  <c r="F49"/>
  <c r="F55"/>
  <c r="F61"/>
  <c r="F67"/>
  <c r="F73"/>
  <c r="F79"/>
  <c r="F85"/>
  <c r="F91"/>
  <c r="F97"/>
  <c r="F103"/>
  <c r="F109"/>
  <c r="F115"/>
  <c r="F121"/>
  <c r="F127"/>
  <c r="F133"/>
  <c r="F139"/>
  <c r="F145"/>
  <c r="F151"/>
  <c r="F157"/>
  <c r="F163"/>
  <c r="F169"/>
  <c r="F175"/>
  <c r="F181"/>
  <c r="F187"/>
  <c r="F193"/>
  <c r="F199"/>
  <c r="F205"/>
  <c r="F211"/>
  <c r="F217"/>
  <c r="F223"/>
  <c r="F229"/>
  <c r="F235"/>
  <c r="F241"/>
  <c r="F247"/>
  <c r="F253"/>
  <c r="F259"/>
  <c r="F265"/>
  <c r="F271"/>
  <c r="F277"/>
  <c r="F283"/>
  <c r="F289"/>
  <c r="F295"/>
  <c r="F301"/>
  <c r="F307"/>
  <c r="F313"/>
  <c r="F319"/>
  <c r="F325"/>
  <c r="F331"/>
  <c r="F337"/>
  <c r="F352"/>
  <c r="F370"/>
  <c r="F388"/>
  <c r="F406"/>
  <c r="F424"/>
  <c r="F442"/>
  <c r="F460"/>
  <c r="F476"/>
  <c r="H476"/>
  <c r="F494"/>
  <c r="H494"/>
  <c r="I513"/>
  <c r="F513"/>
  <c r="F522"/>
  <c r="I522"/>
  <c r="I531"/>
  <c r="F531"/>
  <c r="H561"/>
  <c r="I561"/>
  <c r="F561"/>
  <c r="H568"/>
  <c r="I568"/>
  <c r="F350"/>
  <c r="H350"/>
  <c r="F368"/>
  <c r="H368"/>
  <c r="F386"/>
  <c r="H386"/>
  <c r="F422"/>
  <c r="H422"/>
  <c r="F440"/>
  <c r="H440"/>
  <c r="F458"/>
  <c r="H458"/>
  <c r="F500"/>
  <c r="H500"/>
  <c r="H567"/>
  <c r="I567"/>
  <c r="F567"/>
  <c r="H574"/>
  <c r="I574"/>
  <c r="H5"/>
  <c r="I6"/>
  <c r="H11"/>
  <c r="I12"/>
  <c r="H17"/>
  <c r="I18"/>
  <c r="H23"/>
  <c r="I24"/>
  <c r="H29"/>
  <c r="I30"/>
  <c r="H35"/>
  <c r="I36"/>
  <c r="H41"/>
  <c r="I42"/>
  <c r="H47"/>
  <c r="I48"/>
  <c r="H53"/>
  <c r="I54"/>
  <c r="H59"/>
  <c r="I60"/>
  <c r="H65"/>
  <c r="I66"/>
  <c r="H71"/>
  <c r="I72"/>
  <c r="H77"/>
  <c r="I78"/>
  <c r="H83"/>
  <c r="I84"/>
  <c r="H89"/>
  <c r="I90"/>
  <c r="H95"/>
  <c r="I96"/>
  <c r="H101"/>
  <c r="I102"/>
  <c r="H107"/>
  <c r="I108"/>
  <c r="H113"/>
  <c r="I114"/>
  <c r="H119"/>
  <c r="I120"/>
  <c r="H125"/>
  <c r="I126"/>
  <c r="H131"/>
  <c r="I132"/>
  <c r="H137"/>
  <c r="I138"/>
  <c r="H143"/>
  <c r="I144"/>
  <c r="H149"/>
  <c r="I150"/>
  <c r="H155"/>
  <c r="I156"/>
  <c r="H161"/>
  <c r="I162"/>
  <c r="H167"/>
  <c r="I168"/>
  <c r="H173"/>
  <c r="I174"/>
  <c r="H179"/>
  <c r="I180"/>
  <c r="H185"/>
  <c r="I186"/>
  <c r="H191"/>
  <c r="I192"/>
  <c r="H197"/>
  <c r="I198"/>
  <c r="H203"/>
  <c r="I204"/>
  <c r="H209"/>
  <c r="I210"/>
  <c r="H215"/>
  <c r="I216"/>
  <c r="H221"/>
  <c r="I222"/>
  <c r="H227"/>
  <c r="I228"/>
  <c r="H233"/>
  <c r="I234"/>
  <c r="H239"/>
  <c r="I240"/>
  <c r="H245"/>
  <c r="I246"/>
  <c r="H251"/>
  <c r="I252"/>
  <c r="H257"/>
  <c r="I258"/>
  <c r="H263"/>
  <c r="I264"/>
  <c r="H269"/>
  <c r="I270"/>
  <c r="H275"/>
  <c r="I276"/>
  <c r="H281"/>
  <c r="I282"/>
  <c r="H287"/>
  <c r="I288"/>
  <c r="H293"/>
  <c r="I294"/>
  <c r="H299"/>
  <c r="I300"/>
  <c r="H305"/>
  <c r="I306"/>
  <c r="H311"/>
  <c r="I312"/>
  <c r="H317"/>
  <c r="I318"/>
  <c r="H323"/>
  <c r="I324"/>
  <c r="H329"/>
  <c r="I330"/>
  <c r="H335"/>
  <c r="I336"/>
  <c r="F340"/>
  <c r="I346"/>
  <c r="H351"/>
  <c r="I354"/>
  <c r="F358"/>
  <c r="I364"/>
  <c r="H369"/>
  <c r="I372"/>
  <c r="F376"/>
  <c r="I382"/>
  <c r="H387"/>
  <c r="I390"/>
  <c r="F394"/>
  <c r="I400"/>
  <c r="H405"/>
  <c r="I408"/>
  <c r="F412"/>
  <c r="I418"/>
  <c r="H423"/>
  <c r="I426"/>
  <c r="F430"/>
  <c r="I436"/>
  <c r="H441"/>
  <c r="I444"/>
  <c r="F448"/>
  <c r="I454"/>
  <c r="H459"/>
  <c r="I462"/>
  <c r="F466"/>
  <c r="I472"/>
  <c r="H477"/>
  <c r="I480"/>
  <c r="F484"/>
  <c r="I490"/>
  <c r="H495"/>
  <c r="H498"/>
  <c r="I504"/>
  <c r="F508"/>
  <c r="F520"/>
  <c r="F538"/>
  <c r="F404"/>
  <c r="H404"/>
  <c r="F338"/>
  <c r="H338"/>
  <c r="F356"/>
  <c r="H356"/>
  <c r="F374"/>
  <c r="H374"/>
  <c r="F392"/>
  <c r="H392"/>
  <c r="F410"/>
  <c r="H410"/>
  <c r="F428"/>
  <c r="H428"/>
  <c r="F446"/>
  <c r="H446"/>
  <c r="F464"/>
  <c r="H464"/>
  <c r="F482"/>
  <c r="H482"/>
  <c r="F506"/>
  <c r="H506"/>
  <c r="F516"/>
  <c r="I516"/>
  <c r="I525"/>
  <c r="F525"/>
  <c r="F534"/>
  <c r="I534"/>
  <c r="H544"/>
  <c r="I544"/>
  <c r="H573"/>
  <c r="I573"/>
  <c r="F573"/>
  <c r="H580"/>
  <c r="I580"/>
  <c r="I7"/>
  <c r="I13"/>
  <c r="I19"/>
  <c r="I25"/>
  <c r="I31"/>
  <c r="I37"/>
  <c r="I43"/>
  <c r="I49"/>
  <c r="I55"/>
  <c r="I61"/>
  <c r="I67"/>
  <c r="I73"/>
  <c r="I79"/>
  <c r="I85"/>
  <c r="I91"/>
  <c r="I97"/>
  <c r="I103"/>
  <c r="I109"/>
  <c r="I115"/>
  <c r="I121"/>
  <c r="I127"/>
  <c r="I133"/>
  <c r="I139"/>
  <c r="I145"/>
  <c r="I151"/>
  <c r="I157"/>
  <c r="I163"/>
  <c r="I169"/>
  <c r="I175"/>
  <c r="I181"/>
  <c r="I187"/>
  <c r="I193"/>
  <c r="I199"/>
  <c r="I205"/>
  <c r="I211"/>
  <c r="I217"/>
  <c r="I223"/>
  <c r="I229"/>
  <c r="I235"/>
  <c r="I241"/>
  <c r="I247"/>
  <c r="I253"/>
  <c r="I259"/>
  <c r="I265"/>
  <c r="I271"/>
  <c r="I277"/>
  <c r="I283"/>
  <c r="I289"/>
  <c r="I295"/>
  <c r="I301"/>
  <c r="I307"/>
  <c r="I313"/>
  <c r="I319"/>
  <c r="I325"/>
  <c r="I331"/>
  <c r="I510"/>
  <c r="H543"/>
  <c r="I543"/>
  <c r="F543"/>
  <c r="H550"/>
  <c r="I550"/>
  <c r="H579"/>
  <c r="I579"/>
  <c r="F579"/>
  <c r="H339"/>
  <c r="I342"/>
  <c r="F346"/>
  <c r="I352"/>
  <c r="H357"/>
  <c r="I360"/>
  <c r="F364"/>
  <c r="I370"/>
  <c r="H375"/>
  <c r="I378"/>
  <c r="F382"/>
  <c r="I388"/>
  <c r="H393"/>
  <c r="I396"/>
  <c r="F400"/>
  <c r="I406"/>
  <c r="H411"/>
  <c r="I414"/>
  <c r="F418"/>
  <c r="I424"/>
  <c r="H429"/>
  <c r="I432"/>
  <c r="F436"/>
  <c r="I442"/>
  <c r="H447"/>
  <c r="I450"/>
  <c r="F454"/>
  <c r="I460"/>
  <c r="H465"/>
  <c r="I468"/>
  <c r="F472"/>
  <c r="I478"/>
  <c r="H483"/>
  <c r="I486"/>
  <c r="F490"/>
  <c r="I496"/>
  <c r="F501"/>
  <c r="H507"/>
  <c r="H510"/>
  <c r="F514"/>
  <c r="H519"/>
  <c r="F532"/>
  <c r="H537"/>
  <c r="F556"/>
  <c r="F661"/>
  <c r="H661"/>
  <c r="H686"/>
  <c r="I686"/>
  <c r="F697"/>
  <c r="H697"/>
  <c r="H711"/>
  <c r="I711"/>
  <c r="H722"/>
  <c r="I722"/>
  <c r="F733"/>
  <c r="H733"/>
  <c r="H747"/>
  <c r="I747"/>
  <c r="H758"/>
  <c r="I758"/>
  <c r="F769"/>
  <c r="H769"/>
  <c r="H783"/>
  <c r="I783"/>
  <c r="H794"/>
  <c r="I794"/>
  <c r="F805"/>
  <c r="H805"/>
  <c r="H819"/>
  <c r="I819"/>
  <c r="H824"/>
  <c r="I824"/>
  <c r="F835"/>
  <c r="H835"/>
  <c r="H843"/>
  <c r="I843"/>
  <c r="H848"/>
  <c r="I848"/>
  <c r="F853"/>
  <c r="H853"/>
  <c r="H861"/>
  <c r="I861"/>
  <c r="H866"/>
  <c r="I866"/>
  <c r="F871"/>
  <c r="H871"/>
  <c r="H879"/>
  <c r="I879"/>
  <c r="H884"/>
  <c r="I884"/>
  <c r="F889"/>
  <c r="H889"/>
  <c r="H897"/>
  <c r="I897"/>
  <c r="H902"/>
  <c r="I902"/>
  <c r="F907"/>
  <c r="H907"/>
  <c r="H915"/>
  <c r="I915"/>
  <c r="H920"/>
  <c r="I920"/>
  <c r="F925"/>
  <c r="H925"/>
  <c r="H933"/>
  <c r="I933"/>
  <c r="H938"/>
  <c r="I938"/>
  <c r="F943"/>
  <c r="H943"/>
  <c r="H951"/>
  <c r="I951"/>
  <c r="H956"/>
  <c r="I956"/>
  <c r="F961"/>
  <c r="H961"/>
  <c r="H969"/>
  <c r="I969"/>
  <c r="H980"/>
  <c r="I980"/>
  <c r="H986"/>
  <c r="I986"/>
  <c r="I540"/>
  <c r="I546"/>
  <c r="I552"/>
  <c r="I558"/>
  <c r="I564"/>
  <c r="I570"/>
  <c r="I576"/>
  <c r="I582"/>
  <c r="F585"/>
  <c r="I588"/>
  <c r="F591"/>
  <c r="I594"/>
  <c r="F597"/>
  <c r="I600"/>
  <c r="F603"/>
  <c r="I606"/>
  <c r="F609"/>
  <c r="I612"/>
  <c r="F615"/>
  <c r="I617"/>
  <c r="F621"/>
  <c r="H632"/>
  <c r="F639"/>
  <c r="F650"/>
  <c r="H656"/>
  <c r="H659"/>
  <c r="F619"/>
  <c r="H619"/>
  <c r="F637"/>
  <c r="H637"/>
  <c r="F667"/>
  <c r="H667"/>
  <c r="H675"/>
  <c r="I675"/>
  <c r="H680"/>
  <c r="I680"/>
  <c r="F691"/>
  <c r="H691"/>
  <c r="H705"/>
  <c r="I705"/>
  <c r="H716"/>
  <c r="I716"/>
  <c r="F727"/>
  <c r="H727"/>
  <c r="H741"/>
  <c r="I741"/>
  <c r="H752"/>
  <c r="I752"/>
  <c r="F763"/>
  <c r="H763"/>
  <c r="H777"/>
  <c r="I777"/>
  <c r="H788"/>
  <c r="I788"/>
  <c r="F799"/>
  <c r="H799"/>
  <c r="H813"/>
  <c r="I813"/>
  <c r="F829"/>
  <c r="H829"/>
  <c r="H974"/>
  <c r="I974"/>
  <c r="F985"/>
  <c r="H985"/>
  <c r="I985"/>
  <c r="F685"/>
  <c r="H685"/>
  <c r="H699"/>
  <c r="I699"/>
  <c r="H710"/>
  <c r="I710"/>
  <c r="F721"/>
  <c r="H721"/>
  <c r="H735"/>
  <c r="I735"/>
  <c r="H746"/>
  <c r="I746"/>
  <c r="F757"/>
  <c r="H757"/>
  <c r="H771"/>
  <c r="I771"/>
  <c r="H782"/>
  <c r="I782"/>
  <c r="F793"/>
  <c r="H793"/>
  <c r="H807"/>
  <c r="I807"/>
  <c r="H818"/>
  <c r="I818"/>
  <c r="F823"/>
  <c r="H823"/>
  <c r="H837"/>
  <c r="I837"/>
  <c r="H842"/>
  <c r="I842"/>
  <c r="F847"/>
  <c r="H847"/>
  <c r="H855"/>
  <c r="I855"/>
  <c r="H860"/>
  <c r="I860"/>
  <c r="F865"/>
  <c r="H865"/>
  <c r="H873"/>
  <c r="I873"/>
  <c r="H878"/>
  <c r="I878"/>
  <c r="F883"/>
  <c r="H883"/>
  <c r="H891"/>
  <c r="I891"/>
  <c r="H896"/>
  <c r="I896"/>
  <c r="F901"/>
  <c r="H901"/>
  <c r="H909"/>
  <c r="I909"/>
  <c r="H914"/>
  <c r="I914"/>
  <c r="F919"/>
  <c r="H919"/>
  <c r="H927"/>
  <c r="I927"/>
  <c r="H932"/>
  <c r="I932"/>
  <c r="F937"/>
  <c r="H937"/>
  <c r="H945"/>
  <c r="I945"/>
  <c r="H950"/>
  <c r="I950"/>
  <c r="F955"/>
  <c r="H955"/>
  <c r="H963"/>
  <c r="I963"/>
  <c r="H968"/>
  <c r="I968"/>
  <c r="F979"/>
  <c r="H979"/>
  <c r="F625"/>
  <c r="H625"/>
  <c r="F643"/>
  <c r="H643"/>
  <c r="H669"/>
  <c r="I669"/>
  <c r="H674"/>
  <c r="I674"/>
  <c r="F679"/>
  <c r="H679"/>
  <c r="H693"/>
  <c r="I693"/>
  <c r="H704"/>
  <c r="I704"/>
  <c r="F715"/>
  <c r="H715"/>
  <c r="H729"/>
  <c r="I729"/>
  <c r="H740"/>
  <c r="I740"/>
  <c r="F751"/>
  <c r="H751"/>
  <c r="H765"/>
  <c r="I765"/>
  <c r="H776"/>
  <c r="I776"/>
  <c r="F787"/>
  <c r="H787"/>
  <c r="H801"/>
  <c r="I801"/>
  <c r="H812"/>
  <c r="I812"/>
  <c r="H831"/>
  <c r="I831"/>
  <c r="F973"/>
  <c r="H973"/>
  <c r="F991"/>
  <c r="H991"/>
  <c r="I991"/>
  <c r="H512"/>
  <c r="H518"/>
  <c r="H524"/>
  <c r="H530"/>
  <c r="H536"/>
  <c r="H542"/>
  <c r="H548"/>
  <c r="H554"/>
  <c r="H560"/>
  <c r="H566"/>
  <c r="H572"/>
  <c r="H578"/>
  <c r="H584"/>
  <c r="I585"/>
  <c r="H590"/>
  <c r="I591"/>
  <c r="H596"/>
  <c r="I597"/>
  <c r="H602"/>
  <c r="I603"/>
  <c r="H608"/>
  <c r="I609"/>
  <c r="H614"/>
  <c r="I615"/>
  <c r="F620"/>
  <c r="H623"/>
  <c r="F638"/>
  <c r="H641"/>
  <c r="I647"/>
  <c r="F651"/>
  <c r="I663"/>
  <c r="F649"/>
  <c r="H649"/>
  <c r="H687"/>
  <c r="I687"/>
  <c r="H698"/>
  <c r="I698"/>
  <c r="F709"/>
  <c r="H709"/>
  <c r="H723"/>
  <c r="I723"/>
  <c r="H734"/>
  <c r="I734"/>
  <c r="F745"/>
  <c r="H745"/>
  <c r="H759"/>
  <c r="I759"/>
  <c r="H770"/>
  <c r="I770"/>
  <c r="F781"/>
  <c r="H781"/>
  <c r="H795"/>
  <c r="I795"/>
  <c r="H806"/>
  <c r="I806"/>
  <c r="F817"/>
  <c r="H817"/>
  <c r="H825"/>
  <c r="I825"/>
  <c r="H836"/>
  <c r="I836"/>
  <c r="F841"/>
  <c r="H841"/>
  <c r="H849"/>
  <c r="I849"/>
  <c r="H854"/>
  <c r="I854"/>
  <c r="F859"/>
  <c r="H859"/>
  <c r="H867"/>
  <c r="I867"/>
  <c r="H872"/>
  <c r="I872"/>
  <c r="F877"/>
  <c r="H877"/>
  <c r="H885"/>
  <c r="I885"/>
  <c r="H890"/>
  <c r="I890"/>
  <c r="F895"/>
  <c r="H895"/>
  <c r="H903"/>
  <c r="I903"/>
  <c r="H908"/>
  <c r="I908"/>
  <c r="F913"/>
  <c r="H913"/>
  <c r="H921"/>
  <c r="I921"/>
  <c r="H926"/>
  <c r="I926"/>
  <c r="F931"/>
  <c r="H931"/>
  <c r="H939"/>
  <c r="I939"/>
  <c r="H944"/>
  <c r="I944"/>
  <c r="F949"/>
  <c r="H949"/>
  <c r="H957"/>
  <c r="I957"/>
  <c r="H962"/>
  <c r="I962"/>
  <c r="F967"/>
  <c r="H967"/>
  <c r="H981"/>
  <c r="I981"/>
  <c r="I586"/>
  <c r="I592"/>
  <c r="I598"/>
  <c r="I604"/>
  <c r="I610"/>
  <c r="I621"/>
  <c r="I629"/>
  <c r="I639"/>
  <c r="I653"/>
  <c r="F631"/>
  <c r="H631"/>
  <c r="F655"/>
  <c r="H655"/>
  <c r="H668"/>
  <c r="I668"/>
  <c r="F673"/>
  <c r="H673"/>
  <c r="H681"/>
  <c r="I681"/>
  <c r="H692"/>
  <c r="I692"/>
  <c r="F703"/>
  <c r="H703"/>
  <c r="H717"/>
  <c r="I717"/>
  <c r="H728"/>
  <c r="I728"/>
  <c r="F739"/>
  <c r="H739"/>
  <c r="H753"/>
  <c r="I753"/>
  <c r="H764"/>
  <c r="I764"/>
  <c r="F775"/>
  <c r="H775"/>
  <c r="H789"/>
  <c r="I789"/>
  <c r="H800"/>
  <c r="I800"/>
  <c r="F811"/>
  <c r="H811"/>
  <c r="H830"/>
  <c r="I830"/>
  <c r="H975"/>
  <c r="I975"/>
  <c r="F997"/>
  <c r="H997"/>
  <c r="I997"/>
  <c r="H616"/>
  <c r="I619"/>
  <c r="F626"/>
  <c r="H629"/>
  <c r="I637"/>
  <c r="F644"/>
  <c r="H650"/>
  <c r="H653"/>
  <c r="I659"/>
  <c r="F663"/>
  <c r="F686"/>
  <c r="I697"/>
  <c r="F711"/>
  <c r="F722"/>
  <c r="I733"/>
  <c r="F747"/>
  <c r="F758"/>
  <c r="I769"/>
  <c r="F783"/>
  <c r="F794"/>
  <c r="I805"/>
  <c r="F819"/>
  <c r="F824"/>
  <c r="I835"/>
  <c r="F843"/>
  <c r="F848"/>
  <c r="I853"/>
  <c r="F861"/>
  <c r="F866"/>
  <c r="I871"/>
  <c r="F879"/>
  <c r="F884"/>
  <c r="I889"/>
  <c r="F897"/>
  <c r="F902"/>
  <c r="I907"/>
  <c r="F915"/>
  <c r="F920"/>
  <c r="I925"/>
  <c r="F933"/>
  <c r="F938"/>
  <c r="I943"/>
  <c r="F951"/>
  <c r="F956"/>
  <c r="I961"/>
  <c r="F969"/>
  <c r="F980"/>
  <c r="F986"/>
  <c r="I992"/>
  <c r="I998"/>
  <c r="I987"/>
  <c r="I993"/>
  <c r="I999"/>
  <c r="D8" i="5"/>
  <c r="I2" i="11"/>
  <c r="F8" i="5" s="1"/>
  <c r="H2" i="11"/>
  <c r="E8" i="5" s="1"/>
  <c r="G4" i="7"/>
  <c r="G3"/>
  <c r="G6"/>
  <c r="G11"/>
  <c r="F405"/>
  <c r="H405"/>
  <c r="I405"/>
  <c r="I445"/>
  <c r="F445"/>
  <c r="H505"/>
  <c r="I505"/>
  <c r="F679"/>
  <c r="I679"/>
  <c r="H679"/>
  <c r="F697"/>
  <c r="I697"/>
  <c r="H697"/>
  <c r="F757"/>
  <c r="I757"/>
  <c r="H757"/>
  <c r="I342"/>
  <c r="F342"/>
  <c r="H469"/>
  <c r="I469"/>
  <c r="I664"/>
  <c r="F664"/>
  <c r="H664"/>
  <c r="I324"/>
  <c r="F324"/>
  <c r="H353"/>
  <c r="F353"/>
  <c r="F369"/>
  <c r="I369"/>
  <c r="F387"/>
  <c r="H387"/>
  <c r="I387"/>
  <c r="H412"/>
  <c r="I412"/>
  <c r="H419"/>
  <c r="I419"/>
  <c r="I427"/>
  <c r="F427"/>
  <c r="H431"/>
  <c r="F431"/>
  <c r="I462"/>
  <c r="H462"/>
  <c r="H466"/>
  <c r="I466"/>
  <c r="I498"/>
  <c r="H498"/>
  <c r="H502"/>
  <c r="I502"/>
  <c r="I625"/>
  <c r="F625"/>
  <c r="H625"/>
  <c r="F751"/>
  <c r="I751"/>
  <c r="H751"/>
  <c r="F5"/>
  <c r="G968" s="1"/>
  <c r="F11"/>
  <c r="G246" s="1"/>
  <c r="F17"/>
  <c r="G174" s="1"/>
  <c r="F23"/>
  <c r="G138" s="1"/>
  <c r="F29"/>
  <c r="F35"/>
  <c r="F41"/>
  <c r="F47"/>
  <c r="F53"/>
  <c r="F59"/>
  <c r="F65"/>
  <c r="F71"/>
  <c r="F77"/>
  <c r="F83"/>
  <c r="F89"/>
  <c r="F95"/>
  <c r="F101"/>
  <c r="F107"/>
  <c r="F113"/>
  <c r="F119"/>
  <c r="F125"/>
  <c r="F131"/>
  <c r="F137"/>
  <c r="F143"/>
  <c r="F149"/>
  <c r="F155"/>
  <c r="F161"/>
  <c r="F167"/>
  <c r="F173"/>
  <c r="F179"/>
  <c r="F185"/>
  <c r="F191"/>
  <c r="F197"/>
  <c r="F203"/>
  <c r="F209"/>
  <c r="F215"/>
  <c r="F221"/>
  <c r="F227"/>
  <c r="F233"/>
  <c r="F239"/>
  <c r="F245"/>
  <c r="F251"/>
  <c r="F257"/>
  <c r="F263"/>
  <c r="F267"/>
  <c r="F274"/>
  <c r="F278"/>
  <c r="F281"/>
  <c r="F285"/>
  <c r="F292"/>
  <c r="F296"/>
  <c r="F299"/>
  <c r="F303"/>
  <c r="F310"/>
  <c r="F314"/>
  <c r="F322"/>
  <c r="I328"/>
  <c r="F337"/>
  <c r="H346"/>
  <c r="F348"/>
  <c r="I357"/>
  <c r="F361"/>
  <c r="H367"/>
  <c r="H375"/>
  <c r="F377"/>
  <c r="F391"/>
  <c r="H399"/>
  <c r="I424"/>
  <c r="H442"/>
  <c r="H329"/>
  <c r="I329"/>
  <c r="H449"/>
  <c r="F449"/>
  <c r="H335"/>
  <c r="F335"/>
  <c r="F351"/>
  <c r="I351"/>
  <c r="H394"/>
  <c r="I394"/>
  <c r="H401"/>
  <c r="I401"/>
  <c r="I444"/>
  <c r="H444"/>
  <c r="H448"/>
  <c r="I448"/>
  <c r="I456"/>
  <c r="F456"/>
  <c r="H491"/>
  <c r="I491"/>
  <c r="F495"/>
  <c r="H495"/>
  <c r="I495"/>
  <c r="H527"/>
  <c r="I527"/>
  <c r="F646"/>
  <c r="H646"/>
  <c r="I646"/>
  <c r="H653"/>
  <c r="I653"/>
  <c r="F653"/>
  <c r="H701"/>
  <c r="F701"/>
  <c r="I701"/>
  <c r="I3"/>
  <c r="I9"/>
  <c r="I15"/>
  <c r="I21"/>
  <c r="I27"/>
  <c r="I33"/>
  <c r="I39"/>
  <c r="I45"/>
  <c r="I51"/>
  <c r="I57"/>
  <c r="I63"/>
  <c r="I69"/>
  <c r="I75"/>
  <c r="I81"/>
  <c r="I87"/>
  <c r="I93"/>
  <c r="I99"/>
  <c r="I105"/>
  <c r="I111"/>
  <c r="I117"/>
  <c r="I123"/>
  <c r="I129"/>
  <c r="I135"/>
  <c r="I141"/>
  <c r="I147"/>
  <c r="I153"/>
  <c r="I159"/>
  <c r="I165"/>
  <c r="I171"/>
  <c r="I177"/>
  <c r="I183"/>
  <c r="I189"/>
  <c r="I195"/>
  <c r="I201"/>
  <c r="I207"/>
  <c r="I213"/>
  <c r="I219"/>
  <c r="I225"/>
  <c r="I231"/>
  <c r="I237"/>
  <c r="I243"/>
  <c r="I249"/>
  <c r="I255"/>
  <c r="I261"/>
  <c r="I269"/>
  <c r="I287"/>
  <c r="I305"/>
  <c r="I373"/>
  <c r="H630"/>
  <c r="I630"/>
  <c r="F630"/>
  <c r="H707"/>
  <c r="F707"/>
  <c r="I707"/>
  <c r="H317"/>
  <c r="F317"/>
  <c r="F333"/>
  <c r="I333"/>
  <c r="I372"/>
  <c r="H372"/>
  <c r="H383"/>
  <c r="I383"/>
  <c r="I408"/>
  <c r="H408"/>
  <c r="I426"/>
  <c r="H426"/>
  <c r="H430"/>
  <c r="I430"/>
  <c r="I438"/>
  <c r="F438"/>
  <c r="F459"/>
  <c r="H459"/>
  <c r="I459"/>
  <c r="H487"/>
  <c r="I487"/>
  <c r="H523"/>
  <c r="I523"/>
  <c r="I661"/>
  <c r="F661"/>
  <c r="H661"/>
  <c r="F709"/>
  <c r="I709"/>
  <c r="H709"/>
  <c r="I718"/>
  <c r="F718"/>
  <c r="H718"/>
  <c r="F799"/>
  <c r="I799"/>
  <c r="H799"/>
  <c r="H3"/>
  <c r="I4"/>
  <c r="H9"/>
  <c r="I10"/>
  <c r="H15"/>
  <c r="E3" i="5" s="1"/>
  <c r="I16" i="7"/>
  <c r="H21"/>
  <c r="I22"/>
  <c r="H27"/>
  <c r="I28"/>
  <c r="H33"/>
  <c r="I34"/>
  <c r="H39"/>
  <c r="I40"/>
  <c r="H45"/>
  <c r="I46"/>
  <c r="H51"/>
  <c r="H57"/>
  <c r="I58"/>
  <c r="H63"/>
  <c r="H69"/>
  <c r="H75"/>
  <c r="H81"/>
  <c r="H87"/>
  <c r="H93"/>
  <c r="H99"/>
  <c r="H105"/>
  <c r="H111"/>
  <c r="H117"/>
  <c r="H123"/>
  <c r="H129"/>
  <c r="H135"/>
  <c r="H141"/>
  <c r="H147"/>
  <c r="H153"/>
  <c r="H159"/>
  <c r="H165"/>
  <c r="H171"/>
  <c r="H177"/>
  <c r="H183"/>
  <c r="H189"/>
  <c r="H195"/>
  <c r="H201"/>
  <c r="H207"/>
  <c r="H213"/>
  <c r="H219"/>
  <c r="H225"/>
  <c r="H231"/>
  <c r="H237"/>
  <c r="H243"/>
  <c r="H249"/>
  <c r="H255"/>
  <c r="H261"/>
  <c r="I266"/>
  <c r="H269"/>
  <c r="I273"/>
  <c r="I277"/>
  <c r="H280"/>
  <c r="I284"/>
  <c r="H287"/>
  <c r="I291"/>
  <c r="I295"/>
  <c r="H298"/>
  <c r="I302"/>
  <c r="H305"/>
  <c r="I309"/>
  <c r="I313"/>
  <c r="I334"/>
  <c r="I345"/>
  <c r="H373"/>
  <c r="I395"/>
  <c r="H402"/>
  <c r="F315"/>
  <c r="I315"/>
  <c r="I354"/>
  <c r="H354"/>
  <c r="H365"/>
  <c r="I365"/>
  <c r="I378"/>
  <c r="F378"/>
  <c r="I390"/>
  <c r="H390"/>
  <c r="F441"/>
  <c r="H441"/>
  <c r="I441"/>
  <c r="H455"/>
  <c r="I455"/>
  <c r="I480"/>
  <c r="H480"/>
  <c r="H484"/>
  <c r="I484"/>
  <c r="I516"/>
  <c r="H516"/>
  <c r="H520"/>
  <c r="I520"/>
  <c r="F628"/>
  <c r="H628"/>
  <c r="I628"/>
  <c r="H635"/>
  <c r="I635"/>
  <c r="F635"/>
  <c r="H648"/>
  <c r="I648"/>
  <c r="F648"/>
  <c r="H749"/>
  <c r="F749"/>
  <c r="I749"/>
  <c r="I5"/>
  <c r="I11"/>
  <c r="I17"/>
  <c r="I23"/>
  <c r="I29"/>
  <c r="I35"/>
  <c r="I41"/>
  <c r="I47"/>
  <c r="I53"/>
  <c r="I59"/>
  <c r="I65"/>
  <c r="I71"/>
  <c r="I77"/>
  <c r="I83"/>
  <c r="I89"/>
  <c r="I95"/>
  <c r="I101"/>
  <c r="I107"/>
  <c r="I113"/>
  <c r="I119"/>
  <c r="I125"/>
  <c r="I131"/>
  <c r="I137"/>
  <c r="I143"/>
  <c r="I149"/>
  <c r="I155"/>
  <c r="I161"/>
  <c r="I167"/>
  <c r="I173"/>
  <c r="I179"/>
  <c r="I185"/>
  <c r="I191"/>
  <c r="I197"/>
  <c r="I203"/>
  <c r="I209"/>
  <c r="I215"/>
  <c r="I221"/>
  <c r="I227"/>
  <c r="I233"/>
  <c r="I239"/>
  <c r="I245"/>
  <c r="I251"/>
  <c r="I257"/>
  <c r="I263"/>
  <c r="H266"/>
  <c r="H277"/>
  <c r="I281"/>
  <c r="H284"/>
  <c r="H295"/>
  <c r="I299"/>
  <c r="H302"/>
  <c r="H313"/>
  <c r="I316"/>
  <c r="I327"/>
  <c r="H334"/>
  <c r="I337"/>
  <c r="H342"/>
  <c r="H345"/>
  <c r="H358"/>
  <c r="H366"/>
  <c r="I379"/>
  <c r="H384"/>
  <c r="H409"/>
  <c r="H445"/>
  <c r="I449"/>
  <c r="I451"/>
  <c r="I318"/>
  <c r="H318"/>
  <c r="H371"/>
  <c r="F371"/>
  <c r="I336"/>
  <c r="H336"/>
  <c r="H347"/>
  <c r="I347"/>
  <c r="I360"/>
  <c r="F360"/>
  <c r="F423"/>
  <c r="H423"/>
  <c r="I423"/>
  <c r="H437"/>
  <c r="I437"/>
  <c r="I463"/>
  <c r="F463"/>
  <c r="H473"/>
  <c r="I473"/>
  <c r="F477"/>
  <c r="H477"/>
  <c r="I477"/>
  <c r="H509"/>
  <c r="I509"/>
  <c r="F513"/>
  <c r="H513"/>
  <c r="I513"/>
  <c r="I643"/>
  <c r="F643"/>
  <c r="H643"/>
  <c r="I676"/>
  <c r="F676"/>
  <c r="H676"/>
  <c r="H725"/>
  <c r="F725"/>
  <c r="I725"/>
  <c r="F805"/>
  <c r="I805"/>
  <c r="H805"/>
  <c r="I267"/>
  <c r="I271"/>
  <c r="F273"/>
  <c r="H274"/>
  <c r="F280"/>
  <c r="I285"/>
  <c r="F3" i="5" s="1"/>
  <c r="I289" i="7"/>
  <c r="F291"/>
  <c r="H292"/>
  <c r="F298"/>
  <c r="I303"/>
  <c r="I307"/>
  <c r="F309"/>
  <c r="H310"/>
  <c r="F318"/>
  <c r="H324"/>
  <c r="H327"/>
  <c r="F329"/>
  <c r="H340"/>
  <c r="H348"/>
  <c r="I353"/>
  <c r="F358"/>
  <c r="I361"/>
  <c r="I364"/>
  <c r="H369"/>
  <c r="I377"/>
  <c r="H391"/>
  <c r="F395"/>
  <c r="F402"/>
  <c r="I417"/>
  <c r="H427"/>
  <c r="I431"/>
  <c r="I433"/>
  <c r="F451"/>
  <c r="I460"/>
  <c r="F469"/>
  <c r="F505"/>
  <c r="H617"/>
  <c r="I617"/>
  <c r="F622"/>
  <c r="H622"/>
  <c r="F640"/>
  <c r="H640"/>
  <c r="F658"/>
  <c r="H658"/>
  <c r="I670"/>
  <c r="F670"/>
  <c r="I694"/>
  <c r="F694"/>
  <c r="I700"/>
  <c r="F700"/>
  <c r="H700"/>
  <c r="F703"/>
  <c r="I703"/>
  <c r="I712"/>
  <c r="F712"/>
  <c r="F727"/>
  <c r="I727"/>
  <c r="F745"/>
  <c r="I745"/>
  <c r="I754"/>
  <c r="F754"/>
  <c r="H761"/>
  <c r="F761"/>
  <c r="F793"/>
  <c r="I793"/>
  <c r="F883"/>
  <c r="I883"/>
  <c r="F889"/>
  <c r="I889"/>
  <c r="F895"/>
  <c r="I895"/>
  <c r="F901"/>
  <c r="I901"/>
  <c r="F907"/>
  <c r="I907"/>
  <c r="F913"/>
  <c r="I913"/>
  <c r="F919"/>
  <c r="I919"/>
  <c r="F925"/>
  <c r="I925"/>
  <c r="F931"/>
  <c r="I931"/>
  <c r="F937"/>
  <c r="I937"/>
  <c r="F943"/>
  <c r="I943"/>
  <c r="F949"/>
  <c r="I949"/>
  <c r="F955"/>
  <c r="I955"/>
  <c r="H624"/>
  <c r="I624"/>
  <c r="F624"/>
  <c r="H642"/>
  <c r="I642"/>
  <c r="F642"/>
  <c r="H660"/>
  <c r="I660"/>
  <c r="F660"/>
  <c r="I724"/>
  <c r="F724"/>
  <c r="I736"/>
  <c r="F736"/>
  <c r="H736"/>
  <c r="F739"/>
  <c r="I739"/>
  <c r="I748"/>
  <c r="F748"/>
  <c r="F763"/>
  <c r="I763"/>
  <c r="F781"/>
  <c r="I781"/>
  <c r="F787"/>
  <c r="I787"/>
  <c r="I796"/>
  <c r="F796"/>
  <c r="I802"/>
  <c r="F802"/>
  <c r="F811"/>
  <c r="I811"/>
  <c r="H811"/>
  <c r="F847"/>
  <c r="I847"/>
  <c r="F853"/>
  <c r="I853"/>
  <c r="H853"/>
  <c r="F877"/>
  <c r="I877"/>
  <c r="F467"/>
  <c r="F474"/>
  <c r="F481"/>
  <c r="F485"/>
  <c r="F492"/>
  <c r="F499"/>
  <c r="F503"/>
  <c r="F510"/>
  <c r="F517"/>
  <c r="F521"/>
  <c r="F528"/>
  <c r="F535"/>
  <c r="F539"/>
  <c r="F546"/>
  <c r="F553"/>
  <c r="F557"/>
  <c r="F564"/>
  <c r="F571"/>
  <c r="F575"/>
  <c r="F582"/>
  <c r="F589"/>
  <c r="F593"/>
  <c r="F600"/>
  <c r="F607"/>
  <c r="F611"/>
  <c r="H634"/>
  <c r="H652"/>
  <c r="H689"/>
  <c r="I689"/>
  <c r="I730"/>
  <c r="F730"/>
  <c r="I760"/>
  <c r="F760"/>
  <c r="I772"/>
  <c r="F772"/>
  <c r="H772"/>
  <c r="F775"/>
  <c r="I775"/>
  <c r="I790"/>
  <c r="F790"/>
  <c r="I820"/>
  <c r="F820"/>
  <c r="H820"/>
  <c r="F823"/>
  <c r="I823"/>
  <c r="F841"/>
  <c r="I841"/>
  <c r="I862"/>
  <c r="F862"/>
  <c r="H862"/>
  <c r="F865"/>
  <c r="I865"/>
  <c r="F871"/>
  <c r="I871"/>
  <c r="I880"/>
  <c r="F880"/>
  <c r="I886"/>
  <c r="F886"/>
  <c r="I892"/>
  <c r="F892"/>
  <c r="I898"/>
  <c r="F898"/>
  <c r="I904"/>
  <c r="F904"/>
  <c r="I910"/>
  <c r="F910"/>
  <c r="I916"/>
  <c r="F916"/>
  <c r="I922"/>
  <c r="F922"/>
  <c r="I928"/>
  <c r="F928"/>
  <c r="I934"/>
  <c r="F934"/>
  <c r="I940"/>
  <c r="F940"/>
  <c r="I946"/>
  <c r="F946"/>
  <c r="I952"/>
  <c r="F952"/>
  <c r="I958"/>
  <c r="F958"/>
  <c r="I964"/>
  <c r="F964"/>
  <c r="I970"/>
  <c r="F970"/>
  <c r="I976"/>
  <c r="F976"/>
  <c r="I982"/>
  <c r="F982"/>
  <c r="I988"/>
  <c r="F988"/>
  <c r="I994"/>
  <c r="F994"/>
  <c r="I541"/>
  <c r="I559"/>
  <c r="I577"/>
  <c r="I595"/>
  <c r="I613"/>
  <c r="H618"/>
  <c r="I618"/>
  <c r="H636"/>
  <c r="I636"/>
  <c r="H654"/>
  <c r="I654"/>
  <c r="H665"/>
  <c r="F665"/>
  <c r="F691"/>
  <c r="I691"/>
  <c r="H691"/>
  <c r="H719"/>
  <c r="I719"/>
  <c r="I766"/>
  <c r="F766"/>
  <c r="I808"/>
  <c r="F808"/>
  <c r="I814"/>
  <c r="F814"/>
  <c r="F835"/>
  <c r="I835"/>
  <c r="I844"/>
  <c r="F844"/>
  <c r="I850"/>
  <c r="F850"/>
  <c r="I856"/>
  <c r="F856"/>
  <c r="F389"/>
  <c r="F396"/>
  <c r="F407"/>
  <c r="F414"/>
  <c r="F425"/>
  <c r="F432"/>
  <c r="F443"/>
  <c r="F450"/>
  <c r="F461"/>
  <c r="F468"/>
  <c r="F479"/>
  <c r="F486"/>
  <c r="F497"/>
  <c r="F504"/>
  <c r="F515"/>
  <c r="F522"/>
  <c r="I531"/>
  <c r="F533"/>
  <c r="H534"/>
  <c r="I538"/>
  <c r="F540"/>
  <c r="I545"/>
  <c r="I549"/>
  <c r="F551"/>
  <c r="H552"/>
  <c r="I556"/>
  <c r="F558"/>
  <c r="I563"/>
  <c r="I567"/>
  <c r="F569"/>
  <c r="H570"/>
  <c r="I574"/>
  <c r="F576"/>
  <c r="I581"/>
  <c r="I585"/>
  <c r="F587"/>
  <c r="H588"/>
  <c r="I592"/>
  <c r="F594"/>
  <c r="I599"/>
  <c r="I603"/>
  <c r="F605"/>
  <c r="H606"/>
  <c r="I610"/>
  <c r="F612"/>
  <c r="F623"/>
  <c r="F641"/>
  <c r="F659"/>
  <c r="F677"/>
  <c r="F683"/>
  <c r="F713"/>
  <c r="F667"/>
  <c r="I667"/>
  <c r="F685"/>
  <c r="I685"/>
  <c r="I688"/>
  <c r="F688"/>
  <c r="H695"/>
  <c r="F695"/>
  <c r="F715"/>
  <c r="I715"/>
  <c r="F721"/>
  <c r="I721"/>
  <c r="H721"/>
  <c r="H755"/>
  <c r="I755"/>
  <c r="I826"/>
  <c r="F826"/>
  <c r="H826"/>
  <c r="F829"/>
  <c r="I829"/>
  <c r="I838"/>
  <c r="F838"/>
  <c r="H531"/>
  <c r="H549"/>
  <c r="H567"/>
  <c r="H585"/>
  <c r="H603"/>
  <c r="H619"/>
  <c r="H637"/>
  <c r="H655"/>
  <c r="H703"/>
  <c r="I737"/>
  <c r="I743"/>
  <c r="H745"/>
  <c r="F961"/>
  <c r="I961"/>
  <c r="F967"/>
  <c r="I967"/>
  <c r="F973"/>
  <c r="I973"/>
  <c r="F979"/>
  <c r="I979"/>
  <c r="F985"/>
  <c r="I985"/>
  <c r="F991"/>
  <c r="I991"/>
  <c r="F997"/>
  <c r="I997"/>
  <c r="I874"/>
  <c r="F874"/>
  <c r="I1000"/>
  <c r="F1000"/>
  <c r="F673"/>
  <c r="I673"/>
  <c r="I682"/>
  <c r="F682"/>
  <c r="I706"/>
  <c r="F706"/>
  <c r="F733"/>
  <c r="I733"/>
  <c r="I742"/>
  <c r="F742"/>
  <c r="F769"/>
  <c r="I769"/>
  <c r="I778"/>
  <c r="F778"/>
  <c r="I784"/>
  <c r="F784"/>
  <c r="F817"/>
  <c r="I817"/>
  <c r="I832"/>
  <c r="F832"/>
  <c r="F859"/>
  <c r="I859"/>
  <c r="I868"/>
  <c r="F868"/>
  <c r="I666"/>
  <c r="I672"/>
  <c r="I678"/>
  <c r="I684"/>
  <c r="I690"/>
  <c r="I696"/>
  <c r="I702"/>
  <c r="I708"/>
  <c r="I714"/>
  <c r="I720"/>
  <c r="I726"/>
  <c r="I732"/>
  <c r="I738"/>
  <c r="I744"/>
  <c r="I750"/>
  <c r="I756"/>
  <c r="I762"/>
  <c r="I768"/>
  <c r="I774"/>
  <c r="I780"/>
  <c r="I786"/>
  <c r="I792"/>
  <c r="I798"/>
  <c r="I804"/>
  <c r="I810"/>
  <c r="I816"/>
  <c r="I822"/>
  <c r="I828"/>
  <c r="I834"/>
  <c r="I840"/>
  <c r="I846"/>
  <c r="I852"/>
  <c r="I858"/>
  <c r="I864"/>
  <c r="I870"/>
  <c r="I876"/>
  <c r="I882"/>
  <c r="I888"/>
  <c r="I894"/>
  <c r="I900"/>
  <c r="I906"/>
  <c r="I912"/>
  <c r="I918"/>
  <c r="I924"/>
  <c r="I930"/>
  <c r="I936"/>
  <c r="I942"/>
  <c r="I948"/>
  <c r="I954"/>
  <c r="I960"/>
  <c r="I966"/>
  <c r="I972"/>
  <c r="I978"/>
  <c r="I984"/>
  <c r="I990"/>
  <c r="I996"/>
  <c r="F999"/>
  <c r="D3" i="5"/>
  <c r="G4" i="1"/>
  <c r="G3"/>
  <c r="H82"/>
  <c r="I82"/>
  <c r="F82"/>
  <c r="F218"/>
  <c r="H218"/>
  <c r="I218"/>
  <c r="F236"/>
  <c r="H236"/>
  <c r="I236"/>
  <c r="F254"/>
  <c r="H254"/>
  <c r="I254"/>
  <c r="F272"/>
  <c r="H272"/>
  <c r="I272"/>
  <c r="F308"/>
  <c r="H308"/>
  <c r="I308"/>
  <c r="F152"/>
  <c r="I152"/>
  <c r="I167"/>
  <c r="F167"/>
  <c r="F5"/>
  <c r="G983" s="1"/>
  <c r="H7"/>
  <c r="F11"/>
  <c r="H13"/>
  <c r="F17"/>
  <c r="H19"/>
  <c r="F23"/>
  <c r="H25"/>
  <c r="F29"/>
  <c r="H31"/>
  <c r="F35"/>
  <c r="H37"/>
  <c r="F41"/>
  <c r="H43"/>
  <c r="F47"/>
  <c r="H49"/>
  <c r="F53"/>
  <c r="H55"/>
  <c r="F59"/>
  <c r="H61"/>
  <c r="F65"/>
  <c r="H67"/>
  <c r="F71"/>
  <c r="I72"/>
  <c r="F74"/>
  <c r="I76"/>
  <c r="F89"/>
  <c r="F107"/>
  <c r="F125"/>
  <c r="F143"/>
  <c r="H94"/>
  <c r="I94"/>
  <c r="F94"/>
  <c r="H112"/>
  <c r="I112"/>
  <c r="F112"/>
  <c r="H130"/>
  <c r="I130"/>
  <c r="F130"/>
  <c r="H148"/>
  <c r="I148"/>
  <c r="F148"/>
  <c r="F158"/>
  <c r="I158"/>
  <c r="I173"/>
  <c r="F173"/>
  <c r="F188"/>
  <c r="H188"/>
  <c r="I188"/>
  <c r="F200"/>
  <c r="H200"/>
  <c r="I200"/>
  <c r="F212"/>
  <c r="H212"/>
  <c r="I212"/>
  <c r="F230"/>
  <c r="H230"/>
  <c r="I230"/>
  <c r="F248"/>
  <c r="H248"/>
  <c r="I248"/>
  <c r="F266"/>
  <c r="H266"/>
  <c r="I266"/>
  <c r="F284"/>
  <c r="H284"/>
  <c r="I284"/>
  <c r="F302"/>
  <c r="H302"/>
  <c r="I302"/>
  <c r="F320"/>
  <c r="H320"/>
  <c r="I320"/>
  <c r="I161"/>
  <c r="F161"/>
  <c r="F290"/>
  <c r="H290"/>
  <c r="I290"/>
  <c r="F164"/>
  <c r="I164"/>
  <c r="I179"/>
  <c r="F179"/>
  <c r="I3"/>
  <c r="I21"/>
  <c r="I27"/>
  <c r="I51"/>
  <c r="I57"/>
  <c r="I63"/>
  <c r="I69"/>
  <c r="H3"/>
  <c r="H9"/>
  <c r="H15"/>
  <c r="H21"/>
  <c r="H27"/>
  <c r="H33"/>
  <c r="H39"/>
  <c r="H45"/>
  <c r="H51"/>
  <c r="H57"/>
  <c r="H63"/>
  <c r="H69"/>
  <c r="F72"/>
  <c r="H73"/>
  <c r="F83"/>
  <c r="F101"/>
  <c r="F119"/>
  <c r="F137"/>
  <c r="H118"/>
  <c r="I118"/>
  <c r="F118"/>
  <c r="H88"/>
  <c r="I88"/>
  <c r="F88"/>
  <c r="H106"/>
  <c r="I106"/>
  <c r="F106"/>
  <c r="H124"/>
  <c r="I124"/>
  <c r="F124"/>
  <c r="H142"/>
  <c r="I142"/>
  <c r="F142"/>
  <c r="F170"/>
  <c r="I170"/>
  <c r="I185"/>
  <c r="F185"/>
  <c r="F224"/>
  <c r="H224"/>
  <c r="I224"/>
  <c r="F242"/>
  <c r="H242"/>
  <c r="I242"/>
  <c r="F260"/>
  <c r="H260"/>
  <c r="I260"/>
  <c r="F278"/>
  <c r="H278"/>
  <c r="I278"/>
  <c r="F296"/>
  <c r="H296"/>
  <c r="I296"/>
  <c r="F314"/>
  <c r="H314"/>
  <c r="I314"/>
  <c r="I39"/>
  <c r="I5"/>
  <c r="I23"/>
  <c r="I35"/>
  <c r="I41"/>
  <c r="I47"/>
  <c r="I53"/>
  <c r="I59"/>
  <c r="I65"/>
  <c r="I74"/>
  <c r="H77"/>
  <c r="H95"/>
  <c r="H113"/>
  <c r="H131"/>
  <c r="H149"/>
  <c r="H100"/>
  <c r="I100"/>
  <c r="F100"/>
  <c r="H136"/>
  <c r="I136"/>
  <c r="F136"/>
  <c r="F182"/>
  <c r="I182"/>
  <c r="I155"/>
  <c r="F155"/>
  <c r="F176"/>
  <c r="I176"/>
  <c r="F194"/>
  <c r="H194"/>
  <c r="I194"/>
  <c r="F206"/>
  <c r="H206"/>
  <c r="I206"/>
  <c r="I9"/>
  <c r="I15"/>
  <c r="I33"/>
  <c r="I45"/>
  <c r="I11"/>
  <c r="I17"/>
  <c r="I29"/>
  <c r="F73"/>
  <c r="F77"/>
  <c r="I80"/>
  <c r="F95"/>
  <c r="I98"/>
  <c r="F113"/>
  <c r="I116"/>
  <c r="F131"/>
  <c r="I134"/>
  <c r="F149"/>
  <c r="H161"/>
  <c r="H182"/>
  <c r="F586"/>
  <c r="I586"/>
  <c r="I607"/>
  <c r="F607"/>
  <c r="F622"/>
  <c r="I622"/>
  <c r="H629"/>
  <c r="I629"/>
  <c r="F629"/>
  <c r="F645"/>
  <c r="H645"/>
  <c r="I645"/>
  <c r="H672"/>
  <c r="I672"/>
  <c r="F672"/>
  <c r="F676"/>
  <c r="H676"/>
  <c r="I676"/>
  <c r="H683"/>
  <c r="I683"/>
  <c r="F683"/>
  <c r="F754"/>
  <c r="H754"/>
  <c r="I754"/>
  <c r="H768"/>
  <c r="I768"/>
  <c r="F768"/>
  <c r="H779"/>
  <c r="I779"/>
  <c r="F779"/>
  <c r="F898"/>
  <c r="H898"/>
  <c r="I898"/>
  <c r="F381"/>
  <c r="H381"/>
  <c r="F399"/>
  <c r="H399"/>
  <c r="F417"/>
  <c r="H417"/>
  <c r="F435"/>
  <c r="H435"/>
  <c r="F453"/>
  <c r="H453"/>
  <c r="F471"/>
  <c r="H471"/>
  <c r="F489"/>
  <c r="H489"/>
  <c r="F507"/>
  <c r="H507"/>
  <c r="F525"/>
  <c r="H525"/>
  <c r="F543"/>
  <c r="H543"/>
  <c r="F561"/>
  <c r="H561"/>
  <c r="F592"/>
  <c r="I592"/>
  <c r="I613"/>
  <c r="F613"/>
  <c r="H628"/>
  <c r="F628"/>
  <c r="I628"/>
  <c r="F724"/>
  <c r="H724"/>
  <c r="I724"/>
  <c r="F772"/>
  <c r="H772"/>
  <c r="I772"/>
  <c r="H912"/>
  <c r="I912"/>
  <c r="F912"/>
  <c r="F970"/>
  <c r="H970"/>
  <c r="I970"/>
  <c r="F154"/>
  <c r="F160"/>
  <c r="F166"/>
  <c r="F172"/>
  <c r="F178"/>
  <c r="F184"/>
  <c r="F190"/>
  <c r="F196"/>
  <c r="F202"/>
  <c r="F208"/>
  <c r="F214"/>
  <c r="I217"/>
  <c r="F220"/>
  <c r="I223"/>
  <c r="F226"/>
  <c r="I229"/>
  <c r="F232"/>
  <c r="I235"/>
  <c r="F238"/>
  <c r="I241"/>
  <c r="F244"/>
  <c r="I247"/>
  <c r="F250"/>
  <c r="I253"/>
  <c r="F256"/>
  <c r="I259"/>
  <c r="F262"/>
  <c r="I265"/>
  <c r="F268"/>
  <c r="I271"/>
  <c r="F274"/>
  <c r="I277"/>
  <c r="F280"/>
  <c r="I283"/>
  <c r="F286"/>
  <c r="I289"/>
  <c r="F292"/>
  <c r="I295"/>
  <c r="F298"/>
  <c r="I301"/>
  <c r="F304"/>
  <c r="I307"/>
  <c r="F310"/>
  <c r="I313"/>
  <c r="F316"/>
  <c r="I319"/>
  <c r="F322"/>
  <c r="H327"/>
  <c r="I331"/>
  <c r="H334"/>
  <c r="H345"/>
  <c r="I349"/>
  <c r="H352"/>
  <c r="H363"/>
  <c r="F376"/>
  <c r="H379"/>
  <c r="F394"/>
  <c r="H397"/>
  <c r="F412"/>
  <c r="H415"/>
  <c r="F430"/>
  <c r="H433"/>
  <c r="F448"/>
  <c r="H451"/>
  <c r="F466"/>
  <c r="H469"/>
  <c r="F484"/>
  <c r="H487"/>
  <c r="F502"/>
  <c r="H505"/>
  <c r="F520"/>
  <c r="H523"/>
  <c r="F538"/>
  <c r="H541"/>
  <c r="F556"/>
  <c r="H559"/>
  <c r="F574"/>
  <c r="I577"/>
  <c r="F579"/>
  <c r="H579"/>
  <c r="I579"/>
  <c r="I583"/>
  <c r="F583"/>
  <c r="F598"/>
  <c r="I598"/>
  <c r="I619"/>
  <c r="F619"/>
  <c r="H690"/>
  <c r="I690"/>
  <c r="F690"/>
  <c r="F694"/>
  <c r="H694"/>
  <c r="I694"/>
  <c r="H701"/>
  <c r="I701"/>
  <c r="F701"/>
  <c r="H786"/>
  <c r="I786"/>
  <c r="F786"/>
  <c r="H797"/>
  <c r="I797"/>
  <c r="F797"/>
  <c r="H815"/>
  <c r="I815"/>
  <c r="F815"/>
  <c r="H833"/>
  <c r="I833"/>
  <c r="F833"/>
  <c r="H851"/>
  <c r="I851"/>
  <c r="F851"/>
  <c r="H923"/>
  <c r="I923"/>
  <c r="F923"/>
  <c r="F191"/>
  <c r="F197"/>
  <c r="F203"/>
  <c r="F209"/>
  <c r="F215"/>
  <c r="F221"/>
  <c r="F227"/>
  <c r="F233"/>
  <c r="F239"/>
  <c r="F245"/>
  <c r="F251"/>
  <c r="F257"/>
  <c r="F263"/>
  <c r="F269"/>
  <c r="F275"/>
  <c r="F281"/>
  <c r="F287"/>
  <c r="F293"/>
  <c r="F299"/>
  <c r="F305"/>
  <c r="F311"/>
  <c r="F317"/>
  <c r="F323"/>
  <c r="F330"/>
  <c r="F337"/>
  <c r="F341"/>
  <c r="F348"/>
  <c r="F355"/>
  <c r="F359"/>
  <c r="F443"/>
  <c r="F461"/>
  <c r="F479"/>
  <c r="F497"/>
  <c r="F515"/>
  <c r="F533"/>
  <c r="F551"/>
  <c r="F569"/>
  <c r="H577"/>
  <c r="F369"/>
  <c r="H369"/>
  <c r="F387"/>
  <c r="H387"/>
  <c r="F405"/>
  <c r="H405"/>
  <c r="F423"/>
  <c r="H423"/>
  <c r="F441"/>
  <c r="H441"/>
  <c r="F459"/>
  <c r="H459"/>
  <c r="F477"/>
  <c r="H477"/>
  <c r="F495"/>
  <c r="H495"/>
  <c r="F513"/>
  <c r="H513"/>
  <c r="F531"/>
  <c r="H531"/>
  <c r="F549"/>
  <c r="H549"/>
  <c r="F567"/>
  <c r="H567"/>
  <c r="I589"/>
  <c r="F589"/>
  <c r="F604"/>
  <c r="I604"/>
  <c r="I625"/>
  <c r="F625"/>
  <c r="I648"/>
  <c r="F648"/>
  <c r="H708"/>
  <c r="I708"/>
  <c r="F708"/>
  <c r="F712"/>
  <c r="H712"/>
  <c r="I712"/>
  <c r="H719"/>
  <c r="I719"/>
  <c r="F719"/>
  <c r="H732"/>
  <c r="I732"/>
  <c r="F732"/>
  <c r="H743"/>
  <c r="I743"/>
  <c r="F743"/>
  <c r="F790"/>
  <c r="H790"/>
  <c r="I790"/>
  <c r="H804"/>
  <c r="I804"/>
  <c r="F804"/>
  <c r="H822"/>
  <c r="I822"/>
  <c r="F822"/>
  <c r="H840"/>
  <c r="I840"/>
  <c r="F840"/>
  <c r="H869"/>
  <c r="I869"/>
  <c r="F869"/>
  <c r="H887"/>
  <c r="I887"/>
  <c r="F887"/>
  <c r="I595"/>
  <c r="F595"/>
  <c r="F610"/>
  <c r="I610"/>
  <c r="H647"/>
  <c r="I647"/>
  <c r="F647"/>
  <c r="F736"/>
  <c r="H736"/>
  <c r="I736"/>
  <c r="F808"/>
  <c r="H808"/>
  <c r="I808"/>
  <c r="F826"/>
  <c r="H826"/>
  <c r="I826"/>
  <c r="F844"/>
  <c r="H844"/>
  <c r="I844"/>
  <c r="H858"/>
  <c r="I858"/>
  <c r="F858"/>
  <c r="H876"/>
  <c r="I876"/>
  <c r="F876"/>
  <c r="F934"/>
  <c r="H934"/>
  <c r="I934"/>
  <c r="H948"/>
  <c r="I948"/>
  <c r="F948"/>
  <c r="I154"/>
  <c r="I160"/>
  <c r="I166"/>
  <c r="I172"/>
  <c r="I178"/>
  <c r="I184"/>
  <c r="I190"/>
  <c r="I196"/>
  <c r="I202"/>
  <c r="I208"/>
  <c r="I214"/>
  <c r="I220"/>
  <c r="I226"/>
  <c r="I232"/>
  <c r="I238"/>
  <c r="I244"/>
  <c r="I250"/>
  <c r="I256"/>
  <c r="I262"/>
  <c r="I268"/>
  <c r="I274"/>
  <c r="I280"/>
  <c r="I286"/>
  <c r="I292"/>
  <c r="I298"/>
  <c r="I304"/>
  <c r="I310"/>
  <c r="I316"/>
  <c r="I322"/>
  <c r="F324"/>
  <c r="F335"/>
  <c r="F342"/>
  <c r="F353"/>
  <c r="F360"/>
  <c r="H370"/>
  <c r="F377"/>
  <c r="I383"/>
  <c r="H388"/>
  <c r="I391"/>
  <c r="F395"/>
  <c r="I401"/>
  <c r="H406"/>
  <c r="I409"/>
  <c r="F413"/>
  <c r="I419"/>
  <c r="H424"/>
  <c r="I427"/>
  <c r="F431"/>
  <c r="I437"/>
  <c r="H442"/>
  <c r="I445"/>
  <c r="F449"/>
  <c r="I455"/>
  <c r="H460"/>
  <c r="I463"/>
  <c r="F467"/>
  <c r="I473"/>
  <c r="H478"/>
  <c r="I481"/>
  <c r="F485"/>
  <c r="I491"/>
  <c r="H496"/>
  <c r="I499"/>
  <c r="F503"/>
  <c r="I509"/>
  <c r="H514"/>
  <c r="I517"/>
  <c r="F521"/>
  <c r="I527"/>
  <c r="H532"/>
  <c r="I535"/>
  <c r="F539"/>
  <c r="I545"/>
  <c r="H550"/>
  <c r="I553"/>
  <c r="F557"/>
  <c r="I563"/>
  <c r="H568"/>
  <c r="I571"/>
  <c r="F575"/>
  <c r="H580"/>
  <c r="F375"/>
  <c r="H375"/>
  <c r="F393"/>
  <c r="H393"/>
  <c r="F411"/>
  <c r="H411"/>
  <c r="F429"/>
  <c r="H429"/>
  <c r="F447"/>
  <c r="H447"/>
  <c r="F465"/>
  <c r="H465"/>
  <c r="F483"/>
  <c r="H483"/>
  <c r="F501"/>
  <c r="H501"/>
  <c r="F519"/>
  <c r="H519"/>
  <c r="F537"/>
  <c r="H537"/>
  <c r="F555"/>
  <c r="H555"/>
  <c r="F573"/>
  <c r="H573"/>
  <c r="I601"/>
  <c r="F601"/>
  <c r="F616"/>
  <c r="I616"/>
  <c r="I630"/>
  <c r="F630"/>
  <c r="H646"/>
  <c r="F646"/>
  <c r="I646"/>
  <c r="H654"/>
  <c r="I654"/>
  <c r="F654"/>
  <c r="F658"/>
  <c r="H658"/>
  <c r="I658"/>
  <c r="H665"/>
  <c r="I665"/>
  <c r="F665"/>
  <c r="H750"/>
  <c r="I750"/>
  <c r="F750"/>
  <c r="H761"/>
  <c r="I761"/>
  <c r="F761"/>
  <c r="F862"/>
  <c r="H862"/>
  <c r="I862"/>
  <c r="F880"/>
  <c r="H880"/>
  <c r="I880"/>
  <c r="H894"/>
  <c r="I894"/>
  <c r="F894"/>
  <c r="H959"/>
  <c r="I959"/>
  <c r="F959"/>
  <c r="F370"/>
  <c r="F388"/>
  <c r="F406"/>
  <c r="F424"/>
  <c r="F442"/>
  <c r="F460"/>
  <c r="F478"/>
  <c r="F496"/>
  <c r="F514"/>
  <c r="F532"/>
  <c r="F550"/>
  <c r="F568"/>
  <c r="F580"/>
  <c r="H586"/>
  <c r="H607"/>
  <c r="H622"/>
  <c r="F1000"/>
  <c r="H1000"/>
  <c r="I1000"/>
  <c r="H1007"/>
  <c r="I1007"/>
  <c r="H641"/>
  <c r="I641"/>
  <c r="H666"/>
  <c r="I666"/>
  <c r="H677"/>
  <c r="I677"/>
  <c r="F688"/>
  <c r="H688"/>
  <c r="H702"/>
  <c r="I702"/>
  <c r="H713"/>
  <c r="I713"/>
  <c r="H737"/>
  <c r="I737"/>
  <c r="F748"/>
  <c r="H748"/>
  <c r="H762"/>
  <c r="I762"/>
  <c r="H773"/>
  <c r="I773"/>
  <c r="F784"/>
  <c r="H784"/>
  <c r="H798"/>
  <c r="I798"/>
  <c r="H809"/>
  <c r="I809"/>
  <c r="F820"/>
  <c r="H820"/>
  <c r="H834"/>
  <c r="I834"/>
  <c r="H845"/>
  <c r="I845"/>
  <c r="F856"/>
  <c r="H856"/>
  <c r="H870"/>
  <c r="I870"/>
  <c r="H881"/>
  <c r="I881"/>
  <c r="F892"/>
  <c r="H892"/>
  <c r="H906"/>
  <c r="I906"/>
  <c r="H917"/>
  <c r="I917"/>
  <c r="F928"/>
  <c r="H928"/>
  <c r="H942"/>
  <c r="I942"/>
  <c r="H953"/>
  <c r="I953"/>
  <c r="F964"/>
  <c r="H964"/>
  <c r="H978"/>
  <c r="I978"/>
  <c r="F1006"/>
  <c r="H1006"/>
  <c r="I1006"/>
  <c r="I585"/>
  <c r="I591"/>
  <c r="I597"/>
  <c r="I603"/>
  <c r="I609"/>
  <c r="I615"/>
  <c r="I621"/>
  <c r="I627"/>
  <c r="H660"/>
  <c r="I660"/>
  <c r="H671"/>
  <c r="I671"/>
  <c r="F682"/>
  <c r="H682"/>
  <c r="H696"/>
  <c r="I696"/>
  <c r="H707"/>
  <c r="I707"/>
  <c r="F718"/>
  <c r="H718"/>
  <c r="H726"/>
  <c r="I726"/>
  <c r="H731"/>
  <c r="I731"/>
  <c r="F742"/>
  <c r="H742"/>
  <c r="H756"/>
  <c r="I756"/>
  <c r="H767"/>
  <c r="I767"/>
  <c r="F778"/>
  <c r="H778"/>
  <c r="H792"/>
  <c r="I792"/>
  <c r="H803"/>
  <c r="I803"/>
  <c r="F814"/>
  <c r="H814"/>
  <c r="H828"/>
  <c r="I828"/>
  <c r="H839"/>
  <c r="I839"/>
  <c r="F850"/>
  <c r="H850"/>
  <c r="H864"/>
  <c r="I864"/>
  <c r="H875"/>
  <c r="I875"/>
  <c r="F886"/>
  <c r="H886"/>
  <c r="H900"/>
  <c r="I900"/>
  <c r="H911"/>
  <c r="I911"/>
  <c r="F922"/>
  <c r="H922"/>
  <c r="H936"/>
  <c r="I936"/>
  <c r="H947"/>
  <c r="I947"/>
  <c r="F958"/>
  <c r="H958"/>
  <c r="H972"/>
  <c r="I972"/>
  <c r="H983"/>
  <c r="I983"/>
  <c r="H585"/>
  <c r="H591"/>
  <c r="H597"/>
  <c r="H603"/>
  <c r="H609"/>
  <c r="H615"/>
  <c r="H621"/>
  <c r="H627"/>
  <c r="H905"/>
  <c r="I905"/>
  <c r="F916"/>
  <c r="H916"/>
  <c r="H930"/>
  <c r="I930"/>
  <c r="H941"/>
  <c r="I941"/>
  <c r="F952"/>
  <c r="H952"/>
  <c r="H966"/>
  <c r="I966"/>
  <c r="H977"/>
  <c r="I977"/>
  <c r="H989"/>
  <c r="I989"/>
  <c r="H659"/>
  <c r="I659"/>
  <c r="F670"/>
  <c r="H670"/>
  <c r="H684"/>
  <c r="I684"/>
  <c r="H695"/>
  <c r="I695"/>
  <c r="F706"/>
  <c r="H706"/>
  <c r="H720"/>
  <c r="I720"/>
  <c r="H725"/>
  <c r="I725"/>
  <c r="F730"/>
  <c r="H730"/>
  <c r="H744"/>
  <c r="I744"/>
  <c r="H755"/>
  <c r="I755"/>
  <c r="F766"/>
  <c r="H766"/>
  <c r="H780"/>
  <c r="I780"/>
  <c r="H791"/>
  <c r="I791"/>
  <c r="F802"/>
  <c r="H802"/>
  <c r="H816"/>
  <c r="I816"/>
  <c r="H827"/>
  <c r="I827"/>
  <c r="F838"/>
  <c r="H838"/>
  <c r="H852"/>
  <c r="I852"/>
  <c r="H863"/>
  <c r="I863"/>
  <c r="F874"/>
  <c r="H874"/>
  <c r="H888"/>
  <c r="I888"/>
  <c r="H899"/>
  <c r="I899"/>
  <c r="F910"/>
  <c r="H910"/>
  <c r="H924"/>
  <c r="I924"/>
  <c r="H935"/>
  <c r="I935"/>
  <c r="F946"/>
  <c r="H946"/>
  <c r="H960"/>
  <c r="I960"/>
  <c r="H971"/>
  <c r="I971"/>
  <c r="F982"/>
  <c r="H982"/>
  <c r="F988"/>
  <c r="H988"/>
  <c r="I988"/>
  <c r="H995"/>
  <c r="I995"/>
  <c r="H633"/>
  <c r="H651"/>
  <c r="H635"/>
  <c r="I635"/>
  <c r="H653"/>
  <c r="I653"/>
  <c r="F664"/>
  <c r="H664"/>
  <c r="H678"/>
  <c r="I678"/>
  <c r="H689"/>
  <c r="I689"/>
  <c r="F700"/>
  <c r="H700"/>
  <c r="H714"/>
  <c r="I714"/>
  <c r="H738"/>
  <c r="I738"/>
  <c r="H749"/>
  <c r="I749"/>
  <c r="F760"/>
  <c r="H760"/>
  <c r="H774"/>
  <c r="I774"/>
  <c r="H785"/>
  <c r="I785"/>
  <c r="F796"/>
  <c r="H796"/>
  <c r="H810"/>
  <c r="I810"/>
  <c r="H821"/>
  <c r="I821"/>
  <c r="F832"/>
  <c r="H832"/>
  <c r="H846"/>
  <c r="I846"/>
  <c r="H857"/>
  <c r="I857"/>
  <c r="F868"/>
  <c r="H868"/>
  <c r="H882"/>
  <c r="I882"/>
  <c r="H893"/>
  <c r="I893"/>
  <c r="F904"/>
  <c r="H904"/>
  <c r="H918"/>
  <c r="I918"/>
  <c r="H929"/>
  <c r="I929"/>
  <c r="F940"/>
  <c r="H940"/>
  <c r="H954"/>
  <c r="I954"/>
  <c r="H965"/>
  <c r="I965"/>
  <c r="F976"/>
  <c r="H976"/>
  <c r="F994"/>
  <c r="H994"/>
  <c r="I994"/>
  <c r="H1001"/>
  <c r="I1001"/>
  <c r="F1007"/>
  <c r="F1010"/>
  <c r="I984"/>
  <c r="I990"/>
  <c r="I996"/>
  <c r="I1002"/>
  <c r="I1008"/>
  <c r="I1009"/>
  <c r="D4" i="5"/>
  <c r="I2" i="6"/>
  <c r="F2" i="5" s="1"/>
  <c r="I2" i="1"/>
  <c r="F4" i="5" s="1"/>
  <c r="H2" i="1"/>
  <c r="G66" i="10" l="1"/>
  <c r="G30"/>
  <c r="G162"/>
  <c r="G6"/>
  <c r="G5"/>
  <c r="G4"/>
  <c r="E6" i="5"/>
  <c r="G95" i="9"/>
  <c r="G12"/>
  <c r="G78"/>
  <c r="G12" i="10"/>
  <c r="G48"/>
  <c r="G84"/>
  <c r="G120"/>
  <c r="G13"/>
  <c r="G31"/>
  <c r="G49"/>
  <c r="G67"/>
  <c r="G85"/>
  <c r="G103"/>
  <c r="G121"/>
  <c r="G139"/>
  <c r="G17"/>
  <c r="G29"/>
  <c r="G41"/>
  <c r="G209"/>
  <c r="G173"/>
  <c r="G137"/>
  <c r="G101"/>
  <c r="G65"/>
  <c r="G136"/>
  <c r="G100"/>
  <c r="G64"/>
  <c r="G28"/>
  <c r="G171"/>
  <c r="G135"/>
  <c r="G99"/>
  <c r="G63"/>
  <c r="G27"/>
  <c r="G176"/>
  <c r="G140"/>
  <c r="G104"/>
  <c r="G68"/>
  <c r="G32"/>
  <c r="G373"/>
  <c r="G337"/>
  <c r="G301"/>
  <c r="G265"/>
  <c r="G229"/>
  <c r="G193"/>
  <c r="G157"/>
  <c r="G366"/>
  <c r="G330"/>
  <c r="G294"/>
  <c r="G258"/>
  <c r="G222"/>
  <c r="G186"/>
  <c r="G150"/>
  <c r="F7" i="5"/>
  <c r="G42" i="10"/>
  <c r="G78"/>
  <c r="G114"/>
  <c r="G215"/>
  <c r="G179"/>
  <c r="G143"/>
  <c r="G107"/>
  <c r="G71"/>
  <c r="G142"/>
  <c r="G106"/>
  <c r="G70"/>
  <c r="G34"/>
  <c r="G177"/>
  <c r="G141"/>
  <c r="G105"/>
  <c r="G69"/>
  <c r="G33"/>
  <c r="G182"/>
  <c r="G146"/>
  <c r="G110"/>
  <c r="G74"/>
  <c r="G38"/>
  <c r="G379"/>
  <c r="G343"/>
  <c r="G307"/>
  <c r="G271"/>
  <c r="G235"/>
  <c r="G199"/>
  <c r="G163"/>
  <c r="G372"/>
  <c r="G336"/>
  <c r="G300"/>
  <c r="G264"/>
  <c r="G228"/>
  <c r="G192"/>
  <c r="G156"/>
  <c r="E7" i="5"/>
  <c r="G36" i="10"/>
  <c r="G72"/>
  <c r="G108"/>
  <c r="G7"/>
  <c r="G25"/>
  <c r="G43"/>
  <c r="G61"/>
  <c r="G79"/>
  <c r="G97"/>
  <c r="G115"/>
  <c r="G133"/>
  <c r="G8"/>
  <c r="G221"/>
  <c r="G185"/>
  <c r="G149"/>
  <c r="G113"/>
  <c r="G77"/>
  <c r="G148"/>
  <c r="G112"/>
  <c r="G76"/>
  <c r="G40"/>
  <c r="G183"/>
  <c r="G147"/>
  <c r="G111"/>
  <c r="G75"/>
  <c r="G39"/>
  <c r="G188"/>
  <c r="G152"/>
  <c r="G116"/>
  <c r="G80"/>
  <c r="G44"/>
  <c r="G385"/>
  <c r="G349"/>
  <c r="G313"/>
  <c r="G277"/>
  <c r="G241"/>
  <c r="G205"/>
  <c r="G169"/>
  <c r="G378"/>
  <c r="G342"/>
  <c r="G306"/>
  <c r="G270"/>
  <c r="G234"/>
  <c r="G198"/>
  <c r="G160"/>
  <c r="G172"/>
  <c r="G184"/>
  <c r="G196"/>
  <c r="G207"/>
  <c r="G220"/>
  <c r="G224"/>
  <c r="G236"/>
  <c r="G239"/>
  <c r="G244"/>
  <c r="G255"/>
  <c r="G263"/>
  <c r="G268"/>
  <c r="G273"/>
  <c r="G284"/>
  <c r="G287"/>
  <c r="G292"/>
  <c r="G303"/>
  <c r="G320"/>
  <c r="G323"/>
  <c r="G328"/>
  <c r="G339"/>
  <c r="G356"/>
  <c r="G359"/>
  <c r="G364"/>
  <c r="G380"/>
  <c r="G388"/>
  <c r="G394"/>
  <c r="G400"/>
  <c r="G406"/>
  <c r="G412"/>
  <c r="G418"/>
  <c r="G424"/>
  <c r="G430"/>
  <c r="G436"/>
  <c r="G442"/>
  <c r="G448"/>
  <c r="G454"/>
  <c r="G460"/>
  <c r="G466"/>
  <c r="G472"/>
  <c r="G478"/>
  <c r="G484"/>
  <c r="G490"/>
  <c r="G496"/>
  <c r="G502"/>
  <c r="G508"/>
  <c r="G514"/>
  <c r="G520"/>
  <c r="G526"/>
  <c r="G532"/>
  <c r="G538"/>
  <c r="G544"/>
  <c r="G550"/>
  <c r="G556"/>
  <c r="G562"/>
  <c r="G568"/>
  <c r="G574"/>
  <c r="G580"/>
  <c r="G586"/>
  <c r="G592"/>
  <c r="G598"/>
  <c r="G604"/>
  <c r="G610"/>
  <c r="G616"/>
  <c r="G622"/>
  <c r="G628"/>
  <c r="G634"/>
  <c r="G640"/>
  <c r="G646"/>
  <c r="G652"/>
  <c r="G658"/>
  <c r="G664"/>
  <c r="G670"/>
  <c r="G676"/>
  <c r="G190"/>
  <c r="G194"/>
  <c r="G214"/>
  <c r="G218"/>
  <c r="G242"/>
  <c r="G245"/>
  <c r="G250"/>
  <c r="G266"/>
  <c r="G290"/>
  <c r="G293"/>
  <c r="G298"/>
  <c r="G309"/>
  <c r="G326"/>
  <c r="G329"/>
  <c r="G334"/>
  <c r="G345"/>
  <c r="G362"/>
  <c r="G365"/>
  <c r="G370"/>
  <c r="G375"/>
  <c r="G383"/>
  <c r="G389"/>
  <c r="G395"/>
  <c r="G401"/>
  <c r="G407"/>
  <c r="G413"/>
  <c r="G419"/>
  <c r="G425"/>
  <c r="G431"/>
  <c r="G437"/>
  <c r="G443"/>
  <c r="G449"/>
  <c r="G455"/>
  <c r="G461"/>
  <c r="G467"/>
  <c r="G473"/>
  <c r="G479"/>
  <c r="G485"/>
  <c r="G491"/>
  <c r="G497"/>
  <c r="G503"/>
  <c r="G509"/>
  <c r="G515"/>
  <c r="G521"/>
  <c r="G527"/>
  <c r="G533"/>
  <c r="G539"/>
  <c r="G545"/>
  <c r="G201"/>
  <c r="G208"/>
  <c r="G212"/>
  <c r="G231"/>
  <c r="G248"/>
  <c r="G251"/>
  <c r="G256"/>
  <c r="G261"/>
  <c r="G269"/>
  <c r="G274"/>
  <c r="G279"/>
  <c r="G296"/>
  <c r="G299"/>
  <c r="G304"/>
  <c r="G315"/>
  <c r="G332"/>
  <c r="G335"/>
  <c r="G340"/>
  <c r="G351"/>
  <c r="G368"/>
  <c r="G386"/>
  <c r="G390"/>
  <c r="G396"/>
  <c r="G402"/>
  <c r="G408"/>
  <c r="G414"/>
  <c r="G420"/>
  <c r="G426"/>
  <c r="G432"/>
  <c r="G438"/>
  <c r="G444"/>
  <c r="G450"/>
  <c r="G456"/>
  <c r="G462"/>
  <c r="G468"/>
  <c r="G474"/>
  <c r="G154"/>
  <c r="G166"/>
  <c r="G178"/>
  <c r="G206"/>
  <c r="G225"/>
  <c r="G237"/>
  <c r="G254"/>
  <c r="G272"/>
  <c r="G285"/>
  <c r="G302"/>
  <c r="G305"/>
  <c r="G310"/>
  <c r="G321"/>
  <c r="G338"/>
  <c r="G341"/>
  <c r="G346"/>
  <c r="G357"/>
  <c r="G371"/>
  <c r="G376"/>
  <c r="G381"/>
  <c r="G391"/>
  <c r="G397"/>
  <c r="G403"/>
  <c r="G409"/>
  <c r="G415"/>
  <c r="G421"/>
  <c r="G427"/>
  <c r="G433"/>
  <c r="G439"/>
  <c r="G445"/>
  <c r="G451"/>
  <c r="G457"/>
  <c r="G195"/>
  <c r="G202"/>
  <c r="G219"/>
  <c r="G232"/>
  <c r="G243"/>
  <c r="G257"/>
  <c r="G262"/>
  <c r="G267"/>
  <c r="G275"/>
  <c r="G280"/>
  <c r="G291"/>
  <c r="G308"/>
  <c r="G311"/>
  <c r="G316"/>
  <c r="G327"/>
  <c r="G344"/>
  <c r="G347"/>
  <c r="G352"/>
  <c r="G363"/>
  <c r="G374"/>
  <c r="G392"/>
  <c r="G398"/>
  <c r="G404"/>
  <c r="G410"/>
  <c r="G416"/>
  <c r="G189"/>
  <c r="G200"/>
  <c r="G213"/>
  <c r="G226"/>
  <c r="G230"/>
  <c r="G233"/>
  <c r="G238"/>
  <c r="G249"/>
  <c r="G260"/>
  <c r="G278"/>
  <c r="G281"/>
  <c r="G286"/>
  <c r="G297"/>
  <c r="G314"/>
  <c r="G317"/>
  <c r="G322"/>
  <c r="G333"/>
  <c r="G350"/>
  <c r="G353"/>
  <c r="G358"/>
  <c r="G369"/>
  <c r="G377"/>
  <c r="G382"/>
  <c r="G387"/>
  <c r="G393"/>
  <c r="G399"/>
  <c r="G405"/>
  <c r="G411"/>
  <c r="G417"/>
  <c r="G423"/>
  <c r="G429"/>
  <c r="G435"/>
  <c r="G441"/>
  <c r="G447"/>
  <c r="G453"/>
  <c r="G459"/>
  <c r="G465"/>
  <c r="G471"/>
  <c r="G477"/>
  <c r="G483"/>
  <c r="G489"/>
  <c r="G495"/>
  <c r="G501"/>
  <c r="G507"/>
  <c r="G513"/>
  <c r="G519"/>
  <c r="G525"/>
  <c r="G531"/>
  <c r="G422"/>
  <c r="G440"/>
  <c r="G458"/>
  <c r="G464"/>
  <c r="G470"/>
  <c r="G476"/>
  <c r="G480"/>
  <c r="G494"/>
  <c r="G498"/>
  <c r="G517"/>
  <c r="G530"/>
  <c r="G534"/>
  <c r="G553"/>
  <c r="G557"/>
  <c r="G564"/>
  <c r="G571"/>
  <c r="G575"/>
  <c r="G582"/>
  <c r="G589"/>
  <c r="G593"/>
  <c r="G600"/>
  <c r="G607"/>
  <c r="G611"/>
  <c r="G618"/>
  <c r="G625"/>
  <c r="G629"/>
  <c r="G636"/>
  <c r="G643"/>
  <c r="G647"/>
  <c r="G654"/>
  <c r="G661"/>
  <c r="G665"/>
  <c r="G672"/>
  <c r="G679"/>
  <c r="G685"/>
  <c r="G691"/>
  <c r="G697"/>
  <c r="G703"/>
  <c r="G709"/>
  <c r="G715"/>
  <c r="G721"/>
  <c r="G727"/>
  <c r="G733"/>
  <c r="G739"/>
  <c r="G745"/>
  <c r="G751"/>
  <c r="G757"/>
  <c r="G763"/>
  <c r="G769"/>
  <c r="G775"/>
  <c r="G781"/>
  <c r="G787"/>
  <c r="G793"/>
  <c r="G799"/>
  <c r="G805"/>
  <c r="G811"/>
  <c r="G817"/>
  <c r="G823"/>
  <c r="G829"/>
  <c r="G835"/>
  <c r="G841"/>
  <c r="G847"/>
  <c r="G853"/>
  <c r="G859"/>
  <c r="G865"/>
  <c r="G871"/>
  <c r="G877"/>
  <c r="G883"/>
  <c r="G889"/>
  <c r="G895"/>
  <c r="G901"/>
  <c r="G907"/>
  <c r="G913"/>
  <c r="G919"/>
  <c r="G925"/>
  <c r="G931"/>
  <c r="G937"/>
  <c r="G943"/>
  <c r="G949"/>
  <c r="G955"/>
  <c r="G961"/>
  <c r="G967"/>
  <c r="G973"/>
  <c r="G979"/>
  <c r="G985"/>
  <c r="G991"/>
  <c r="G997"/>
  <c r="G487"/>
  <c r="G511"/>
  <c r="G524"/>
  <c r="G528"/>
  <c r="G537"/>
  <c r="G542"/>
  <c r="G547"/>
  <c r="G554"/>
  <c r="G561"/>
  <c r="G572"/>
  <c r="G579"/>
  <c r="G590"/>
  <c r="G597"/>
  <c r="G608"/>
  <c r="G615"/>
  <c r="G626"/>
  <c r="G633"/>
  <c r="G644"/>
  <c r="G651"/>
  <c r="G662"/>
  <c r="G669"/>
  <c r="G680"/>
  <c r="G686"/>
  <c r="G692"/>
  <c r="G698"/>
  <c r="G704"/>
  <c r="G710"/>
  <c r="G716"/>
  <c r="G722"/>
  <c r="G728"/>
  <c r="G734"/>
  <c r="G740"/>
  <c r="G746"/>
  <c r="G752"/>
  <c r="G758"/>
  <c r="G764"/>
  <c r="G770"/>
  <c r="G776"/>
  <c r="G782"/>
  <c r="G788"/>
  <c r="G794"/>
  <c r="G800"/>
  <c r="G806"/>
  <c r="G812"/>
  <c r="G818"/>
  <c r="G824"/>
  <c r="G830"/>
  <c r="G836"/>
  <c r="G842"/>
  <c r="G848"/>
  <c r="G854"/>
  <c r="G860"/>
  <c r="G866"/>
  <c r="G872"/>
  <c r="G878"/>
  <c r="G884"/>
  <c r="G890"/>
  <c r="G896"/>
  <c r="G902"/>
  <c r="G908"/>
  <c r="G914"/>
  <c r="G920"/>
  <c r="G926"/>
  <c r="G932"/>
  <c r="G938"/>
  <c r="G944"/>
  <c r="G950"/>
  <c r="G956"/>
  <c r="G962"/>
  <c r="G968"/>
  <c r="G974"/>
  <c r="G980"/>
  <c r="G986"/>
  <c r="G992"/>
  <c r="G998"/>
  <c r="G428"/>
  <c r="G446"/>
  <c r="G488"/>
  <c r="G492"/>
  <c r="G505"/>
  <c r="G518"/>
  <c r="G522"/>
  <c r="G540"/>
  <c r="G551"/>
  <c r="G558"/>
  <c r="G565"/>
  <c r="G569"/>
  <c r="G576"/>
  <c r="G583"/>
  <c r="G587"/>
  <c r="G594"/>
  <c r="G601"/>
  <c r="G605"/>
  <c r="G612"/>
  <c r="G619"/>
  <c r="G623"/>
  <c r="G630"/>
  <c r="G637"/>
  <c r="G641"/>
  <c r="G648"/>
  <c r="G655"/>
  <c r="G659"/>
  <c r="G666"/>
  <c r="G673"/>
  <c r="G677"/>
  <c r="G681"/>
  <c r="G687"/>
  <c r="G693"/>
  <c r="G699"/>
  <c r="G705"/>
  <c r="G711"/>
  <c r="G717"/>
  <c r="G723"/>
  <c r="G729"/>
  <c r="G735"/>
  <c r="G741"/>
  <c r="G747"/>
  <c r="G753"/>
  <c r="G759"/>
  <c r="G765"/>
  <c r="G771"/>
  <c r="G777"/>
  <c r="G783"/>
  <c r="G789"/>
  <c r="G795"/>
  <c r="G801"/>
  <c r="G807"/>
  <c r="G813"/>
  <c r="G819"/>
  <c r="G825"/>
  <c r="G831"/>
  <c r="G837"/>
  <c r="G843"/>
  <c r="G849"/>
  <c r="G855"/>
  <c r="G861"/>
  <c r="G867"/>
  <c r="G873"/>
  <c r="G879"/>
  <c r="G885"/>
  <c r="G891"/>
  <c r="G897"/>
  <c r="G903"/>
  <c r="G909"/>
  <c r="G915"/>
  <c r="G921"/>
  <c r="G927"/>
  <c r="G933"/>
  <c r="G939"/>
  <c r="G945"/>
  <c r="G951"/>
  <c r="G957"/>
  <c r="G963"/>
  <c r="G969"/>
  <c r="G975"/>
  <c r="G981"/>
  <c r="G987"/>
  <c r="G993"/>
  <c r="G999"/>
  <c r="G481"/>
  <c r="G499"/>
  <c r="G512"/>
  <c r="G516"/>
  <c r="G535"/>
  <c r="G543"/>
  <c r="G548"/>
  <c r="G555"/>
  <c r="G566"/>
  <c r="G573"/>
  <c r="G584"/>
  <c r="G591"/>
  <c r="G602"/>
  <c r="G609"/>
  <c r="G620"/>
  <c r="G627"/>
  <c r="G638"/>
  <c r="G645"/>
  <c r="G656"/>
  <c r="G663"/>
  <c r="G674"/>
  <c r="G682"/>
  <c r="G688"/>
  <c r="G694"/>
  <c r="G700"/>
  <c r="G706"/>
  <c r="G712"/>
  <c r="G718"/>
  <c r="G724"/>
  <c r="G730"/>
  <c r="G736"/>
  <c r="G742"/>
  <c r="G748"/>
  <c r="G754"/>
  <c r="G760"/>
  <c r="G766"/>
  <c r="G772"/>
  <c r="G778"/>
  <c r="G784"/>
  <c r="G790"/>
  <c r="G796"/>
  <c r="G802"/>
  <c r="G808"/>
  <c r="G814"/>
  <c r="G820"/>
  <c r="G826"/>
  <c r="G832"/>
  <c r="G838"/>
  <c r="G844"/>
  <c r="G850"/>
  <c r="G856"/>
  <c r="G862"/>
  <c r="G868"/>
  <c r="G874"/>
  <c r="G880"/>
  <c r="G886"/>
  <c r="G892"/>
  <c r="G898"/>
  <c r="G904"/>
  <c r="G910"/>
  <c r="G916"/>
  <c r="G922"/>
  <c r="G928"/>
  <c r="G934"/>
  <c r="G940"/>
  <c r="G946"/>
  <c r="G952"/>
  <c r="G958"/>
  <c r="G964"/>
  <c r="G970"/>
  <c r="G976"/>
  <c r="G982"/>
  <c r="G988"/>
  <c r="G994"/>
  <c r="G1000"/>
  <c r="G434"/>
  <c r="G452"/>
  <c r="G482"/>
  <c r="G486"/>
  <c r="G506"/>
  <c r="G510"/>
  <c r="G529"/>
  <c r="G546"/>
  <c r="G552"/>
  <c r="G559"/>
  <c r="G563"/>
  <c r="G570"/>
  <c r="G577"/>
  <c r="G581"/>
  <c r="G588"/>
  <c r="G595"/>
  <c r="G599"/>
  <c r="G606"/>
  <c r="G613"/>
  <c r="G617"/>
  <c r="G624"/>
  <c r="G631"/>
  <c r="G635"/>
  <c r="G642"/>
  <c r="G649"/>
  <c r="G653"/>
  <c r="G660"/>
  <c r="G667"/>
  <c r="G671"/>
  <c r="G678"/>
  <c r="G683"/>
  <c r="G689"/>
  <c r="G695"/>
  <c r="G701"/>
  <c r="G707"/>
  <c r="G713"/>
  <c r="G719"/>
  <c r="G725"/>
  <c r="G731"/>
  <c r="G737"/>
  <c r="G743"/>
  <c r="G749"/>
  <c r="G755"/>
  <c r="G761"/>
  <c r="G767"/>
  <c r="G773"/>
  <c r="G779"/>
  <c r="G785"/>
  <c r="G791"/>
  <c r="G797"/>
  <c r="G803"/>
  <c r="G809"/>
  <c r="G815"/>
  <c r="G821"/>
  <c r="G827"/>
  <c r="G833"/>
  <c r="G839"/>
  <c r="G845"/>
  <c r="G851"/>
  <c r="G857"/>
  <c r="G863"/>
  <c r="G869"/>
  <c r="G875"/>
  <c r="G881"/>
  <c r="G887"/>
  <c r="G893"/>
  <c r="G899"/>
  <c r="G905"/>
  <c r="G911"/>
  <c r="G917"/>
  <c r="G923"/>
  <c r="G929"/>
  <c r="G935"/>
  <c r="G941"/>
  <c r="G947"/>
  <c r="G953"/>
  <c r="G959"/>
  <c r="G965"/>
  <c r="G971"/>
  <c r="G977"/>
  <c r="G983"/>
  <c r="G989"/>
  <c r="G995"/>
  <c r="G1001"/>
  <c r="B7" i="5" s="1"/>
  <c r="C7" s="1"/>
  <c r="G463" i="10"/>
  <c r="G469"/>
  <c r="G475"/>
  <c r="G493"/>
  <c r="G500"/>
  <c r="G504"/>
  <c r="G523"/>
  <c r="G536"/>
  <c r="G541"/>
  <c r="G549"/>
  <c r="G560"/>
  <c r="G567"/>
  <c r="G578"/>
  <c r="G585"/>
  <c r="G596"/>
  <c r="G603"/>
  <c r="G614"/>
  <c r="G621"/>
  <c r="G632"/>
  <c r="G639"/>
  <c r="G650"/>
  <c r="G657"/>
  <c r="G668"/>
  <c r="G675"/>
  <c r="G684"/>
  <c r="G690"/>
  <c r="G696"/>
  <c r="G702"/>
  <c r="G708"/>
  <c r="G714"/>
  <c r="G720"/>
  <c r="G726"/>
  <c r="G732"/>
  <c r="G738"/>
  <c r="G744"/>
  <c r="G750"/>
  <c r="G756"/>
  <c r="G762"/>
  <c r="G768"/>
  <c r="G774"/>
  <c r="G780"/>
  <c r="G786"/>
  <c r="G792"/>
  <c r="G798"/>
  <c r="G804"/>
  <c r="G810"/>
  <c r="G816"/>
  <c r="G822"/>
  <c r="G828"/>
  <c r="G834"/>
  <c r="G840"/>
  <c r="G846"/>
  <c r="G852"/>
  <c r="G858"/>
  <c r="G864"/>
  <c r="G870"/>
  <c r="G876"/>
  <c r="G882"/>
  <c r="G888"/>
  <c r="G894"/>
  <c r="G900"/>
  <c r="G906"/>
  <c r="G912"/>
  <c r="G918"/>
  <c r="G924"/>
  <c r="G930"/>
  <c r="G936"/>
  <c r="G942"/>
  <c r="G948"/>
  <c r="G954"/>
  <c r="G960"/>
  <c r="G966"/>
  <c r="G972"/>
  <c r="G978"/>
  <c r="G984"/>
  <c r="G990"/>
  <c r="G996"/>
  <c r="G11"/>
  <c r="G23"/>
  <c r="G35"/>
  <c r="G227"/>
  <c r="G191"/>
  <c r="G155"/>
  <c r="G119"/>
  <c r="G83"/>
  <c r="G47"/>
  <c r="G118"/>
  <c r="G82"/>
  <c r="G46"/>
  <c r="G10"/>
  <c r="G153"/>
  <c r="G117"/>
  <c r="G81"/>
  <c r="G45"/>
  <c r="G9"/>
  <c r="G158"/>
  <c r="G122"/>
  <c r="G86"/>
  <c r="G50"/>
  <c r="G14"/>
  <c r="G355"/>
  <c r="G319"/>
  <c r="G283"/>
  <c r="G247"/>
  <c r="G211"/>
  <c r="G175"/>
  <c r="G384"/>
  <c r="G348"/>
  <c r="G312"/>
  <c r="G276"/>
  <c r="G240"/>
  <c r="G204"/>
  <c r="G168"/>
  <c r="G24"/>
  <c r="G60"/>
  <c r="G96"/>
  <c r="G132"/>
  <c r="G19"/>
  <c r="G37"/>
  <c r="G55"/>
  <c r="G73"/>
  <c r="G91"/>
  <c r="G109"/>
  <c r="G127"/>
  <c r="G197"/>
  <c r="G161"/>
  <c r="G125"/>
  <c r="G89"/>
  <c r="G53"/>
  <c r="G124"/>
  <c r="G88"/>
  <c r="G52"/>
  <c r="G16"/>
  <c r="G159"/>
  <c r="G123"/>
  <c r="G87"/>
  <c r="G51"/>
  <c r="G15"/>
  <c r="G164"/>
  <c r="G128"/>
  <c r="G92"/>
  <c r="G56"/>
  <c r="G20"/>
  <c r="G361"/>
  <c r="G325"/>
  <c r="G289"/>
  <c r="G253"/>
  <c r="G217"/>
  <c r="G181"/>
  <c r="G145"/>
  <c r="G354"/>
  <c r="G318"/>
  <c r="G282"/>
  <c r="G246"/>
  <c r="G210"/>
  <c r="G174"/>
  <c r="G18"/>
  <c r="G54"/>
  <c r="G90"/>
  <c r="G126"/>
  <c r="G203"/>
  <c r="G167"/>
  <c r="G131"/>
  <c r="G95"/>
  <c r="G59"/>
  <c r="G130"/>
  <c r="G94"/>
  <c r="G58"/>
  <c r="G22"/>
  <c r="G165"/>
  <c r="G129"/>
  <c r="G93"/>
  <c r="G57"/>
  <c r="G21"/>
  <c r="G170"/>
  <c r="G134"/>
  <c r="G98"/>
  <c r="G62"/>
  <c r="G26"/>
  <c r="G367"/>
  <c r="G331"/>
  <c r="G295"/>
  <c r="G259"/>
  <c r="G223"/>
  <c r="G187"/>
  <c r="G151"/>
  <c r="G360"/>
  <c r="G324"/>
  <c r="G288"/>
  <c r="G252"/>
  <c r="G216"/>
  <c r="G180"/>
  <c r="G144"/>
  <c r="G83" i="9"/>
  <c r="G387"/>
  <c r="G351"/>
  <c r="G315"/>
  <c r="G279"/>
  <c r="G243"/>
  <c r="G207"/>
  <c r="G171"/>
  <c r="G135"/>
  <c r="G99"/>
  <c r="G63"/>
  <c r="G27"/>
  <c r="G379"/>
  <c r="G343"/>
  <c r="G307"/>
  <c r="G271"/>
  <c r="G235"/>
  <c r="G199"/>
  <c r="G163"/>
  <c r="G127"/>
  <c r="G91"/>
  <c r="G55"/>
  <c r="G19"/>
  <c r="G192"/>
  <c r="G156"/>
  <c r="G120"/>
  <c r="G84"/>
  <c r="G48"/>
  <c r="G107"/>
  <c r="G116"/>
  <c r="G118"/>
  <c r="G128"/>
  <c r="G130"/>
  <c r="G140"/>
  <c r="G142"/>
  <c r="G152"/>
  <c r="G154"/>
  <c r="G164"/>
  <c r="G166"/>
  <c r="G176"/>
  <c r="G178"/>
  <c r="G188"/>
  <c r="G190"/>
  <c r="G200"/>
  <c r="G202"/>
  <c r="G214"/>
  <c r="G233"/>
  <c r="G238"/>
  <c r="G252"/>
  <c r="G260"/>
  <c r="G270"/>
  <c r="G278"/>
  <c r="G288"/>
  <c r="G296"/>
  <c r="G306"/>
  <c r="G314"/>
  <c r="G324"/>
  <c r="G332"/>
  <c r="G342"/>
  <c r="G350"/>
  <c r="G366"/>
  <c r="G374"/>
  <c r="G384"/>
  <c r="G392"/>
  <c r="G398"/>
  <c r="G404"/>
  <c r="G410"/>
  <c r="G416"/>
  <c r="G422"/>
  <c r="G428"/>
  <c r="G434"/>
  <c r="G440"/>
  <c r="G446"/>
  <c r="G452"/>
  <c r="G458"/>
  <c r="G464"/>
  <c r="G470"/>
  <c r="G476"/>
  <c r="G482"/>
  <c r="G488"/>
  <c r="G494"/>
  <c r="G500"/>
  <c r="G506"/>
  <c r="G512"/>
  <c r="G518"/>
  <c r="G524"/>
  <c r="G530"/>
  <c r="G536"/>
  <c r="G542"/>
  <c r="G548"/>
  <c r="G554"/>
  <c r="G560"/>
  <c r="G566"/>
  <c r="G572"/>
  <c r="G578"/>
  <c r="G584"/>
  <c r="G590"/>
  <c r="G596"/>
  <c r="G602"/>
  <c r="G608"/>
  <c r="G614"/>
  <c r="G50"/>
  <c r="G52"/>
  <c r="G62"/>
  <c r="G64"/>
  <c r="G74"/>
  <c r="G76"/>
  <c r="G86"/>
  <c r="G88"/>
  <c r="G98"/>
  <c r="G100"/>
  <c r="G212"/>
  <c r="G220"/>
  <c r="G228"/>
  <c r="G236"/>
  <c r="G244"/>
  <c r="G263"/>
  <c r="G268"/>
  <c r="G281"/>
  <c r="G286"/>
  <c r="G299"/>
  <c r="G304"/>
  <c r="G317"/>
  <c r="G322"/>
  <c r="G335"/>
  <c r="G340"/>
  <c r="G353"/>
  <c r="G358"/>
  <c r="G377"/>
  <c r="G382"/>
  <c r="G393"/>
  <c r="G399"/>
  <c r="G405"/>
  <c r="G411"/>
  <c r="G417"/>
  <c r="G423"/>
  <c r="G429"/>
  <c r="G435"/>
  <c r="G441"/>
  <c r="G447"/>
  <c r="G453"/>
  <c r="G459"/>
  <c r="G465"/>
  <c r="G471"/>
  <c r="G477"/>
  <c r="G483"/>
  <c r="G489"/>
  <c r="G495"/>
  <c r="G501"/>
  <c r="G507"/>
  <c r="G513"/>
  <c r="G519"/>
  <c r="G525"/>
  <c r="G531"/>
  <c r="G537"/>
  <c r="G543"/>
  <c r="G14"/>
  <c r="G16"/>
  <c r="G23"/>
  <c r="G32"/>
  <c r="G34"/>
  <c r="G41"/>
  <c r="G110"/>
  <c r="G112"/>
  <c r="G119"/>
  <c r="G131"/>
  <c r="G143"/>
  <c r="G155"/>
  <c r="G167"/>
  <c r="G179"/>
  <c r="G191"/>
  <c r="G203"/>
  <c r="G215"/>
  <c r="G218"/>
  <c r="G226"/>
  <c r="G239"/>
  <c r="G242"/>
  <c r="G250"/>
  <c r="G258"/>
  <c r="G266"/>
  <c r="G276"/>
  <c r="G284"/>
  <c r="G294"/>
  <c r="G302"/>
  <c r="G312"/>
  <c r="G320"/>
  <c r="G330"/>
  <c r="G338"/>
  <c r="G348"/>
  <c r="G356"/>
  <c r="G364"/>
  <c r="G372"/>
  <c r="G380"/>
  <c r="G388"/>
  <c r="G394"/>
  <c r="G53"/>
  <c r="G65"/>
  <c r="G77"/>
  <c r="G89"/>
  <c r="G101"/>
  <c r="G122"/>
  <c r="G124"/>
  <c r="G134"/>
  <c r="G136"/>
  <c r="G146"/>
  <c r="G148"/>
  <c r="G158"/>
  <c r="G160"/>
  <c r="G170"/>
  <c r="G172"/>
  <c r="G182"/>
  <c r="G184"/>
  <c r="G194"/>
  <c r="G196"/>
  <c r="G206"/>
  <c r="G208"/>
  <c r="G221"/>
  <c r="G224"/>
  <c r="G234"/>
  <c r="G245"/>
  <c r="G248"/>
  <c r="G256"/>
  <c r="G269"/>
  <c r="G274"/>
  <c r="G287"/>
  <c r="G292"/>
  <c r="G305"/>
  <c r="G310"/>
  <c r="G323"/>
  <c r="G328"/>
  <c r="G341"/>
  <c r="G346"/>
  <c r="G359"/>
  <c r="G362"/>
  <c r="G370"/>
  <c r="G383"/>
  <c r="G389"/>
  <c r="G395"/>
  <c r="G401"/>
  <c r="G407"/>
  <c r="G413"/>
  <c r="G419"/>
  <c r="G425"/>
  <c r="G431"/>
  <c r="G437"/>
  <c r="G443"/>
  <c r="G449"/>
  <c r="G455"/>
  <c r="G461"/>
  <c r="G8"/>
  <c r="G10"/>
  <c r="G17"/>
  <c r="G26"/>
  <c r="G28"/>
  <c r="G35"/>
  <c r="G44"/>
  <c r="G46"/>
  <c r="G56"/>
  <c r="G58"/>
  <c r="G68"/>
  <c r="G70"/>
  <c r="G80"/>
  <c r="G82"/>
  <c r="G92"/>
  <c r="G94"/>
  <c r="G104"/>
  <c r="G106"/>
  <c r="G113"/>
  <c r="G216"/>
  <c r="G227"/>
  <c r="G232"/>
  <c r="G240"/>
  <c r="G251"/>
  <c r="G254"/>
  <c r="G264"/>
  <c r="G272"/>
  <c r="G282"/>
  <c r="G290"/>
  <c r="G300"/>
  <c r="G308"/>
  <c r="G318"/>
  <c r="G326"/>
  <c r="G336"/>
  <c r="G344"/>
  <c r="G354"/>
  <c r="G365"/>
  <c r="G368"/>
  <c r="G378"/>
  <c r="G386"/>
  <c r="G390"/>
  <c r="G396"/>
  <c r="G402"/>
  <c r="G408"/>
  <c r="G414"/>
  <c r="G420"/>
  <c r="G426"/>
  <c r="G125"/>
  <c r="G137"/>
  <c r="G149"/>
  <c r="G161"/>
  <c r="G173"/>
  <c r="G185"/>
  <c r="G197"/>
  <c r="G209"/>
  <c r="G222"/>
  <c r="G230"/>
  <c r="G246"/>
  <c r="G257"/>
  <c r="G262"/>
  <c r="G275"/>
  <c r="G280"/>
  <c r="G293"/>
  <c r="G298"/>
  <c r="G311"/>
  <c r="G316"/>
  <c r="G329"/>
  <c r="G334"/>
  <c r="G347"/>
  <c r="G352"/>
  <c r="G360"/>
  <c r="G371"/>
  <c r="G376"/>
  <c r="G391"/>
  <c r="G397"/>
  <c r="G403"/>
  <c r="G409"/>
  <c r="G415"/>
  <c r="G421"/>
  <c r="G427"/>
  <c r="G433"/>
  <c r="G439"/>
  <c r="G445"/>
  <c r="G451"/>
  <c r="G457"/>
  <c r="G463"/>
  <c r="G469"/>
  <c r="G475"/>
  <c r="G481"/>
  <c r="G487"/>
  <c r="G493"/>
  <c r="G499"/>
  <c r="G505"/>
  <c r="G511"/>
  <c r="G517"/>
  <c r="G523"/>
  <c r="G529"/>
  <c r="G535"/>
  <c r="G541"/>
  <c r="G547"/>
  <c r="G553"/>
  <c r="G559"/>
  <c r="G467"/>
  <c r="G485"/>
  <c r="G503"/>
  <c r="G521"/>
  <c r="G539"/>
  <c r="G551"/>
  <c r="G562"/>
  <c r="G569"/>
  <c r="G573"/>
  <c r="G580"/>
  <c r="G587"/>
  <c r="G591"/>
  <c r="G598"/>
  <c r="G605"/>
  <c r="G609"/>
  <c r="G617"/>
  <c r="G623"/>
  <c r="G629"/>
  <c r="G635"/>
  <c r="G641"/>
  <c r="G647"/>
  <c r="G653"/>
  <c r="G659"/>
  <c r="G665"/>
  <c r="G671"/>
  <c r="G677"/>
  <c r="G683"/>
  <c r="G689"/>
  <c r="G695"/>
  <c r="G701"/>
  <c r="G707"/>
  <c r="G713"/>
  <c r="G719"/>
  <c r="G725"/>
  <c r="G731"/>
  <c r="G737"/>
  <c r="G743"/>
  <c r="G749"/>
  <c r="G755"/>
  <c r="G761"/>
  <c r="G400"/>
  <c r="G418"/>
  <c r="G468"/>
  <c r="G472"/>
  <c r="G486"/>
  <c r="G490"/>
  <c r="G504"/>
  <c r="G508"/>
  <c r="G522"/>
  <c r="G526"/>
  <c r="G540"/>
  <c r="G544"/>
  <c r="G549"/>
  <c r="G552"/>
  <c r="G557"/>
  <c r="G570"/>
  <c r="G577"/>
  <c r="G588"/>
  <c r="G595"/>
  <c r="G606"/>
  <c r="G613"/>
  <c r="G618"/>
  <c r="G624"/>
  <c r="G630"/>
  <c r="G636"/>
  <c r="G642"/>
  <c r="G648"/>
  <c r="G654"/>
  <c r="G660"/>
  <c r="G666"/>
  <c r="G672"/>
  <c r="G678"/>
  <c r="G684"/>
  <c r="G690"/>
  <c r="G696"/>
  <c r="G702"/>
  <c r="G708"/>
  <c r="G714"/>
  <c r="G720"/>
  <c r="G726"/>
  <c r="G732"/>
  <c r="G479"/>
  <c r="G497"/>
  <c r="G515"/>
  <c r="G533"/>
  <c r="G555"/>
  <c r="G558"/>
  <c r="G563"/>
  <c r="G567"/>
  <c r="G574"/>
  <c r="G581"/>
  <c r="G585"/>
  <c r="G592"/>
  <c r="G599"/>
  <c r="G603"/>
  <c r="G610"/>
  <c r="G619"/>
  <c r="G625"/>
  <c r="G631"/>
  <c r="G637"/>
  <c r="G643"/>
  <c r="G649"/>
  <c r="G655"/>
  <c r="G661"/>
  <c r="G667"/>
  <c r="G673"/>
  <c r="G679"/>
  <c r="G685"/>
  <c r="G691"/>
  <c r="G406"/>
  <c r="G424"/>
  <c r="G432"/>
  <c r="G438"/>
  <c r="G444"/>
  <c r="G450"/>
  <c r="G456"/>
  <c r="G462"/>
  <c r="G466"/>
  <c r="G480"/>
  <c r="G484"/>
  <c r="G498"/>
  <c r="G502"/>
  <c r="G516"/>
  <c r="G520"/>
  <c r="G534"/>
  <c r="G538"/>
  <c r="G561"/>
  <c r="G564"/>
  <c r="G571"/>
  <c r="G582"/>
  <c r="G589"/>
  <c r="G600"/>
  <c r="G607"/>
  <c r="G620"/>
  <c r="G626"/>
  <c r="G632"/>
  <c r="G638"/>
  <c r="G644"/>
  <c r="G650"/>
  <c r="G656"/>
  <c r="G662"/>
  <c r="G668"/>
  <c r="G674"/>
  <c r="G680"/>
  <c r="G686"/>
  <c r="G692"/>
  <c r="G698"/>
  <c r="G704"/>
  <c r="G710"/>
  <c r="G716"/>
  <c r="G722"/>
  <c r="G728"/>
  <c r="G734"/>
  <c r="G740"/>
  <c r="G746"/>
  <c r="G752"/>
  <c r="G758"/>
  <c r="G764"/>
  <c r="G770"/>
  <c r="G776"/>
  <c r="G782"/>
  <c r="G788"/>
  <c r="G794"/>
  <c r="G800"/>
  <c r="G806"/>
  <c r="G812"/>
  <c r="G818"/>
  <c r="G824"/>
  <c r="G830"/>
  <c r="G836"/>
  <c r="G842"/>
  <c r="G848"/>
  <c r="G854"/>
  <c r="G860"/>
  <c r="G866"/>
  <c r="G430"/>
  <c r="G436"/>
  <c r="G442"/>
  <c r="G448"/>
  <c r="G454"/>
  <c r="G460"/>
  <c r="G473"/>
  <c r="G491"/>
  <c r="G509"/>
  <c r="G527"/>
  <c r="G545"/>
  <c r="G550"/>
  <c r="G568"/>
  <c r="G575"/>
  <c r="G579"/>
  <c r="G586"/>
  <c r="G593"/>
  <c r="G597"/>
  <c r="G604"/>
  <c r="G611"/>
  <c r="G615"/>
  <c r="G621"/>
  <c r="G627"/>
  <c r="G633"/>
  <c r="G639"/>
  <c r="G645"/>
  <c r="G651"/>
  <c r="G657"/>
  <c r="G663"/>
  <c r="G669"/>
  <c r="G675"/>
  <c r="G681"/>
  <c r="G687"/>
  <c r="G693"/>
  <c r="G699"/>
  <c r="G705"/>
  <c r="G711"/>
  <c r="G717"/>
  <c r="G723"/>
  <c r="G729"/>
  <c r="G735"/>
  <c r="G741"/>
  <c r="G747"/>
  <c r="G753"/>
  <c r="G759"/>
  <c r="G765"/>
  <c r="G771"/>
  <c r="G777"/>
  <c r="G783"/>
  <c r="G789"/>
  <c r="G795"/>
  <c r="G801"/>
  <c r="G807"/>
  <c r="G813"/>
  <c r="G819"/>
  <c r="G825"/>
  <c r="G831"/>
  <c r="G837"/>
  <c r="G843"/>
  <c r="G849"/>
  <c r="G855"/>
  <c r="G861"/>
  <c r="G867"/>
  <c r="G873"/>
  <c r="G879"/>
  <c r="G885"/>
  <c r="G891"/>
  <c r="G897"/>
  <c r="G903"/>
  <c r="G909"/>
  <c r="G915"/>
  <c r="G921"/>
  <c r="G927"/>
  <c r="G412"/>
  <c r="G474"/>
  <c r="G478"/>
  <c r="G492"/>
  <c r="G496"/>
  <c r="G510"/>
  <c r="G514"/>
  <c r="G528"/>
  <c r="G532"/>
  <c r="G546"/>
  <c r="G556"/>
  <c r="G565"/>
  <c r="G576"/>
  <c r="G583"/>
  <c r="G594"/>
  <c r="G601"/>
  <c r="G612"/>
  <c r="G616"/>
  <c r="G622"/>
  <c r="G628"/>
  <c r="G634"/>
  <c r="G640"/>
  <c r="G646"/>
  <c r="G652"/>
  <c r="G658"/>
  <c r="G664"/>
  <c r="G670"/>
  <c r="G676"/>
  <c r="G682"/>
  <c r="G688"/>
  <c r="G694"/>
  <c r="G700"/>
  <c r="G706"/>
  <c r="G712"/>
  <c r="G718"/>
  <c r="G724"/>
  <c r="G730"/>
  <c r="G736"/>
  <c r="G742"/>
  <c r="G748"/>
  <c r="G754"/>
  <c r="G760"/>
  <c r="G766"/>
  <c r="G772"/>
  <c r="G778"/>
  <c r="G784"/>
  <c r="G790"/>
  <c r="G796"/>
  <c r="G802"/>
  <c r="G808"/>
  <c r="G814"/>
  <c r="G820"/>
  <c r="G826"/>
  <c r="G832"/>
  <c r="G838"/>
  <c r="G844"/>
  <c r="G850"/>
  <c r="G856"/>
  <c r="G862"/>
  <c r="G868"/>
  <c r="G874"/>
  <c r="G880"/>
  <c r="G886"/>
  <c r="G745"/>
  <c r="G756"/>
  <c r="G774"/>
  <c r="G787"/>
  <c r="G791"/>
  <c r="G810"/>
  <c r="G823"/>
  <c r="G827"/>
  <c r="G846"/>
  <c r="G859"/>
  <c r="G863"/>
  <c r="G872"/>
  <c r="G877"/>
  <c r="G882"/>
  <c r="G894"/>
  <c r="G898"/>
  <c r="G905"/>
  <c r="G912"/>
  <c r="G916"/>
  <c r="G923"/>
  <c r="G932"/>
  <c r="G938"/>
  <c r="G944"/>
  <c r="G950"/>
  <c r="G956"/>
  <c r="G962"/>
  <c r="G968"/>
  <c r="G974"/>
  <c r="G980"/>
  <c r="G986"/>
  <c r="G992"/>
  <c r="G998"/>
  <c r="G703"/>
  <c r="G715"/>
  <c r="G727"/>
  <c r="G751"/>
  <c r="G762"/>
  <c r="G768"/>
  <c r="G781"/>
  <c r="G785"/>
  <c r="G804"/>
  <c r="G817"/>
  <c r="G821"/>
  <c r="G840"/>
  <c r="G853"/>
  <c r="G857"/>
  <c r="G875"/>
  <c r="G895"/>
  <c r="G902"/>
  <c r="G913"/>
  <c r="G920"/>
  <c r="G933"/>
  <c r="G939"/>
  <c r="G945"/>
  <c r="G951"/>
  <c r="G957"/>
  <c r="G963"/>
  <c r="G969"/>
  <c r="G975"/>
  <c r="G981"/>
  <c r="G987"/>
  <c r="G993"/>
  <c r="G999"/>
  <c r="G757"/>
  <c r="G775"/>
  <c r="G779"/>
  <c r="G798"/>
  <c r="G811"/>
  <c r="G815"/>
  <c r="G834"/>
  <c r="G847"/>
  <c r="G851"/>
  <c r="G870"/>
  <c r="G878"/>
  <c r="G883"/>
  <c r="G888"/>
  <c r="G892"/>
  <c r="G899"/>
  <c r="G906"/>
  <c r="G910"/>
  <c r="G917"/>
  <c r="G924"/>
  <c r="G928"/>
  <c r="G934"/>
  <c r="G940"/>
  <c r="G946"/>
  <c r="G952"/>
  <c r="G958"/>
  <c r="G964"/>
  <c r="G970"/>
  <c r="G976"/>
  <c r="G982"/>
  <c r="G988"/>
  <c r="G994"/>
  <c r="G1000"/>
  <c r="G738"/>
  <c r="G763"/>
  <c r="G769"/>
  <c r="G773"/>
  <c r="G792"/>
  <c r="G805"/>
  <c r="G809"/>
  <c r="G828"/>
  <c r="G841"/>
  <c r="G845"/>
  <c r="G864"/>
  <c r="G881"/>
  <c r="G889"/>
  <c r="G896"/>
  <c r="G907"/>
  <c r="G914"/>
  <c r="G925"/>
  <c r="G929"/>
  <c r="G935"/>
  <c r="G941"/>
  <c r="G947"/>
  <c r="G953"/>
  <c r="G959"/>
  <c r="G965"/>
  <c r="G971"/>
  <c r="G977"/>
  <c r="G983"/>
  <c r="G989"/>
  <c r="G995"/>
  <c r="G1001"/>
  <c r="B6" i="5" s="1"/>
  <c r="C6" s="1"/>
  <c r="G697" i="9"/>
  <c r="G709"/>
  <c r="G721"/>
  <c r="G733"/>
  <c r="G744"/>
  <c r="G767"/>
  <c r="G786"/>
  <c r="G799"/>
  <c r="G803"/>
  <c r="G822"/>
  <c r="G835"/>
  <c r="G839"/>
  <c r="G858"/>
  <c r="G871"/>
  <c r="G876"/>
  <c r="G884"/>
  <c r="G893"/>
  <c r="G900"/>
  <c r="G904"/>
  <c r="G911"/>
  <c r="G918"/>
  <c r="G922"/>
  <c r="G930"/>
  <c r="G936"/>
  <c r="G942"/>
  <c r="G948"/>
  <c r="G954"/>
  <c r="G960"/>
  <c r="G966"/>
  <c r="G972"/>
  <c r="G978"/>
  <c r="G984"/>
  <c r="G990"/>
  <c r="G996"/>
  <c r="G739"/>
  <c r="G750"/>
  <c r="G780"/>
  <c r="G793"/>
  <c r="G797"/>
  <c r="G816"/>
  <c r="G829"/>
  <c r="G833"/>
  <c r="G852"/>
  <c r="G865"/>
  <c r="G869"/>
  <c r="G887"/>
  <c r="G890"/>
  <c r="G901"/>
  <c r="G908"/>
  <c r="G919"/>
  <c r="G926"/>
  <c r="G931"/>
  <c r="G937"/>
  <c r="G943"/>
  <c r="G949"/>
  <c r="G955"/>
  <c r="G961"/>
  <c r="G967"/>
  <c r="G973"/>
  <c r="G979"/>
  <c r="G985"/>
  <c r="G991"/>
  <c r="G997"/>
  <c r="G71"/>
  <c r="G357"/>
  <c r="G321"/>
  <c r="G285"/>
  <c r="G249"/>
  <c r="G213"/>
  <c r="G177"/>
  <c r="G141"/>
  <c r="G105"/>
  <c r="G69"/>
  <c r="G33"/>
  <c r="G385"/>
  <c r="G349"/>
  <c r="G313"/>
  <c r="G277"/>
  <c r="G241"/>
  <c r="G205"/>
  <c r="G169"/>
  <c r="G133"/>
  <c r="G97"/>
  <c r="G61"/>
  <c r="G25"/>
  <c r="G198"/>
  <c r="G162"/>
  <c r="G126"/>
  <c r="G90"/>
  <c r="G54"/>
  <c r="G18"/>
  <c r="G29"/>
  <c r="G59"/>
  <c r="G363"/>
  <c r="G327"/>
  <c r="G291"/>
  <c r="G255"/>
  <c r="G219"/>
  <c r="G183"/>
  <c r="G147"/>
  <c r="G111"/>
  <c r="G75"/>
  <c r="G39"/>
  <c r="G355"/>
  <c r="G319"/>
  <c r="G283"/>
  <c r="G247"/>
  <c r="G211"/>
  <c r="G175"/>
  <c r="G139"/>
  <c r="G103"/>
  <c r="G67"/>
  <c r="G31"/>
  <c r="G204"/>
  <c r="G168"/>
  <c r="G132"/>
  <c r="G96"/>
  <c r="G60"/>
  <c r="G24"/>
  <c r="F6" i="5"/>
  <c r="G22" i="9"/>
  <c r="G47"/>
  <c r="G369"/>
  <c r="G333"/>
  <c r="G297"/>
  <c r="G261"/>
  <c r="G225"/>
  <c r="G189"/>
  <c r="G153"/>
  <c r="G117"/>
  <c r="G81"/>
  <c r="G45"/>
  <c r="G361"/>
  <c r="G325"/>
  <c r="G289"/>
  <c r="G253"/>
  <c r="G217"/>
  <c r="G181"/>
  <c r="G145"/>
  <c r="G109"/>
  <c r="G73"/>
  <c r="G37"/>
  <c r="G210"/>
  <c r="G174"/>
  <c r="G138"/>
  <c r="G102"/>
  <c r="G66"/>
  <c r="G30"/>
  <c r="G20"/>
  <c r="G40"/>
  <c r="G375"/>
  <c r="G339"/>
  <c r="G303"/>
  <c r="G267"/>
  <c r="G231"/>
  <c r="G195"/>
  <c r="G159"/>
  <c r="G123"/>
  <c r="G87"/>
  <c r="G51"/>
  <c r="G15"/>
  <c r="G367"/>
  <c r="G331"/>
  <c r="G295"/>
  <c r="G259"/>
  <c r="G223"/>
  <c r="G187"/>
  <c r="G151"/>
  <c r="G115"/>
  <c r="G79"/>
  <c r="G43"/>
  <c r="G180"/>
  <c r="G144"/>
  <c r="G108"/>
  <c r="G72"/>
  <c r="G36"/>
  <c r="G38"/>
  <c r="G381"/>
  <c r="G345"/>
  <c r="G309"/>
  <c r="G273"/>
  <c r="G237"/>
  <c r="G201"/>
  <c r="G165"/>
  <c r="G129"/>
  <c r="G93"/>
  <c r="G57"/>
  <c r="G21"/>
  <c r="G373"/>
  <c r="G337"/>
  <c r="G301"/>
  <c r="G265"/>
  <c r="G229"/>
  <c r="G193"/>
  <c r="G157"/>
  <c r="G121"/>
  <c r="G85"/>
  <c r="G49"/>
  <c r="G186"/>
  <c r="G150"/>
  <c r="G114"/>
  <c r="G42"/>
  <c r="F5" i="5"/>
  <c r="E5"/>
  <c r="G6" i="8"/>
  <c r="G12"/>
  <c r="G18"/>
  <c r="G24"/>
  <c r="G30"/>
  <c r="G36"/>
  <c r="G42"/>
  <c r="G48"/>
  <c r="G54"/>
  <c r="G60"/>
  <c r="G66"/>
  <c r="G72"/>
  <c r="G78"/>
  <c r="G84"/>
  <c r="G90"/>
  <c r="G96"/>
  <c r="G102"/>
  <c r="G108"/>
  <c r="G114"/>
  <c r="G120"/>
  <c r="G126"/>
  <c r="G132"/>
  <c r="G138"/>
  <c r="G144"/>
  <c r="G150"/>
  <c r="G156"/>
  <c r="G162"/>
  <c r="G168"/>
  <c r="G174"/>
  <c r="G180"/>
  <c r="G186"/>
  <c r="G192"/>
  <c r="G198"/>
  <c r="G204"/>
  <c r="G210"/>
  <c r="G216"/>
  <c r="G222"/>
  <c r="G228"/>
  <c r="G234"/>
  <c r="G240"/>
  <c r="G246"/>
  <c r="G252"/>
  <c r="G258"/>
  <c r="G264"/>
  <c r="G270"/>
  <c r="G276"/>
  <c r="G282"/>
  <c r="G288"/>
  <c r="G294"/>
  <c r="G300"/>
  <c r="G306"/>
  <c r="G312"/>
  <c r="G318"/>
  <c r="G324"/>
  <c r="G330"/>
  <c r="G336"/>
  <c r="G342"/>
  <c r="G348"/>
  <c r="G354"/>
  <c r="G360"/>
  <c r="G366"/>
  <c r="G372"/>
  <c r="G378"/>
  <c r="G384"/>
  <c r="G7"/>
  <c r="G13"/>
  <c r="G19"/>
  <c r="G25"/>
  <c r="G31"/>
  <c r="G37"/>
  <c r="G43"/>
  <c r="G49"/>
  <c r="G55"/>
  <c r="G61"/>
  <c r="G67"/>
  <c r="G73"/>
  <c r="G79"/>
  <c r="G85"/>
  <c r="G91"/>
  <c r="G97"/>
  <c r="G103"/>
  <c r="G109"/>
  <c r="G115"/>
  <c r="G121"/>
  <c r="G127"/>
  <c r="G133"/>
  <c r="G139"/>
  <c r="G145"/>
  <c r="G151"/>
  <c r="G157"/>
  <c r="G163"/>
  <c r="G169"/>
  <c r="G175"/>
  <c r="G181"/>
  <c r="G187"/>
  <c r="G193"/>
  <c r="G199"/>
  <c r="G205"/>
  <c r="G211"/>
  <c r="G217"/>
  <c r="G223"/>
  <c r="G229"/>
  <c r="G235"/>
  <c r="G241"/>
  <c r="G247"/>
  <c r="G253"/>
  <c r="G259"/>
  <c r="G265"/>
  <c r="G271"/>
  <c r="G277"/>
  <c r="G283"/>
  <c r="G289"/>
  <c r="G295"/>
  <c r="G301"/>
  <c r="G307"/>
  <c r="G313"/>
  <c r="G319"/>
  <c r="G325"/>
  <c r="G331"/>
  <c r="G337"/>
  <c r="G343"/>
  <c r="G349"/>
  <c r="G355"/>
  <c r="G361"/>
  <c r="G367"/>
  <c r="G373"/>
  <c r="G379"/>
  <c r="G385"/>
  <c r="G8"/>
  <c r="G14"/>
  <c r="G20"/>
  <c r="G26"/>
  <c r="G32"/>
  <c r="G38"/>
  <c r="G44"/>
  <c r="G50"/>
  <c r="G56"/>
  <c r="G62"/>
  <c r="G68"/>
  <c r="G74"/>
  <c r="G80"/>
  <c r="G86"/>
  <c r="G92"/>
  <c r="G98"/>
  <c r="G104"/>
  <c r="G110"/>
  <c r="G116"/>
  <c r="G122"/>
  <c r="G128"/>
  <c r="G134"/>
  <c r="G140"/>
  <c r="G146"/>
  <c r="G152"/>
  <c r="G158"/>
  <c r="G164"/>
  <c r="G170"/>
  <c r="G176"/>
  <c r="G182"/>
  <c r="G188"/>
  <c r="G194"/>
  <c r="G200"/>
  <c r="G206"/>
  <c r="G212"/>
  <c r="G218"/>
  <c r="G224"/>
  <c r="G230"/>
  <c r="G3"/>
  <c r="G9"/>
  <c r="G15"/>
  <c r="G21"/>
  <c r="G27"/>
  <c r="G33"/>
  <c r="G39"/>
  <c r="G45"/>
  <c r="G51"/>
  <c r="G57"/>
  <c r="G63"/>
  <c r="G69"/>
  <c r="G75"/>
  <c r="G81"/>
  <c r="G87"/>
  <c r="G93"/>
  <c r="G99"/>
  <c r="G105"/>
  <c r="G111"/>
  <c r="G117"/>
  <c r="G123"/>
  <c r="G129"/>
  <c r="G135"/>
  <c r="G141"/>
  <c r="G147"/>
  <c r="G153"/>
  <c r="G159"/>
  <c r="G165"/>
  <c r="G171"/>
  <c r="G177"/>
  <c r="G183"/>
  <c r="G189"/>
  <c r="G195"/>
  <c r="G201"/>
  <c r="G207"/>
  <c r="G213"/>
  <c r="G219"/>
  <c r="G225"/>
  <c r="G231"/>
  <c r="G4"/>
  <c r="G10"/>
  <c r="G16"/>
  <c r="G22"/>
  <c r="G28"/>
  <c r="G34"/>
  <c r="G40"/>
  <c r="G46"/>
  <c r="G52"/>
  <c r="G58"/>
  <c r="G64"/>
  <c r="G70"/>
  <c r="G35"/>
  <c r="G53"/>
  <c r="G101"/>
  <c r="G112"/>
  <c r="G118"/>
  <c r="G143"/>
  <c r="G154"/>
  <c r="G236"/>
  <c r="G239"/>
  <c r="G244"/>
  <c r="G249"/>
  <c r="G257"/>
  <c r="G262"/>
  <c r="G267"/>
  <c r="G284"/>
  <c r="G287"/>
  <c r="G292"/>
  <c r="G303"/>
  <c r="G320"/>
  <c r="G338"/>
  <c r="G356"/>
  <c r="G374"/>
  <c r="G392"/>
  <c r="G398"/>
  <c r="G404"/>
  <c r="G410"/>
  <c r="G416"/>
  <c r="G422"/>
  <c r="G428"/>
  <c r="G434"/>
  <c r="G440"/>
  <c r="G446"/>
  <c r="G452"/>
  <c r="G458"/>
  <c r="G464"/>
  <c r="G470"/>
  <c r="G476"/>
  <c r="G482"/>
  <c r="G488"/>
  <c r="G494"/>
  <c r="G500"/>
  <c r="G506"/>
  <c r="G512"/>
  <c r="G518"/>
  <c r="G524"/>
  <c r="G530"/>
  <c r="G536"/>
  <c r="G542"/>
  <c r="G548"/>
  <c r="G554"/>
  <c r="G560"/>
  <c r="G566"/>
  <c r="G572"/>
  <c r="G578"/>
  <c r="G584"/>
  <c r="G590"/>
  <c r="G596"/>
  <c r="G602"/>
  <c r="G608"/>
  <c r="G614"/>
  <c r="G620"/>
  <c r="G626"/>
  <c r="G632"/>
  <c r="G638"/>
  <c r="G644"/>
  <c r="G650"/>
  <c r="G656"/>
  <c r="G662"/>
  <c r="G668"/>
  <c r="G674"/>
  <c r="G680"/>
  <c r="G686"/>
  <c r="G692"/>
  <c r="G698"/>
  <c r="G704"/>
  <c r="G710"/>
  <c r="G716"/>
  <c r="G722"/>
  <c r="G728"/>
  <c r="G17"/>
  <c r="G107"/>
  <c r="G124"/>
  <c r="G149"/>
  <c r="G160"/>
  <c r="G242"/>
  <c r="G260"/>
  <c r="G273"/>
  <c r="G290"/>
  <c r="G293"/>
  <c r="G298"/>
  <c r="G309"/>
  <c r="G323"/>
  <c r="G328"/>
  <c r="G333"/>
  <c r="G341"/>
  <c r="G346"/>
  <c r="G351"/>
  <c r="G359"/>
  <c r="G364"/>
  <c r="G369"/>
  <c r="G377"/>
  <c r="G382"/>
  <c r="G387"/>
  <c r="G393"/>
  <c r="G399"/>
  <c r="G405"/>
  <c r="G411"/>
  <c r="G417"/>
  <c r="G423"/>
  <c r="G429"/>
  <c r="G435"/>
  <c r="G441"/>
  <c r="G447"/>
  <c r="G453"/>
  <c r="G459"/>
  <c r="G465"/>
  <c r="G471"/>
  <c r="G477"/>
  <c r="G483"/>
  <c r="G489"/>
  <c r="G495"/>
  <c r="G501"/>
  <c r="G507"/>
  <c r="G513"/>
  <c r="G519"/>
  <c r="G525"/>
  <c r="G531"/>
  <c r="G537"/>
  <c r="G543"/>
  <c r="G549"/>
  <c r="G555"/>
  <c r="G561"/>
  <c r="G567"/>
  <c r="G573"/>
  <c r="G579"/>
  <c r="G585"/>
  <c r="G591"/>
  <c r="G597"/>
  <c r="G603"/>
  <c r="G609"/>
  <c r="G615"/>
  <c r="G621"/>
  <c r="G627"/>
  <c r="G633"/>
  <c r="G639"/>
  <c r="G645"/>
  <c r="G651"/>
  <c r="G657"/>
  <c r="G663"/>
  <c r="G669"/>
  <c r="G675"/>
  <c r="G681"/>
  <c r="G687"/>
  <c r="G693"/>
  <c r="G699"/>
  <c r="G705"/>
  <c r="G711"/>
  <c r="G717"/>
  <c r="G723"/>
  <c r="G41"/>
  <c r="G59"/>
  <c r="G113"/>
  <c r="G119"/>
  <c r="G130"/>
  <c r="G155"/>
  <c r="G166"/>
  <c r="G172"/>
  <c r="G178"/>
  <c r="G245"/>
  <c r="G250"/>
  <c r="G255"/>
  <c r="G263"/>
  <c r="G268"/>
  <c r="G279"/>
  <c r="G296"/>
  <c r="G299"/>
  <c r="G304"/>
  <c r="G315"/>
  <c r="G326"/>
  <c r="G344"/>
  <c r="G362"/>
  <c r="G380"/>
  <c r="G388"/>
  <c r="G394"/>
  <c r="G400"/>
  <c r="G23"/>
  <c r="G76"/>
  <c r="G82"/>
  <c r="G88"/>
  <c r="G125"/>
  <c r="G136"/>
  <c r="G161"/>
  <c r="G167"/>
  <c r="G173"/>
  <c r="G184"/>
  <c r="G237"/>
  <c r="G248"/>
  <c r="G266"/>
  <c r="G269"/>
  <c r="G274"/>
  <c r="G285"/>
  <c r="G302"/>
  <c r="G305"/>
  <c r="G310"/>
  <c r="G321"/>
  <c r="G329"/>
  <c r="G334"/>
  <c r="G339"/>
  <c r="G347"/>
  <c r="G352"/>
  <c r="G357"/>
  <c r="G365"/>
  <c r="G370"/>
  <c r="G375"/>
  <c r="G383"/>
  <c r="G389"/>
  <c r="G395"/>
  <c r="G401"/>
  <c r="G407"/>
  <c r="G413"/>
  <c r="G419"/>
  <c r="G425"/>
  <c r="G431"/>
  <c r="G437"/>
  <c r="G443"/>
  <c r="G449"/>
  <c r="G455"/>
  <c r="G461"/>
  <c r="G467"/>
  <c r="G95"/>
  <c r="G100"/>
  <c r="G191"/>
  <c r="G196"/>
  <c r="G227"/>
  <c r="G232"/>
  <c r="G254"/>
  <c r="G278"/>
  <c r="G291"/>
  <c r="G317"/>
  <c r="G350"/>
  <c r="G363"/>
  <c r="G371"/>
  <c r="G391"/>
  <c r="G397"/>
  <c r="G473"/>
  <c r="G490"/>
  <c r="G493"/>
  <c r="G498"/>
  <c r="G509"/>
  <c r="G526"/>
  <c r="G544"/>
  <c r="G562"/>
  <c r="G580"/>
  <c r="G583"/>
  <c r="G588"/>
  <c r="G599"/>
  <c r="G616"/>
  <c r="G619"/>
  <c r="G624"/>
  <c r="G635"/>
  <c r="G649"/>
  <c r="G654"/>
  <c r="G665"/>
  <c r="G676"/>
  <c r="G694"/>
  <c r="G712"/>
  <c r="G732"/>
  <c r="G738"/>
  <c r="G744"/>
  <c r="G750"/>
  <c r="G756"/>
  <c r="G762"/>
  <c r="G768"/>
  <c r="G774"/>
  <c r="G780"/>
  <c r="G786"/>
  <c r="G792"/>
  <c r="G798"/>
  <c r="G804"/>
  <c r="G810"/>
  <c r="G816"/>
  <c r="G822"/>
  <c r="G828"/>
  <c r="G834"/>
  <c r="G840"/>
  <c r="G846"/>
  <c r="G852"/>
  <c r="G858"/>
  <c r="G864"/>
  <c r="G870"/>
  <c r="G876"/>
  <c r="G882"/>
  <c r="G888"/>
  <c r="G894"/>
  <c r="G900"/>
  <c r="G906"/>
  <c r="G912"/>
  <c r="G918"/>
  <c r="G924"/>
  <c r="G930"/>
  <c r="G936"/>
  <c r="G942"/>
  <c r="G948"/>
  <c r="G954"/>
  <c r="G960"/>
  <c r="G966"/>
  <c r="G972"/>
  <c r="G978"/>
  <c r="G984"/>
  <c r="G990"/>
  <c r="G996"/>
  <c r="G29"/>
  <c r="G77"/>
  <c r="G197"/>
  <c r="G202"/>
  <c r="G233"/>
  <c r="G251"/>
  <c r="G275"/>
  <c r="G308"/>
  <c r="G322"/>
  <c r="G376"/>
  <c r="G406"/>
  <c r="G408"/>
  <c r="G415"/>
  <c r="G424"/>
  <c r="G426"/>
  <c r="G433"/>
  <c r="G442"/>
  <c r="G444"/>
  <c r="G454"/>
  <c r="G456"/>
  <c r="G466"/>
  <c r="G468"/>
  <c r="G479"/>
  <c r="G496"/>
  <c r="G499"/>
  <c r="G504"/>
  <c r="G515"/>
  <c r="G529"/>
  <c r="G534"/>
  <c r="G539"/>
  <c r="G547"/>
  <c r="G552"/>
  <c r="G557"/>
  <c r="G565"/>
  <c r="G570"/>
  <c r="G575"/>
  <c r="G586"/>
  <c r="G589"/>
  <c r="G594"/>
  <c r="G605"/>
  <c r="G622"/>
  <c r="G625"/>
  <c r="G630"/>
  <c r="G641"/>
  <c r="G652"/>
  <c r="G655"/>
  <c r="G660"/>
  <c r="G671"/>
  <c r="G679"/>
  <c r="G684"/>
  <c r="G689"/>
  <c r="G697"/>
  <c r="G702"/>
  <c r="G707"/>
  <c r="G715"/>
  <c r="G720"/>
  <c r="G725"/>
  <c r="G733"/>
  <c r="G739"/>
  <c r="G745"/>
  <c r="G751"/>
  <c r="G757"/>
  <c r="G763"/>
  <c r="G769"/>
  <c r="G775"/>
  <c r="G781"/>
  <c r="G787"/>
  <c r="G793"/>
  <c r="G799"/>
  <c r="G805"/>
  <c r="G811"/>
  <c r="G817"/>
  <c r="G823"/>
  <c r="G829"/>
  <c r="G835"/>
  <c r="G841"/>
  <c r="G847"/>
  <c r="G853"/>
  <c r="G859"/>
  <c r="G865"/>
  <c r="G871"/>
  <c r="G877"/>
  <c r="G883"/>
  <c r="G889"/>
  <c r="G895"/>
  <c r="G901"/>
  <c r="G907"/>
  <c r="G913"/>
  <c r="G919"/>
  <c r="G925"/>
  <c r="G931"/>
  <c r="G937"/>
  <c r="G943"/>
  <c r="G949"/>
  <c r="G955"/>
  <c r="G961"/>
  <c r="G967"/>
  <c r="G973"/>
  <c r="G979"/>
  <c r="G985"/>
  <c r="G991"/>
  <c r="G997"/>
  <c r="G83"/>
  <c r="G209"/>
  <c r="G214"/>
  <c r="G281"/>
  <c r="G297"/>
  <c r="G314"/>
  <c r="G340"/>
  <c r="G402"/>
  <c r="G409"/>
  <c r="G418"/>
  <c r="G420"/>
  <c r="G427"/>
  <c r="G436"/>
  <c r="G438"/>
  <c r="G472"/>
  <c r="G475"/>
  <c r="G480"/>
  <c r="G491"/>
  <c r="G508"/>
  <c r="G511"/>
  <c r="G516"/>
  <c r="G527"/>
  <c r="G535"/>
  <c r="G540"/>
  <c r="G545"/>
  <c r="G553"/>
  <c r="G558"/>
  <c r="G563"/>
  <c r="G571"/>
  <c r="G576"/>
  <c r="G581"/>
  <c r="G598"/>
  <c r="G601"/>
  <c r="G606"/>
  <c r="G617"/>
  <c r="G634"/>
  <c r="G637"/>
  <c r="G642"/>
  <c r="G664"/>
  <c r="G667"/>
  <c r="G672"/>
  <c r="G677"/>
  <c r="G685"/>
  <c r="G690"/>
  <c r="G695"/>
  <c r="G703"/>
  <c r="G708"/>
  <c r="G713"/>
  <c r="G721"/>
  <c r="G726"/>
  <c r="G729"/>
  <c r="G735"/>
  <c r="G741"/>
  <c r="G747"/>
  <c r="G753"/>
  <c r="G759"/>
  <c r="G765"/>
  <c r="G771"/>
  <c r="G777"/>
  <c r="G783"/>
  <c r="G789"/>
  <c r="G795"/>
  <c r="G801"/>
  <c r="G807"/>
  <c r="G813"/>
  <c r="G819"/>
  <c r="G825"/>
  <c r="G831"/>
  <c r="G837"/>
  <c r="G843"/>
  <c r="G849"/>
  <c r="G855"/>
  <c r="G861"/>
  <c r="G867"/>
  <c r="G873"/>
  <c r="G879"/>
  <c r="G885"/>
  <c r="G891"/>
  <c r="G897"/>
  <c r="G903"/>
  <c r="G909"/>
  <c r="G915"/>
  <c r="G921"/>
  <c r="G927"/>
  <c r="G933"/>
  <c r="G939"/>
  <c r="G945"/>
  <c r="G951"/>
  <c r="G957"/>
  <c r="G963"/>
  <c r="G969"/>
  <c r="G975"/>
  <c r="G981"/>
  <c r="G987"/>
  <c r="G993"/>
  <c r="G999"/>
  <c r="G403"/>
  <c r="G414"/>
  <c r="G421"/>
  <c r="G439"/>
  <c r="G451"/>
  <c r="G463"/>
  <c r="G492"/>
  <c r="G520"/>
  <c r="G523"/>
  <c r="G528"/>
  <c r="G541"/>
  <c r="G546"/>
  <c r="G559"/>
  <c r="G5"/>
  <c r="G65"/>
  <c r="G148"/>
  <c r="G215"/>
  <c r="G220"/>
  <c r="G243"/>
  <c r="G272"/>
  <c r="G286"/>
  <c r="G311"/>
  <c r="G332"/>
  <c r="G345"/>
  <c r="G353"/>
  <c r="G386"/>
  <c r="G390"/>
  <c r="G396"/>
  <c r="G448"/>
  <c r="G450"/>
  <c r="G460"/>
  <c r="G462"/>
  <c r="G478"/>
  <c r="G481"/>
  <c r="G486"/>
  <c r="G497"/>
  <c r="G514"/>
  <c r="G517"/>
  <c r="G522"/>
  <c r="G538"/>
  <c r="G556"/>
  <c r="G574"/>
  <c r="G587"/>
  <c r="G604"/>
  <c r="G607"/>
  <c r="G612"/>
  <c r="G623"/>
  <c r="G640"/>
  <c r="G643"/>
  <c r="G648"/>
  <c r="G653"/>
  <c r="G670"/>
  <c r="G688"/>
  <c r="G706"/>
  <c r="G724"/>
  <c r="G730"/>
  <c r="G736"/>
  <c r="G742"/>
  <c r="G748"/>
  <c r="G754"/>
  <c r="G760"/>
  <c r="G766"/>
  <c r="G772"/>
  <c r="G778"/>
  <c r="G784"/>
  <c r="G790"/>
  <c r="G796"/>
  <c r="G802"/>
  <c r="G808"/>
  <c r="G814"/>
  <c r="G820"/>
  <c r="G826"/>
  <c r="G832"/>
  <c r="G838"/>
  <c r="G844"/>
  <c r="G850"/>
  <c r="G856"/>
  <c r="G862"/>
  <c r="G868"/>
  <c r="G874"/>
  <c r="G880"/>
  <c r="G886"/>
  <c r="G892"/>
  <c r="G898"/>
  <c r="G904"/>
  <c r="G910"/>
  <c r="G916"/>
  <c r="G922"/>
  <c r="G928"/>
  <c r="G934"/>
  <c r="G940"/>
  <c r="G946"/>
  <c r="G952"/>
  <c r="G958"/>
  <c r="G964"/>
  <c r="G970"/>
  <c r="G976"/>
  <c r="G982"/>
  <c r="G988"/>
  <c r="G994"/>
  <c r="G1000"/>
  <c r="G11"/>
  <c r="G71"/>
  <c r="G89"/>
  <c r="G94"/>
  <c r="G131"/>
  <c r="G185"/>
  <c r="G190"/>
  <c r="G221"/>
  <c r="G226"/>
  <c r="G261"/>
  <c r="G316"/>
  <c r="G358"/>
  <c r="G412"/>
  <c r="G430"/>
  <c r="G432"/>
  <c r="G484"/>
  <c r="G487"/>
  <c r="G503"/>
  <c r="G533"/>
  <c r="G551"/>
  <c r="G457"/>
  <c r="G485"/>
  <c r="G505"/>
  <c r="G569"/>
  <c r="G610"/>
  <c r="G628"/>
  <c r="G647"/>
  <c r="G658"/>
  <c r="G673"/>
  <c r="G691"/>
  <c r="G709"/>
  <c r="G727"/>
  <c r="G737"/>
  <c r="G752"/>
  <c r="G773"/>
  <c r="G788"/>
  <c r="G809"/>
  <c r="G824"/>
  <c r="G845"/>
  <c r="G860"/>
  <c r="G881"/>
  <c r="G896"/>
  <c r="G917"/>
  <c r="G932"/>
  <c r="G953"/>
  <c r="G968"/>
  <c r="G989"/>
  <c r="G47"/>
  <c r="G280"/>
  <c r="G595"/>
  <c r="G701"/>
  <c r="G830"/>
  <c r="G866"/>
  <c r="G887"/>
  <c r="G902"/>
  <c r="G923"/>
  <c r="G106"/>
  <c r="G238"/>
  <c r="G445"/>
  <c r="G521"/>
  <c r="G550"/>
  <c r="G577"/>
  <c r="G593"/>
  <c r="G600"/>
  <c r="G631"/>
  <c r="G661"/>
  <c r="G731"/>
  <c r="G746"/>
  <c r="G767"/>
  <c r="G782"/>
  <c r="G803"/>
  <c r="G818"/>
  <c r="G839"/>
  <c r="G854"/>
  <c r="G875"/>
  <c r="G890"/>
  <c r="G911"/>
  <c r="G926"/>
  <c r="G947"/>
  <c r="G962"/>
  <c r="G983"/>
  <c r="G998"/>
  <c r="G137"/>
  <c r="G142"/>
  <c r="G474"/>
  <c r="G646"/>
  <c r="G678"/>
  <c r="G682"/>
  <c r="G696"/>
  <c r="G700"/>
  <c r="G714"/>
  <c r="G718"/>
  <c r="G740"/>
  <c r="G761"/>
  <c r="G776"/>
  <c r="G797"/>
  <c r="G812"/>
  <c r="G833"/>
  <c r="G848"/>
  <c r="G869"/>
  <c r="G884"/>
  <c r="G905"/>
  <c r="G920"/>
  <c r="G941"/>
  <c r="G956"/>
  <c r="G977"/>
  <c r="G992"/>
  <c r="G256"/>
  <c r="G368"/>
  <c r="G469"/>
  <c r="G618"/>
  <c r="G683"/>
  <c r="G719"/>
  <c r="G743"/>
  <c r="G758"/>
  <c r="G779"/>
  <c r="G794"/>
  <c r="G815"/>
  <c r="G851"/>
  <c r="G938"/>
  <c r="G959"/>
  <c r="G995"/>
  <c r="G327"/>
  <c r="G381"/>
  <c r="G510"/>
  <c r="G564"/>
  <c r="G568"/>
  <c r="G582"/>
  <c r="G613"/>
  <c r="G629"/>
  <c r="G636"/>
  <c r="G659"/>
  <c r="G666"/>
  <c r="G734"/>
  <c r="G755"/>
  <c r="G770"/>
  <c r="G791"/>
  <c r="G806"/>
  <c r="G827"/>
  <c r="G842"/>
  <c r="G863"/>
  <c r="G878"/>
  <c r="G899"/>
  <c r="G914"/>
  <c r="G935"/>
  <c r="G950"/>
  <c r="G971"/>
  <c r="G986"/>
  <c r="G974"/>
  <c r="G179"/>
  <c r="G203"/>
  <c r="G208"/>
  <c r="G335"/>
  <c r="G502"/>
  <c r="G532"/>
  <c r="G592"/>
  <c r="G611"/>
  <c r="G749"/>
  <c r="G764"/>
  <c r="G785"/>
  <c r="G800"/>
  <c r="G821"/>
  <c r="G836"/>
  <c r="G857"/>
  <c r="G872"/>
  <c r="G893"/>
  <c r="G908"/>
  <c r="G929"/>
  <c r="G944"/>
  <c r="G965"/>
  <c r="G980"/>
  <c r="G1001"/>
  <c r="B5" i="5" s="1"/>
  <c r="C5" s="1"/>
  <c r="G19" i="6"/>
  <c r="G57"/>
  <c r="G111"/>
  <c r="G166"/>
  <c r="G14"/>
  <c r="G50"/>
  <c r="G86"/>
  <c r="G120"/>
  <c r="G174"/>
  <c r="G226"/>
  <c r="G252"/>
  <c r="G270"/>
  <c r="G304"/>
  <c r="G21"/>
  <c r="G58"/>
  <c r="G112"/>
  <c r="G164"/>
  <c r="G40"/>
  <c r="G80"/>
  <c r="G121"/>
  <c r="G175"/>
  <c r="G222"/>
  <c r="G328"/>
  <c r="G35"/>
  <c r="G81"/>
  <c r="G134"/>
  <c r="G188"/>
  <c r="G24"/>
  <c r="G60"/>
  <c r="G96"/>
  <c r="G145"/>
  <c r="G199"/>
  <c r="G234"/>
  <c r="G59"/>
  <c r="G95"/>
  <c r="G131"/>
  <c r="G167"/>
  <c r="G203"/>
  <c r="G239"/>
  <c r="G275"/>
  <c r="G311"/>
  <c r="G347"/>
  <c r="G392"/>
  <c r="G446"/>
  <c r="G500"/>
  <c r="G582"/>
  <c r="G312"/>
  <c r="G348"/>
  <c r="G385"/>
  <c r="G421"/>
  <c r="G457"/>
  <c r="G493"/>
  <c r="G247"/>
  <c r="G283"/>
  <c r="G319"/>
  <c r="G355"/>
  <c r="G411"/>
  <c r="G465"/>
  <c r="G509"/>
  <c r="G212"/>
  <c r="G248"/>
  <c r="G284"/>
  <c r="G320"/>
  <c r="G356"/>
  <c r="G390"/>
  <c r="G426"/>
  <c r="G462"/>
  <c r="G515"/>
  <c r="G612"/>
  <c r="G147"/>
  <c r="G183"/>
  <c r="G219"/>
  <c r="G255"/>
  <c r="G291"/>
  <c r="G327"/>
  <c r="G362"/>
  <c r="G416"/>
  <c r="G470"/>
  <c r="G534"/>
  <c r="G358"/>
  <c r="G395"/>
  <c r="G431"/>
  <c r="G467"/>
  <c r="G540"/>
  <c r="G376"/>
  <c r="G412"/>
  <c r="G448"/>
  <c r="G484"/>
  <c r="G520"/>
  <c r="G556"/>
  <c r="G592"/>
  <c r="G631"/>
  <c r="G678"/>
  <c r="G714"/>
  <c r="G786"/>
  <c r="G858"/>
  <c r="G952"/>
  <c r="G628"/>
  <c r="G664"/>
  <c r="G748"/>
  <c r="G820"/>
  <c r="G922"/>
  <c r="G618"/>
  <c r="G671"/>
  <c r="G707"/>
  <c r="G761"/>
  <c r="G833"/>
  <c r="G911"/>
  <c r="G511"/>
  <c r="G547"/>
  <c r="G583"/>
  <c r="G622"/>
  <c r="G658"/>
  <c r="G732"/>
  <c r="G804"/>
  <c r="G881"/>
  <c r="G512"/>
  <c r="G548"/>
  <c r="G584"/>
  <c r="G619"/>
  <c r="G672"/>
  <c r="G708"/>
  <c r="G762"/>
  <c r="G834"/>
  <c r="G923"/>
  <c r="G495"/>
  <c r="G531"/>
  <c r="G567"/>
  <c r="G603"/>
  <c r="G641"/>
  <c r="G688"/>
  <c r="G779"/>
  <c r="G851"/>
  <c r="G929"/>
  <c r="G693"/>
  <c r="G729"/>
  <c r="G765"/>
  <c r="G801"/>
  <c r="G837"/>
  <c r="G873"/>
  <c r="G909"/>
  <c r="G945"/>
  <c r="G981"/>
  <c r="G994"/>
  <c r="G900"/>
  <c r="G936"/>
  <c r="G972"/>
  <c r="G733"/>
  <c r="G769"/>
  <c r="G805"/>
  <c r="G841"/>
  <c r="G877"/>
  <c r="G913"/>
  <c r="G949"/>
  <c r="G985"/>
  <c r="G638"/>
  <c r="G674"/>
  <c r="G710"/>
  <c r="G746"/>
  <c r="G782"/>
  <c r="G818"/>
  <c r="G854"/>
  <c r="G890"/>
  <c r="G926"/>
  <c r="G962"/>
  <c r="G998"/>
  <c r="G13"/>
  <c r="G49"/>
  <c r="G100"/>
  <c r="G158"/>
  <c r="G8"/>
  <c r="G44"/>
  <c r="G79"/>
  <c r="G115"/>
  <c r="G169"/>
  <c r="G217"/>
  <c r="G250"/>
  <c r="G268"/>
  <c r="G286"/>
  <c r="G15"/>
  <c r="G51"/>
  <c r="G105"/>
  <c r="G154"/>
  <c r="G208"/>
  <c r="G34"/>
  <c r="G73"/>
  <c r="G109"/>
  <c r="G162"/>
  <c r="G220"/>
  <c r="G310"/>
  <c r="G29"/>
  <c r="G70"/>
  <c r="G124"/>
  <c r="G178"/>
  <c r="G18"/>
  <c r="G56"/>
  <c r="G92"/>
  <c r="G132"/>
  <c r="G186"/>
  <c r="G232"/>
  <c r="G53"/>
  <c r="G89"/>
  <c r="G125"/>
  <c r="G161"/>
  <c r="G197"/>
  <c r="G233"/>
  <c r="G269"/>
  <c r="G305"/>
  <c r="G341"/>
  <c r="G381"/>
  <c r="G435"/>
  <c r="G489"/>
  <c r="G569"/>
  <c r="G306"/>
  <c r="G342"/>
  <c r="G378"/>
  <c r="G414"/>
  <c r="G450"/>
  <c r="G486"/>
  <c r="G588"/>
  <c r="G277"/>
  <c r="G313"/>
  <c r="G349"/>
  <c r="G404"/>
  <c r="G458"/>
  <c r="G503"/>
  <c r="G594"/>
  <c r="G242"/>
  <c r="G278"/>
  <c r="G314"/>
  <c r="G350"/>
  <c r="G383"/>
  <c r="G419"/>
  <c r="G455"/>
  <c r="G491"/>
  <c r="G600"/>
  <c r="G141"/>
  <c r="G177"/>
  <c r="G213"/>
  <c r="G249"/>
  <c r="G285"/>
  <c r="G321"/>
  <c r="G357"/>
  <c r="G405"/>
  <c r="G459"/>
  <c r="G521"/>
  <c r="G352"/>
  <c r="G391"/>
  <c r="G427"/>
  <c r="G463"/>
  <c r="G527"/>
  <c r="G370"/>
  <c r="G406"/>
  <c r="G442"/>
  <c r="G478"/>
  <c r="G514"/>
  <c r="G550"/>
  <c r="G586"/>
  <c r="G624"/>
  <c r="G673"/>
  <c r="G709"/>
  <c r="G773"/>
  <c r="G845"/>
  <c r="G935"/>
  <c r="G621"/>
  <c r="G657"/>
  <c r="G744"/>
  <c r="G816"/>
  <c r="G905"/>
  <c r="G1001"/>
  <c r="B2" i="5" s="1"/>
  <c r="C2" s="1"/>
  <c r="G661" i="6"/>
  <c r="G702"/>
  <c r="G742"/>
  <c r="G814"/>
  <c r="G892"/>
  <c r="G505"/>
  <c r="G541"/>
  <c r="G577"/>
  <c r="G613"/>
  <c r="G651"/>
  <c r="G718"/>
  <c r="G791"/>
  <c r="G863"/>
  <c r="G970"/>
  <c r="G542"/>
  <c r="G578"/>
  <c r="G614"/>
  <c r="G666"/>
  <c r="G703"/>
  <c r="G749"/>
  <c r="G821"/>
  <c r="G904"/>
  <c r="G995"/>
  <c r="G525"/>
  <c r="G561"/>
  <c r="G597"/>
  <c r="G634"/>
  <c r="G670"/>
  <c r="G760"/>
  <c r="G832"/>
  <c r="G910"/>
  <c r="G687"/>
  <c r="G723"/>
  <c r="G759"/>
  <c r="G795"/>
  <c r="G831"/>
  <c r="G867"/>
  <c r="G903"/>
  <c r="G939"/>
  <c r="G975"/>
  <c r="G988"/>
  <c r="G894"/>
  <c r="G930"/>
  <c r="G966"/>
  <c r="G727"/>
  <c r="G763"/>
  <c r="G799"/>
  <c r="G835"/>
  <c r="G871"/>
  <c r="G907"/>
  <c r="G943"/>
  <c r="G979"/>
  <c r="G632"/>
  <c r="G668"/>
  <c r="G704"/>
  <c r="G740"/>
  <c r="G776"/>
  <c r="G812"/>
  <c r="G848"/>
  <c r="G884"/>
  <c r="G920"/>
  <c r="G956"/>
  <c r="G992"/>
  <c r="G7"/>
  <c r="G43"/>
  <c r="G93"/>
  <c r="G148"/>
  <c r="G202"/>
  <c r="G38"/>
  <c r="G72"/>
  <c r="G108"/>
  <c r="G156"/>
  <c r="G210"/>
  <c r="G246"/>
  <c r="G264"/>
  <c r="G282"/>
  <c r="G9"/>
  <c r="G45"/>
  <c r="G94"/>
  <c r="G146"/>
  <c r="G200"/>
  <c r="G28"/>
  <c r="G66"/>
  <c r="G102"/>
  <c r="G157"/>
  <c r="G211"/>
  <c r="G292"/>
  <c r="G23"/>
  <c r="G63"/>
  <c r="G116"/>
  <c r="G170"/>
  <c r="G48"/>
  <c r="G85"/>
  <c r="G127"/>
  <c r="G181"/>
  <c r="G223"/>
  <c r="G334"/>
  <c r="G83"/>
  <c r="G119"/>
  <c r="G155"/>
  <c r="G191"/>
  <c r="G227"/>
  <c r="G263"/>
  <c r="G299"/>
  <c r="G335"/>
  <c r="G374"/>
  <c r="G428"/>
  <c r="G482"/>
  <c r="G546"/>
  <c r="G300"/>
  <c r="G336"/>
  <c r="G371"/>
  <c r="G407"/>
  <c r="G443"/>
  <c r="G479"/>
  <c r="G575"/>
  <c r="G271"/>
  <c r="G307"/>
  <c r="G343"/>
  <c r="G393"/>
  <c r="G447"/>
  <c r="G498"/>
  <c r="G581"/>
  <c r="G236"/>
  <c r="G272"/>
  <c r="G308"/>
  <c r="G344"/>
  <c r="G379"/>
  <c r="G415"/>
  <c r="G451"/>
  <c r="G487"/>
  <c r="G587"/>
  <c r="G135"/>
  <c r="G171"/>
  <c r="G207"/>
  <c r="G243"/>
  <c r="G279"/>
  <c r="G315"/>
  <c r="G351"/>
  <c r="G398"/>
  <c r="G452"/>
  <c r="G506"/>
  <c r="G346"/>
  <c r="G384"/>
  <c r="G420"/>
  <c r="G456"/>
  <c r="G492"/>
  <c r="G364"/>
  <c r="G400"/>
  <c r="G436"/>
  <c r="G472"/>
  <c r="G508"/>
  <c r="G544"/>
  <c r="G580"/>
  <c r="G616"/>
  <c r="G667"/>
  <c r="G701"/>
  <c r="G754"/>
  <c r="G826"/>
  <c r="G916"/>
  <c r="G617"/>
  <c r="G653"/>
  <c r="G731"/>
  <c r="G803"/>
  <c r="G886"/>
  <c r="G989"/>
  <c r="G654"/>
  <c r="G697"/>
  <c r="G738"/>
  <c r="G810"/>
  <c r="G875"/>
  <c r="G499"/>
  <c r="G535"/>
  <c r="G571"/>
  <c r="G607"/>
  <c r="G647"/>
  <c r="G700"/>
  <c r="G772"/>
  <c r="G844"/>
  <c r="G953"/>
  <c r="G536"/>
  <c r="G572"/>
  <c r="G608"/>
  <c r="G655"/>
  <c r="G695"/>
  <c r="G730"/>
  <c r="G802"/>
  <c r="G887"/>
  <c r="G983"/>
  <c r="G519"/>
  <c r="G555"/>
  <c r="G591"/>
  <c r="G627"/>
  <c r="G663"/>
  <c r="G756"/>
  <c r="G828"/>
  <c r="G893"/>
  <c r="G681"/>
  <c r="G717"/>
  <c r="G753"/>
  <c r="G789"/>
  <c r="G825"/>
  <c r="G861"/>
  <c r="G897"/>
  <c r="G933"/>
  <c r="G969"/>
  <c r="G982"/>
  <c r="G888"/>
  <c r="G924"/>
  <c r="G960"/>
  <c r="G996"/>
  <c r="G757"/>
  <c r="G793"/>
  <c r="G829"/>
  <c r="G865"/>
  <c r="G901"/>
  <c r="G937"/>
  <c r="G973"/>
  <c r="G626"/>
  <c r="G662"/>
  <c r="G698"/>
  <c r="G734"/>
  <c r="G770"/>
  <c r="G806"/>
  <c r="G842"/>
  <c r="G878"/>
  <c r="G914"/>
  <c r="G950"/>
  <c r="G986"/>
  <c r="G37"/>
  <c r="G82"/>
  <c r="G140"/>
  <c r="G194"/>
  <c r="G32"/>
  <c r="G68"/>
  <c r="G104"/>
  <c r="G151"/>
  <c r="G205"/>
  <c r="G244"/>
  <c r="G262"/>
  <c r="G280"/>
  <c r="G39"/>
  <c r="G87"/>
  <c r="G136"/>
  <c r="G190"/>
  <c r="G22"/>
  <c r="G62"/>
  <c r="G98"/>
  <c r="G144"/>
  <c r="G198"/>
  <c r="G240"/>
  <c r="G17"/>
  <c r="G52"/>
  <c r="G106"/>
  <c r="G160"/>
  <c r="G6"/>
  <c r="G42"/>
  <c r="G78"/>
  <c r="G114"/>
  <c r="G168"/>
  <c r="G216"/>
  <c r="G316"/>
  <c r="G77"/>
  <c r="G113"/>
  <c r="G149"/>
  <c r="G185"/>
  <c r="G221"/>
  <c r="G257"/>
  <c r="G293"/>
  <c r="G329"/>
  <c r="G363"/>
  <c r="G417"/>
  <c r="G471"/>
  <c r="G533"/>
  <c r="G294"/>
  <c r="G330"/>
  <c r="G367"/>
  <c r="G403"/>
  <c r="G439"/>
  <c r="G475"/>
  <c r="G552"/>
  <c r="G265"/>
  <c r="G301"/>
  <c r="G337"/>
  <c r="G386"/>
  <c r="G440"/>
  <c r="G494"/>
  <c r="G558"/>
  <c r="G230"/>
  <c r="G266"/>
  <c r="G302"/>
  <c r="G338"/>
  <c r="G372"/>
  <c r="G408"/>
  <c r="G444"/>
  <c r="G480"/>
  <c r="G564"/>
  <c r="G129"/>
  <c r="G165"/>
  <c r="G201"/>
  <c r="G237"/>
  <c r="G273"/>
  <c r="G309"/>
  <c r="G345"/>
  <c r="G387"/>
  <c r="G441"/>
  <c r="G497"/>
  <c r="G593"/>
  <c r="G377"/>
  <c r="G413"/>
  <c r="G449"/>
  <c r="G485"/>
  <c r="G599"/>
  <c r="G394"/>
  <c r="G430"/>
  <c r="G466"/>
  <c r="G502"/>
  <c r="G538"/>
  <c r="G574"/>
  <c r="G610"/>
  <c r="G660"/>
  <c r="G696"/>
  <c r="G750"/>
  <c r="G822"/>
  <c r="G899"/>
  <c r="G611"/>
  <c r="G646"/>
  <c r="G712"/>
  <c r="G784"/>
  <c r="G856"/>
  <c r="G977"/>
  <c r="G643"/>
  <c r="G689"/>
  <c r="G725"/>
  <c r="G797"/>
  <c r="G869"/>
  <c r="G964"/>
  <c r="G529"/>
  <c r="G565"/>
  <c r="G601"/>
  <c r="G640"/>
  <c r="G682"/>
  <c r="G768"/>
  <c r="G840"/>
  <c r="G934"/>
  <c r="G530"/>
  <c r="G566"/>
  <c r="G602"/>
  <c r="G648"/>
  <c r="G690"/>
  <c r="G726"/>
  <c r="G798"/>
  <c r="G870"/>
  <c r="G976"/>
  <c r="G513"/>
  <c r="G549"/>
  <c r="G585"/>
  <c r="G623"/>
  <c r="G659"/>
  <c r="G743"/>
  <c r="G815"/>
  <c r="G874"/>
  <c r="G675"/>
  <c r="G711"/>
  <c r="G747"/>
  <c r="G783"/>
  <c r="G819"/>
  <c r="G855"/>
  <c r="G891"/>
  <c r="G927"/>
  <c r="G963"/>
  <c r="G999"/>
  <c r="G882"/>
  <c r="G918"/>
  <c r="G954"/>
  <c r="G990"/>
  <c r="G751"/>
  <c r="G787"/>
  <c r="G823"/>
  <c r="G859"/>
  <c r="G895"/>
  <c r="G931"/>
  <c r="G967"/>
  <c r="G620"/>
  <c r="G656"/>
  <c r="G692"/>
  <c r="G728"/>
  <c r="G764"/>
  <c r="G800"/>
  <c r="G836"/>
  <c r="G872"/>
  <c r="G908"/>
  <c r="G944"/>
  <c r="G980"/>
  <c r="G31"/>
  <c r="G75"/>
  <c r="G130"/>
  <c r="G184"/>
  <c r="G26"/>
  <c r="G61"/>
  <c r="G97"/>
  <c r="G138"/>
  <c r="G192"/>
  <c r="G235"/>
  <c r="G258"/>
  <c r="G276"/>
  <c r="G340"/>
  <c r="G33"/>
  <c r="G76"/>
  <c r="G128"/>
  <c r="G182"/>
  <c r="G16"/>
  <c r="G55"/>
  <c r="G91"/>
  <c r="G139"/>
  <c r="G193"/>
  <c r="G238"/>
  <c r="G11"/>
  <c r="G47"/>
  <c r="G99"/>
  <c r="G152"/>
  <c r="G206"/>
  <c r="G36"/>
  <c r="G74"/>
  <c r="G110"/>
  <c r="G163"/>
  <c r="G214"/>
  <c r="G298"/>
  <c r="G71"/>
  <c r="G107"/>
  <c r="G143"/>
  <c r="G179"/>
  <c r="G215"/>
  <c r="G251"/>
  <c r="G287"/>
  <c r="G323"/>
  <c r="G359"/>
  <c r="G410"/>
  <c r="G464"/>
  <c r="G510"/>
  <c r="G288"/>
  <c r="G324"/>
  <c r="G360"/>
  <c r="G396"/>
  <c r="G432"/>
  <c r="G468"/>
  <c r="G539"/>
  <c r="G259"/>
  <c r="G295"/>
  <c r="G331"/>
  <c r="G375"/>
  <c r="G429"/>
  <c r="G483"/>
  <c r="G545"/>
  <c r="G224"/>
  <c r="G260"/>
  <c r="G296"/>
  <c r="G332"/>
  <c r="G365"/>
  <c r="G401"/>
  <c r="G437"/>
  <c r="G473"/>
  <c r="G551"/>
  <c r="G123"/>
  <c r="G159"/>
  <c r="G195"/>
  <c r="G231"/>
  <c r="G267"/>
  <c r="G303"/>
  <c r="G339"/>
  <c r="G380"/>
  <c r="G434"/>
  <c r="G488"/>
  <c r="G570"/>
  <c r="G373"/>
  <c r="G409"/>
  <c r="G445"/>
  <c r="G481"/>
  <c r="G576"/>
  <c r="G388"/>
  <c r="G424"/>
  <c r="G460"/>
  <c r="G496"/>
  <c r="G532"/>
  <c r="G568"/>
  <c r="G604"/>
  <c r="G649"/>
  <c r="G691"/>
  <c r="G737"/>
  <c r="G809"/>
  <c r="G880"/>
  <c r="G605"/>
  <c r="G639"/>
  <c r="G694"/>
  <c r="G780"/>
  <c r="G852"/>
  <c r="G958"/>
  <c r="G636"/>
  <c r="G684"/>
  <c r="G720"/>
  <c r="G778"/>
  <c r="G850"/>
  <c r="G947"/>
  <c r="G523"/>
  <c r="G559"/>
  <c r="G595"/>
  <c r="G633"/>
  <c r="G669"/>
  <c r="G755"/>
  <c r="G827"/>
  <c r="G917"/>
  <c r="G524"/>
  <c r="G560"/>
  <c r="G596"/>
  <c r="G637"/>
  <c r="G685"/>
  <c r="G721"/>
  <c r="G785"/>
  <c r="G857"/>
  <c r="G959"/>
  <c r="G507"/>
  <c r="G543"/>
  <c r="G579"/>
  <c r="G615"/>
  <c r="G652"/>
  <c r="G724"/>
  <c r="G796"/>
  <c r="G868"/>
  <c r="G965"/>
  <c r="G705"/>
  <c r="G741"/>
  <c r="G777"/>
  <c r="G813"/>
  <c r="G849"/>
  <c r="G885"/>
  <c r="G921"/>
  <c r="G957"/>
  <c r="G993"/>
  <c r="G876"/>
  <c r="G912"/>
  <c r="G948"/>
  <c r="G984"/>
  <c r="G745"/>
  <c r="G781"/>
  <c r="G817"/>
  <c r="G853"/>
  <c r="G889"/>
  <c r="G925"/>
  <c r="G961"/>
  <c r="G997"/>
  <c r="G650"/>
  <c r="G686"/>
  <c r="G722"/>
  <c r="G758"/>
  <c r="G794"/>
  <c r="G830"/>
  <c r="G866"/>
  <c r="G902"/>
  <c r="G938"/>
  <c r="G974"/>
  <c r="G25"/>
  <c r="G64"/>
  <c r="G122"/>
  <c r="G176"/>
  <c r="G20"/>
  <c r="G54"/>
  <c r="G90"/>
  <c r="G133"/>
  <c r="G187"/>
  <c r="G228"/>
  <c r="G256"/>
  <c r="G274"/>
  <c r="G322"/>
  <c r="G27"/>
  <c r="G69"/>
  <c r="G118"/>
  <c r="G172"/>
  <c r="G10"/>
  <c r="G46"/>
  <c r="G84"/>
  <c r="G126"/>
  <c r="G180"/>
  <c r="G229"/>
  <c r="G41"/>
  <c r="G88"/>
  <c r="G142"/>
  <c r="G196"/>
  <c r="G30"/>
  <c r="G67"/>
  <c r="G103"/>
  <c r="G150"/>
  <c r="G204"/>
  <c r="G241"/>
  <c r="G65"/>
  <c r="G101"/>
  <c r="G137"/>
  <c r="G173"/>
  <c r="G209"/>
  <c r="G245"/>
  <c r="G281"/>
  <c r="G317"/>
  <c r="G353"/>
  <c r="G399"/>
  <c r="G453"/>
  <c r="G504"/>
  <c r="G606"/>
  <c r="G318"/>
  <c r="G354"/>
  <c r="G389"/>
  <c r="G425"/>
  <c r="G461"/>
  <c r="G516"/>
  <c r="G253"/>
  <c r="G289"/>
  <c r="G325"/>
  <c r="G368"/>
  <c r="G422"/>
  <c r="G476"/>
  <c r="G522"/>
  <c r="G218"/>
  <c r="G254"/>
  <c r="G290"/>
  <c r="G326"/>
  <c r="G361"/>
  <c r="G397"/>
  <c r="G433"/>
  <c r="G469"/>
  <c r="G528"/>
  <c r="G117"/>
  <c r="G153"/>
  <c r="G189"/>
  <c r="G225"/>
  <c r="G261"/>
  <c r="G297"/>
  <c r="G333"/>
  <c r="G369"/>
  <c r="G423"/>
  <c r="G477"/>
  <c r="G557"/>
  <c r="G366"/>
  <c r="G402"/>
  <c r="G438"/>
  <c r="G474"/>
  <c r="G563"/>
  <c r="G382"/>
  <c r="G418"/>
  <c r="G454"/>
  <c r="G490"/>
  <c r="G526"/>
  <c r="G562"/>
  <c r="G598"/>
  <c r="G642"/>
  <c r="G683"/>
  <c r="G719"/>
  <c r="G790"/>
  <c r="G862"/>
  <c r="G971"/>
  <c r="G635"/>
  <c r="G676"/>
  <c r="G767"/>
  <c r="G839"/>
  <c r="G941"/>
  <c r="G625"/>
  <c r="G679"/>
  <c r="G715"/>
  <c r="G774"/>
  <c r="G846"/>
  <c r="G928"/>
  <c r="G517"/>
  <c r="G553"/>
  <c r="G589"/>
  <c r="G629"/>
  <c r="G665"/>
  <c r="G736"/>
  <c r="G808"/>
  <c r="G898"/>
  <c r="G518"/>
  <c r="G554"/>
  <c r="G590"/>
  <c r="G630"/>
  <c r="G677"/>
  <c r="G713"/>
  <c r="G766"/>
  <c r="G838"/>
  <c r="G940"/>
  <c r="G501"/>
  <c r="G537"/>
  <c r="G573"/>
  <c r="G609"/>
  <c r="G645"/>
  <c r="G706"/>
  <c r="G792"/>
  <c r="G864"/>
  <c r="G946"/>
  <c r="G699"/>
  <c r="G735"/>
  <c r="G771"/>
  <c r="G807"/>
  <c r="G843"/>
  <c r="G879"/>
  <c r="G915"/>
  <c r="G951"/>
  <c r="G987"/>
  <c r="G1000"/>
  <c r="G906"/>
  <c r="G942"/>
  <c r="G978"/>
  <c r="G739"/>
  <c r="G775"/>
  <c r="G811"/>
  <c r="G847"/>
  <c r="G883"/>
  <c r="G919"/>
  <c r="G955"/>
  <c r="G991"/>
  <c r="G644"/>
  <c r="G680"/>
  <c r="G716"/>
  <c r="G752"/>
  <c r="G788"/>
  <c r="G824"/>
  <c r="G860"/>
  <c r="G896"/>
  <c r="G932"/>
  <c r="G33" i="11"/>
  <c r="G111"/>
  <c r="G183"/>
  <c r="G7"/>
  <c r="G43"/>
  <c r="G79"/>
  <c r="G115"/>
  <c r="G151"/>
  <c r="G187"/>
  <c r="G223"/>
  <c r="G259"/>
  <c r="G295"/>
  <c r="G331"/>
  <c r="G388"/>
  <c r="G442"/>
  <c r="G496"/>
  <c r="G8"/>
  <c r="G44"/>
  <c r="G80"/>
  <c r="G116"/>
  <c r="G152"/>
  <c r="G188"/>
  <c r="G224"/>
  <c r="G260"/>
  <c r="G296"/>
  <c r="G332"/>
  <c r="G386"/>
  <c r="G440"/>
  <c r="G494"/>
  <c r="G551"/>
  <c r="G508"/>
  <c r="G15"/>
  <c r="G93"/>
  <c r="G159"/>
  <c r="G255"/>
  <c r="G333"/>
  <c r="G40"/>
  <c r="G76"/>
  <c r="G112"/>
  <c r="G148"/>
  <c r="G184"/>
  <c r="G220"/>
  <c r="G256"/>
  <c r="G292"/>
  <c r="G328"/>
  <c r="G374"/>
  <c r="G428"/>
  <c r="G482"/>
  <c r="G534"/>
  <c r="G231"/>
  <c r="G309"/>
  <c r="G407"/>
  <c r="G41"/>
  <c r="G77"/>
  <c r="G113"/>
  <c r="G149"/>
  <c r="G185"/>
  <c r="G221"/>
  <c r="G257"/>
  <c r="G293"/>
  <c r="G329"/>
  <c r="G377"/>
  <c r="G431"/>
  <c r="G485"/>
  <c r="G558"/>
  <c r="G30"/>
  <c r="G66"/>
  <c r="G102"/>
  <c r="G138"/>
  <c r="G174"/>
  <c r="G210"/>
  <c r="G246"/>
  <c r="G282"/>
  <c r="G318"/>
  <c r="G362"/>
  <c r="G416"/>
  <c r="G470"/>
  <c r="G539"/>
  <c r="G532"/>
  <c r="G568"/>
  <c r="G604"/>
  <c r="G653"/>
  <c r="G718"/>
  <c r="G790"/>
  <c r="G891"/>
  <c r="G999"/>
  <c r="G622"/>
  <c r="G693"/>
  <c r="G765"/>
  <c r="G831"/>
  <c r="G880"/>
  <c r="G934"/>
  <c r="G594"/>
  <c r="G635"/>
  <c r="G689"/>
  <c r="G761"/>
  <c r="G827"/>
  <c r="G939"/>
  <c r="G343"/>
  <c r="G379"/>
  <c r="G415"/>
  <c r="G451"/>
  <c r="G487"/>
  <c r="G523"/>
  <c r="G559"/>
  <c r="G595"/>
  <c r="G646"/>
  <c r="G717"/>
  <c r="G789"/>
  <c r="G856"/>
  <c r="G910"/>
  <c r="G964"/>
  <c r="G560"/>
  <c r="G596"/>
  <c r="G641"/>
  <c r="G694"/>
  <c r="G766"/>
  <c r="G843"/>
  <c r="G951"/>
  <c r="G351"/>
  <c r="G387"/>
  <c r="G423"/>
  <c r="G459"/>
  <c r="G495"/>
  <c r="G531"/>
  <c r="G567"/>
  <c r="G603"/>
  <c r="G647"/>
  <c r="G707"/>
  <c r="G779"/>
  <c r="G850"/>
  <c r="G904"/>
  <c r="G958"/>
  <c r="G989"/>
  <c r="G636"/>
  <c r="G672"/>
  <c r="G708"/>
  <c r="G744"/>
  <c r="G780"/>
  <c r="G816"/>
  <c r="G852"/>
  <c r="G888"/>
  <c r="G924"/>
  <c r="G960"/>
  <c r="G996"/>
  <c r="G697"/>
  <c r="G733"/>
  <c r="G769"/>
  <c r="G805"/>
  <c r="G841"/>
  <c r="G877"/>
  <c r="G913"/>
  <c r="G949"/>
  <c r="G985"/>
  <c r="G638"/>
  <c r="G674"/>
  <c r="G710"/>
  <c r="G746"/>
  <c r="G782"/>
  <c r="G818"/>
  <c r="G854"/>
  <c r="G890"/>
  <c r="G926"/>
  <c r="G962"/>
  <c r="G998"/>
  <c r="G27"/>
  <c r="G87"/>
  <c r="G177"/>
  <c r="G225"/>
  <c r="G37"/>
  <c r="G73"/>
  <c r="G109"/>
  <c r="G145"/>
  <c r="G181"/>
  <c r="G217"/>
  <c r="G253"/>
  <c r="G289"/>
  <c r="G325"/>
  <c r="G383"/>
  <c r="G437"/>
  <c r="G491"/>
  <c r="G581"/>
  <c r="G38"/>
  <c r="G74"/>
  <c r="G110"/>
  <c r="G146"/>
  <c r="G182"/>
  <c r="G218"/>
  <c r="G254"/>
  <c r="G290"/>
  <c r="G326"/>
  <c r="G378"/>
  <c r="G432"/>
  <c r="G486"/>
  <c r="G540"/>
  <c r="G500"/>
  <c r="G9"/>
  <c r="G81"/>
  <c r="G153"/>
  <c r="G249"/>
  <c r="G327"/>
  <c r="G448"/>
  <c r="G34"/>
  <c r="G70"/>
  <c r="G106"/>
  <c r="G142"/>
  <c r="G178"/>
  <c r="G214"/>
  <c r="G250"/>
  <c r="G286"/>
  <c r="G322"/>
  <c r="G366"/>
  <c r="G420"/>
  <c r="G474"/>
  <c r="G527"/>
  <c r="G201"/>
  <c r="G303"/>
  <c r="G394"/>
  <c r="G466"/>
  <c r="G35"/>
  <c r="G71"/>
  <c r="G107"/>
  <c r="G143"/>
  <c r="G179"/>
  <c r="G215"/>
  <c r="G251"/>
  <c r="G287"/>
  <c r="G323"/>
  <c r="G364"/>
  <c r="G418"/>
  <c r="G472"/>
  <c r="G530"/>
  <c r="G24"/>
  <c r="G60"/>
  <c r="G96"/>
  <c r="G132"/>
  <c r="G168"/>
  <c r="G204"/>
  <c r="G240"/>
  <c r="G276"/>
  <c r="G312"/>
  <c r="G354"/>
  <c r="G408"/>
  <c r="G462"/>
  <c r="G528"/>
  <c r="G526"/>
  <c r="G562"/>
  <c r="G598"/>
  <c r="G637"/>
  <c r="G701"/>
  <c r="G773"/>
  <c r="G873"/>
  <c r="G976"/>
  <c r="G611"/>
  <c r="G669"/>
  <c r="G748"/>
  <c r="G820"/>
  <c r="G869"/>
  <c r="G923"/>
  <c r="G588"/>
  <c r="G625"/>
  <c r="G687"/>
  <c r="G759"/>
  <c r="G825"/>
  <c r="G921"/>
  <c r="G337"/>
  <c r="G373"/>
  <c r="G409"/>
  <c r="G445"/>
  <c r="G481"/>
  <c r="G517"/>
  <c r="G553"/>
  <c r="G589"/>
  <c r="G633"/>
  <c r="G700"/>
  <c r="G772"/>
  <c r="G845"/>
  <c r="G899"/>
  <c r="G953"/>
  <c r="G554"/>
  <c r="G590"/>
  <c r="G631"/>
  <c r="G677"/>
  <c r="G749"/>
  <c r="G832"/>
  <c r="G933"/>
  <c r="G345"/>
  <c r="G381"/>
  <c r="G417"/>
  <c r="G453"/>
  <c r="G489"/>
  <c r="G525"/>
  <c r="G561"/>
  <c r="G597"/>
  <c r="G639"/>
  <c r="G705"/>
  <c r="G777"/>
  <c r="G839"/>
  <c r="G893"/>
  <c r="G947"/>
  <c r="G1000"/>
  <c r="G630"/>
  <c r="G666"/>
  <c r="G702"/>
  <c r="G738"/>
  <c r="G774"/>
  <c r="G810"/>
  <c r="G846"/>
  <c r="G882"/>
  <c r="G918"/>
  <c r="G954"/>
  <c r="G990"/>
  <c r="G691"/>
  <c r="G727"/>
  <c r="G763"/>
  <c r="G799"/>
  <c r="G835"/>
  <c r="G871"/>
  <c r="G907"/>
  <c r="G943"/>
  <c r="G979"/>
  <c r="G632"/>
  <c r="G668"/>
  <c r="G704"/>
  <c r="G740"/>
  <c r="G776"/>
  <c r="G812"/>
  <c r="G848"/>
  <c r="G884"/>
  <c r="G920"/>
  <c r="G956"/>
  <c r="G992"/>
  <c r="G69"/>
  <c r="G147"/>
  <c r="G219"/>
  <c r="G31"/>
  <c r="G67"/>
  <c r="G103"/>
  <c r="G139"/>
  <c r="G175"/>
  <c r="G211"/>
  <c r="G247"/>
  <c r="G283"/>
  <c r="G319"/>
  <c r="G370"/>
  <c r="G424"/>
  <c r="G478"/>
  <c r="G570"/>
  <c r="G32"/>
  <c r="G68"/>
  <c r="G104"/>
  <c r="G140"/>
  <c r="G176"/>
  <c r="G212"/>
  <c r="G248"/>
  <c r="G284"/>
  <c r="G320"/>
  <c r="G368"/>
  <c r="G422"/>
  <c r="G476"/>
  <c r="G533"/>
  <c r="G497"/>
  <c r="G557"/>
  <c r="G75"/>
  <c r="G141"/>
  <c r="G243"/>
  <c r="G315"/>
  <c r="G430"/>
  <c r="G28"/>
  <c r="G64"/>
  <c r="G100"/>
  <c r="G136"/>
  <c r="G172"/>
  <c r="G208"/>
  <c r="G244"/>
  <c r="G280"/>
  <c r="G316"/>
  <c r="G356"/>
  <c r="G410"/>
  <c r="G464"/>
  <c r="G516"/>
  <c r="G189"/>
  <c r="G291"/>
  <c r="G376"/>
  <c r="G461"/>
  <c r="G29"/>
  <c r="G65"/>
  <c r="G101"/>
  <c r="G137"/>
  <c r="G173"/>
  <c r="G209"/>
  <c r="G245"/>
  <c r="G281"/>
  <c r="G317"/>
  <c r="G359"/>
  <c r="G413"/>
  <c r="G467"/>
  <c r="G512"/>
  <c r="G18"/>
  <c r="G54"/>
  <c r="G90"/>
  <c r="G126"/>
  <c r="G162"/>
  <c r="G198"/>
  <c r="G234"/>
  <c r="G270"/>
  <c r="G306"/>
  <c r="G344"/>
  <c r="G398"/>
  <c r="G452"/>
  <c r="G521"/>
  <c r="G520"/>
  <c r="G556"/>
  <c r="G592"/>
  <c r="G629"/>
  <c r="G699"/>
  <c r="G771"/>
  <c r="G855"/>
  <c r="G963"/>
  <c r="G605"/>
  <c r="G659"/>
  <c r="G731"/>
  <c r="G803"/>
  <c r="G862"/>
  <c r="G916"/>
  <c r="G970"/>
  <c r="G617"/>
  <c r="G676"/>
  <c r="G742"/>
  <c r="G814"/>
  <c r="G903"/>
  <c r="G987"/>
  <c r="G367"/>
  <c r="G403"/>
  <c r="G439"/>
  <c r="G475"/>
  <c r="G511"/>
  <c r="G547"/>
  <c r="G583"/>
  <c r="G628"/>
  <c r="G683"/>
  <c r="G755"/>
  <c r="G838"/>
  <c r="G892"/>
  <c r="G946"/>
  <c r="G548"/>
  <c r="G584"/>
  <c r="G623"/>
  <c r="G670"/>
  <c r="G747"/>
  <c r="G819"/>
  <c r="G915"/>
  <c r="G339"/>
  <c r="G375"/>
  <c r="G411"/>
  <c r="G447"/>
  <c r="G483"/>
  <c r="G519"/>
  <c r="G555"/>
  <c r="G591"/>
  <c r="G634"/>
  <c r="G688"/>
  <c r="G760"/>
  <c r="G826"/>
  <c r="G886"/>
  <c r="G940"/>
  <c r="G994"/>
  <c r="G624"/>
  <c r="G660"/>
  <c r="G696"/>
  <c r="G732"/>
  <c r="G768"/>
  <c r="G804"/>
  <c r="G840"/>
  <c r="G876"/>
  <c r="G912"/>
  <c r="G948"/>
  <c r="G984"/>
  <c r="G685"/>
  <c r="G721"/>
  <c r="G757"/>
  <c r="G793"/>
  <c r="G829"/>
  <c r="G865"/>
  <c r="G901"/>
  <c r="G937"/>
  <c r="G973"/>
  <c r="G626"/>
  <c r="G662"/>
  <c r="G698"/>
  <c r="G734"/>
  <c r="G770"/>
  <c r="G806"/>
  <c r="G842"/>
  <c r="G878"/>
  <c r="G914"/>
  <c r="G950"/>
  <c r="G986"/>
  <c r="G63"/>
  <c r="G135"/>
  <c r="G213"/>
  <c r="G25"/>
  <c r="G61"/>
  <c r="G97"/>
  <c r="G133"/>
  <c r="G169"/>
  <c r="G205"/>
  <c r="G241"/>
  <c r="G277"/>
  <c r="G313"/>
  <c r="G365"/>
  <c r="G419"/>
  <c r="G473"/>
  <c r="G545"/>
  <c r="G26"/>
  <c r="G62"/>
  <c r="G98"/>
  <c r="G134"/>
  <c r="G170"/>
  <c r="G206"/>
  <c r="G242"/>
  <c r="G278"/>
  <c r="G314"/>
  <c r="G360"/>
  <c r="G414"/>
  <c r="G468"/>
  <c r="G522"/>
  <c r="G484"/>
  <c r="G546"/>
  <c r="G51"/>
  <c r="G129"/>
  <c r="G237"/>
  <c r="G297"/>
  <c r="G389"/>
  <c r="G22"/>
  <c r="G58"/>
  <c r="G94"/>
  <c r="G130"/>
  <c r="G166"/>
  <c r="G202"/>
  <c r="G238"/>
  <c r="G274"/>
  <c r="G310"/>
  <c r="G348"/>
  <c r="G402"/>
  <c r="G456"/>
  <c r="G506"/>
  <c r="G582"/>
  <c r="G285"/>
  <c r="G353"/>
  <c r="G443"/>
  <c r="G23"/>
  <c r="G59"/>
  <c r="G95"/>
  <c r="G131"/>
  <c r="G167"/>
  <c r="G203"/>
  <c r="G239"/>
  <c r="G275"/>
  <c r="G311"/>
  <c r="G346"/>
  <c r="G400"/>
  <c r="G454"/>
  <c r="G509"/>
  <c r="G12"/>
  <c r="G48"/>
  <c r="G84"/>
  <c r="G120"/>
  <c r="G156"/>
  <c r="G192"/>
  <c r="G228"/>
  <c r="G264"/>
  <c r="G300"/>
  <c r="G336"/>
  <c r="G390"/>
  <c r="G444"/>
  <c r="G504"/>
  <c r="G514"/>
  <c r="G550"/>
  <c r="G586"/>
  <c r="G619"/>
  <c r="G682"/>
  <c r="G754"/>
  <c r="G837"/>
  <c r="G945"/>
  <c r="G599"/>
  <c r="G645"/>
  <c r="G729"/>
  <c r="G801"/>
  <c r="G851"/>
  <c r="G905"/>
  <c r="G959"/>
  <c r="G612"/>
  <c r="G665"/>
  <c r="G725"/>
  <c r="G797"/>
  <c r="G885"/>
  <c r="G983"/>
  <c r="G361"/>
  <c r="G397"/>
  <c r="G433"/>
  <c r="G469"/>
  <c r="G505"/>
  <c r="G541"/>
  <c r="G577"/>
  <c r="G613"/>
  <c r="G681"/>
  <c r="G753"/>
  <c r="G821"/>
  <c r="G881"/>
  <c r="G935"/>
  <c r="G542"/>
  <c r="G578"/>
  <c r="G614"/>
  <c r="G663"/>
  <c r="G730"/>
  <c r="G802"/>
  <c r="G897"/>
  <c r="G993"/>
  <c r="G369"/>
  <c r="G405"/>
  <c r="G441"/>
  <c r="G477"/>
  <c r="G513"/>
  <c r="G549"/>
  <c r="G585"/>
  <c r="G621"/>
  <c r="G675"/>
  <c r="G743"/>
  <c r="G815"/>
  <c r="G875"/>
  <c r="G929"/>
  <c r="G988"/>
  <c r="G618"/>
  <c r="G654"/>
  <c r="G690"/>
  <c r="G726"/>
  <c r="G762"/>
  <c r="G798"/>
  <c r="G834"/>
  <c r="G870"/>
  <c r="G906"/>
  <c r="G942"/>
  <c r="G978"/>
  <c r="G679"/>
  <c r="G715"/>
  <c r="G751"/>
  <c r="G787"/>
  <c r="G823"/>
  <c r="G859"/>
  <c r="G895"/>
  <c r="G931"/>
  <c r="G967"/>
  <c r="G620"/>
  <c r="G656"/>
  <c r="G692"/>
  <c r="G728"/>
  <c r="G764"/>
  <c r="G800"/>
  <c r="G836"/>
  <c r="G872"/>
  <c r="G908"/>
  <c r="G944"/>
  <c r="G980"/>
  <c r="G57"/>
  <c r="G123"/>
  <c r="G207"/>
  <c r="G19"/>
  <c r="G55"/>
  <c r="G91"/>
  <c r="G127"/>
  <c r="G163"/>
  <c r="G199"/>
  <c r="G235"/>
  <c r="G271"/>
  <c r="G307"/>
  <c r="G352"/>
  <c r="G406"/>
  <c r="G460"/>
  <c r="G524"/>
  <c r="G20"/>
  <c r="G56"/>
  <c r="G92"/>
  <c r="G128"/>
  <c r="G164"/>
  <c r="G200"/>
  <c r="G236"/>
  <c r="G272"/>
  <c r="G308"/>
  <c r="G350"/>
  <c r="G404"/>
  <c r="G458"/>
  <c r="G515"/>
  <c r="G479"/>
  <c r="G536"/>
  <c r="G39"/>
  <c r="G105"/>
  <c r="G171"/>
  <c r="G279"/>
  <c r="G371"/>
  <c r="G16"/>
  <c r="G52"/>
  <c r="G88"/>
  <c r="G124"/>
  <c r="G160"/>
  <c r="G196"/>
  <c r="G232"/>
  <c r="G268"/>
  <c r="G304"/>
  <c r="G338"/>
  <c r="G392"/>
  <c r="G446"/>
  <c r="G503"/>
  <c r="G563"/>
  <c r="G273"/>
  <c r="G340"/>
  <c r="G425"/>
  <c r="G17"/>
  <c r="G53"/>
  <c r="G89"/>
  <c r="G125"/>
  <c r="G161"/>
  <c r="G197"/>
  <c r="G233"/>
  <c r="G269"/>
  <c r="G305"/>
  <c r="G341"/>
  <c r="G395"/>
  <c r="G449"/>
  <c r="G498"/>
  <c r="G6"/>
  <c r="G42"/>
  <c r="G78"/>
  <c r="G114"/>
  <c r="G150"/>
  <c r="G186"/>
  <c r="G222"/>
  <c r="G258"/>
  <c r="G294"/>
  <c r="G330"/>
  <c r="G380"/>
  <c r="G434"/>
  <c r="G488"/>
  <c r="G575"/>
  <c r="G544"/>
  <c r="G580"/>
  <c r="G616"/>
  <c r="G671"/>
  <c r="G737"/>
  <c r="G809"/>
  <c r="G927"/>
  <c r="G593"/>
  <c r="G640"/>
  <c r="G712"/>
  <c r="G784"/>
  <c r="G844"/>
  <c r="G898"/>
  <c r="G952"/>
  <c r="G606"/>
  <c r="G651"/>
  <c r="G723"/>
  <c r="G795"/>
  <c r="G867"/>
  <c r="G981"/>
  <c r="G355"/>
  <c r="G391"/>
  <c r="G427"/>
  <c r="G463"/>
  <c r="G499"/>
  <c r="G535"/>
  <c r="G571"/>
  <c r="G607"/>
  <c r="G657"/>
  <c r="G736"/>
  <c r="G808"/>
  <c r="G874"/>
  <c r="G928"/>
  <c r="G977"/>
  <c r="G572"/>
  <c r="G608"/>
  <c r="G655"/>
  <c r="G713"/>
  <c r="G785"/>
  <c r="G879"/>
  <c r="G971"/>
  <c r="G363"/>
  <c r="G399"/>
  <c r="G435"/>
  <c r="G471"/>
  <c r="G507"/>
  <c r="G543"/>
  <c r="G579"/>
  <c r="G615"/>
  <c r="G661"/>
  <c r="G741"/>
  <c r="G813"/>
  <c r="G868"/>
  <c r="G922"/>
  <c r="G982"/>
  <c r="G1001"/>
  <c r="B8" i="5" s="1"/>
  <c r="C8" s="1"/>
  <c r="G648" i="11"/>
  <c r="G684"/>
  <c r="G720"/>
  <c r="G756"/>
  <c r="G792"/>
  <c r="G828"/>
  <c r="G864"/>
  <c r="G900"/>
  <c r="G936"/>
  <c r="G972"/>
  <c r="G673"/>
  <c r="G709"/>
  <c r="G745"/>
  <c r="G781"/>
  <c r="G817"/>
  <c r="G853"/>
  <c r="G889"/>
  <c r="G925"/>
  <c r="G961"/>
  <c r="G997"/>
  <c r="G650"/>
  <c r="G686"/>
  <c r="G722"/>
  <c r="G758"/>
  <c r="G794"/>
  <c r="G830"/>
  <c r="G866"/>
  <c r="G902"/>
  <c r="G938"/>
  <c r="G974"/>
  <c r="G45"/>
  <c r="G117"/>
  <c r="G195"/>
  <c r="G13"/>
  <c r="G49"/>
  <c r="G85"/>
  <c r="G121"/>
  <c r="G157"/>
  <c r="G193"/>
  <c r="G229"/>
  <c r="G265"/>
  <c r="G301"/>
  <c r="G347"/>
  <c r="G401"/>
  <c r="G455"/>
  <c r="G510"/>
  <c r="G14"/>
  <c r="G50"/>
  <c r="G86"/>
  <c r="G122"/>
  <c r="G158"/>
  <c r="G194"/>
  <c r="G230"/>
  <c r="G266"/>
  <c r="G302"/>
  <c r="G342"/>
  <c r="G396"/>
  <c r="G450"/>
  <c r="G502"/>
  <c r="G576"/>
  <c r="G518"/>
  <c r="G21"/>
  <c r="G99"/>
  <c r="G165"/>
  <c r="G261"/>
  <c r="G358"/>
  <c r="G10"/>
  <c r="G46"/>
  <c r="G82"/>
  <c r="G118"/>
  <c r="G154"/>
  <c r="G190"/>
  <c r="G226"/>
  <c r="G262"/>
  <c r="G298"/>
  <c r="G334"/>
  <c r="G384"/>
  <c r="G438"/>
  <c r="G492"/>
  <c r="G552"/>
  <c r="G267"/>
  <c r="G321"/>
  <c r="G412"/>
  <c r="G11"/>
  <c r="G47"/>
  <c r="G83"/>
  <c r="G119"/>
  <c r="G155"/>
  <c r="G191"/>
  <c r="G227"/>
  <c r="G263"/>
  <c r="G299"/>
  <c r="G335"/>
  <c r="G382"/>
  <c r="G436"/>
  <c r="G490"/>
  <c r="G569"/>
  <c r="G36"/>
  <c r="G72"/>
  <c r="G108"/>
  <c r="G144"/>
  <c r="G180"/>
  <c r="G216"/>
  <c r="G252"/>
  <c r="G288"/>
  <c r="G324"/>
  <c r="G372"/>
  <c r="G426"/>
  <c r="G480"/>
  <c r="G564"/>
  <c r="G538"/>
  <c r="G574"/>
  <c r="G610"/>
  <c r="G664"/>
  <c r="G735"/>
  <c r="G807"/>
  <c r="G909"/>
  <c r="G587"/>
  <c r="G627"/>
  <c r="G695"/>
  <c r="G767"/>
  <c r="G833"/>
  <c r="G887"/>
  <c r="G941"/>
  <c r="G600"/>
  <c r="G643"/>
  <c r="G706"/>
  <c r="G778"/>
  <c r="G849"/>
  <c r="G957"/>
  <c r="G349"/>
  <c r="G385"/>
  <c r="G421"/>
  <c r="G457"/>
  <c r="G493"/>
  <c r="G529"/>
  <c r="G565"/>
  <c r="G601"/>
  <c r="G649"/>
  <c r="G719"/>
  <c r="G791"/>
  <c r="G863"/>
  <c r="G917"/>
  <c r="G975"/>
  <c r="G566"/>
  <c r="G602"/>
  <c r="G652"/>
  <c r="G711"/>
  <c r="G783"/>
  <c r="G861"/>
  <c r="G969"/>
  <c r="G357"/>
  <c r="G393"/>
  <c r="G429"/>
  <c r="G465"/>
  <c r="G501"/>
  <c r="G537"/>
  <c r="G573"/>
  <c r="G609"/>
  <c r="G658"/>
  <c r="G724"/>
  <c r="G796"/>
  <c r="G857"/>
  <c r="G911"/>
  <c r="G965"/>
  <c r="G995"/>
  <c r="G642"/>
  <c r="G678"/>
  <c r="G714"/>
  <c r="G750"/>
  <c r="G786"/>
  <c r="G822"/>
  <c r="G858"/>
  <c r="G894"/>
  <c r="G930"/>
  <c r="G966"/>
  <c r="G667"/>
  <c r="G703"/>
  <c r="G739"/>
  <c r="G775"/>
  <c r="G811"/>
  <c r="G847"/>
  <c r="G883"/>
  <c r="G919"/>
  <c r="G955"/>
  <c r="G991"/>
  <c r="G644"/>
  <c r="G680"/>
  <c r="G716"/>
  <c r="G752"/>
  <c r="G788"/>
  <c r="G824"/>
  <c r="G860"/>
  <c r="G896"/>
  <c r="G932"/>
  <c r="G95" i="7"/>
  <c r="G209"/>
  <c r="G421"/>
  <c r="G137"/>
  <c r="G310"/>
  <c r="G42"/>
  <c r="G78"/>
  <c r="G114"/>
  <c r="G150"/>
  <c r="G186"/>
  <c r="G222"/>
  <c r="G258"/>
  <c r="G307"/>
  <c r="G351"/>
  <c r="G410"/>
  <c r="G495"/>
  <c r="G585"/>
  <c r="G897"/>
  <c r="G285"/>
  <c r="G13"/>
  <c r="G49"/>
  <c r="G85"/>
  <c r="G121"/>
  <c r="G157"/>
  <c r="G193"/>
  <c r="G229"/>
  <c r="G268"/>
  <c r="G304"/>
  <c r="G341"/>
  <c r="G392"/>
  <c r="G470"/>
  <c r="G819"/>
  <c r="G131"/>
  <c r="G267"/>
  <c r="G8"/>
  <c r="G44"/>
  <c r="G80"/>
  <c r="G116"/>
  <c r="G152"/>
  <c r="G188"/>
  <c r="G224"/>
  <c r="G260"/>
  <c r="G312"/>
  <c r="G349"/>
  <c r="G441"/>
  <c r="G903"/>
  <c r="G17"/>
  <c r="G101"/>
  <c r="G9"/>
  <c r="G45"/>
  <c r="G81"/>
  <c r="G117"/>
  <c r="G153"/>
  <c r="G189"/>
  <c r="G225"/>
  <c r="G261"/>
  <c r="G298"/>
  <c r="G331"/>
  <c r="G423"/>
  <c r="G499"/>
  <c r="G596"/>
  <c r="G861"/>
  <c r="G324"/>
  <c r="G22"/>
  <c r="G58"/>
  <c r="G94"/>
  <c r="G130"/>
  <c r="G166"/>
  <c r="G202"/>
  <c r="G238"/>
  <c r="G277"/>
  <c r="G345"/>
  <c r="G384"/>
  <c r="G439"/>
  <c r="G528"/>
  <c r="G963"/>
  <c r="G553"/>
  <c r="G589"/>
  <c r="G631"/>
  <c r="G739"/>
  <c r="G783"/>
  <c r="G867"/>
  <c r="G464"/>
  <c r="G518"/>
  <c r="G572"/>
  <c r="G618"/>
  <c r="G687"/>
  <c r="G825"/>
  <c r="G906"/>
  <c r="G942"/>
  <c r="G978"/>
  <c r="G479"/>
  <c r="G515"/>
  <c r="G551"/>
  <c r="G587"/>
  <c r="G691"/>
  <c r="G810"/>
  <c r="G876"/>
  <c r="G296"/>
  <c r="G339"/>
  <c r="G393"/>
  <c r="G447"/>
  <c r="G501"/>
  <c r="G555"/>
  <c r="G609"/>
  <c r="G648"/>
  <c r="G685"/>
  <c r="G840"/>
  <c r="G415"/>
  <c r="G451"/>
  <c r="G487"/>
  <c r="G523"/>
  <c r="G559"/>
  <c r="G595"/>
  <c r="G690"/>
  <c r="G757"/>
  <c r="G328"/>
  <c r="G364"/>
  <c r="G400"/>
  <c r="G436"/>
  <c r="G472"/>
  <c r="G508"/>
  <c r="G544"/>
  <c r="G580"/>
  <c r="G616"/>
  <c r="G650"/>
  <c r="G697"/>
  <c r="G763"/>
  <c r="G849"/>
  <c r="G646"/>
  <c r="G682"/>
  <c r="G718"/>
  <c r="G754"/>
  <c r="G790"/>
  <c r="G826"/>
  <c r="G862"/>
  <c r="G898"/>
  <c r="G934"/>
  <c r="G970"/>
  <c r="G623"/>
  <c r="G659"/>
  <c r="G695"/>
  <c r="G731"/>
  <c r="G767"/>
  <c r="G803"/>
  <c r="G839"/>
  <c r="G875"/>
  <c r="G911"/>
  <c r="G947"/>
  <c r="G983"/>
  <c r="G793"/>
  <c r="G829"/>
  <c r="G865"/>
  <c r="G901"/>
  <c r="G937"/>
  <c r="G973"/>
  <c r="G674"/>
  <c r="G710"/>
  <c r="G746"/>
  <c r="G782"/>
  <c r="G818"/>
  <c r="G854"/>
  <c r="G890"/>
  <c r="G926"/>
  <c r="G962"/>
  <c r="G998"/>
  <c r="G89"/>
  <c r="G185"/>
  <c r="G348"/>
  <c r="G107"/>
  <c r="G281"/>
  <c r="G427"/>
  <c r="G36"/>
  <c r="G72"/>
  <c r="G108"/>
  <c r="G144"/>
  <c r="G180"/>
  <c r="G216"/>
  <c r="G252"/>
  <c r="G300"/>
  <c r="G343"/>
  <c r="G403"/>
  <c r="G485"/>
  <c r="G567"/>
  <c r="G729"/>
  <c r="G987"/>
  <c r="G7"/>
  <c r="G43"/>
  <c r="G79"/>
  <c r="G115"/>
  <c r="G151"/>
  <c r="G187"/>
  <c r="G223"/>
  <c r="G259"/>
  <c r="G297"/>
  <c r="G333"/>
  <c r="G385"/>
  <c r="G459"/>
  <c r="G745"/>
  <c r="G125"/>
  <c r="G251"/>
  <c r="G369"/>
  <c r="G38"/>
  <c r="G74"/>
  <c r="G110"/>
  <c r="G146"/>
  <c r="G182"/>
  <c r="G218"/>
  <c r="G254"/>
  <c r="G301"/>
  <c r="G347"/>
  <c r="G432"/>
  <c r="G879"/>
  <c r="G993"/>
  <c r="G83"/>
  <c r="G39"/>
  <c r="G75"/>
  <c r="G111"/>
  <c r="G147"/>
  <c r="G183"/>
  <c r="G219"/>
  <c r="G255"/>
  <c r="G291"/>
  <c r="G329"/>
  <c r="G402"/>
  <c r="G477"/>
  <c r="G578"/>
  <c r="G720"/>
  <c r="G245"/>
  <c r="G16"/>
  <c r="G52"/>
  <c r="G88"/>
  <c r="G124"/>
  <c r="G160"/>
  <c r="G196"/>
  <c r="G232"/>
  <c r="G270"/>
  <c r="G342"/>
  <c r="G379"/>
  <c r="G425"/>
  <c r="G524"/>
  <c r="G945"/>
  <c r="G546"/>
  <c r="G582"/>
  <c r="G624"/>
  <c r="G708"/>
  <c r="G777"/>
  <c r="G855"/>
  <c r="G453"/>
  <c r="G507"/>
  <c r="G561"/>
  <c r="G615"/>
  <c r="G656"/>
  <c r="G792"/>
  <c r="G900"/>
  <c r="G936"/>
  <c r="G972"/>
  <c r="G475"/>
  <c r="G511"/>
  <c r="G547"/>
  <c r="G583"/>
  <c r="G675"/>
  <c r="G786"/>
  <c r="G858"/>
  <c r="G290"/>
  <c r="G332"/>
  <c r="G386"/>
  <c r="G440"/>
  <c r="G494"/>
  <c r="G548"/>
  <c r="G602"/>
  <c r="G643"/>
  <c r="G681"/>
  <c r="G753"/>
  <c r="G408"/>
  <c r="G444"/>
  <c r="G480"/>
  <c r="G516"/>
  <c r="G552"/>
  <c r="G588"/>
  <c r="G679"/>
  <c r="G751"/>
  <c r="G322"/>
  <c r="G358"/>
  <c r="G394"/>
  <c r="G430"/>
  <c r="G466"/>
  <c r="G502"/>
  <c r="G538"/>
  <c r="G574"/>
  <c r="G610"/>
  <c r="G645"/>
  <c r="G693"/>
  <c r="G759"/>
  <c r="G828"/>
  <c r="G640"/>
  <c r="G676"/>
  <c r="G712"/>
  <c r="G748"/>
  <c r="G784"/>
  <c r="G820"/>
  <c r="G856"/>
  <c r="G892"/>
  <c r="G928"/>
  <c r="G964"/>
  <c r="G1000"/>
  <c r="G653"/>
  <c r="G689"/>
  <c r="G725"/>
  <c r="G761"/>
  <c r="G797"/>
  <c r="G833"/>
  <c r="G869"/>
  <c r="G905"/>
  <c r="G941"/>
  <c r="G977"/>
  <c r="G787"/>
  <c r="G823"/>
  <c r="G859"/>
  <c r="G895"/>
  <c r="G931"/>
  <c r="G967"/>
  <c r="G668"/>
  <c r="G704"/>
  <c r="G740"/>
  <c r="G776"/>
  <c r="G812"/>
  <c r="G848"/>
  <c r="G884"/>
  <c r="G920"/>
  <c r="G956"/>
  <c r="G992"/>
  <c r="G179"/>
  <c r="G299"/>
  <c r="G53"/>
  <c r="G233"/>
  <c r="G414"/>
  <c r="G30"/>
  <c r="G66"/>
  <c r="G102"/>
  <c r="G210"/>
  <c r="G289"/>
  <c r="G338"/>
  <c r="G396"/>
  <c r="G481"/>
  <c r="G549"/>
  <c r="G714"/>
  <c r="G969"/>
  <c r="G431"/>
  <c r="G37"/>
  <c r="G73"/>
  <c r="G109"/>
  <c r="G145"/>
  <c r="G181"/>
  <c r="G217"/>
  <c r="G253"/>
  <c r="G293"/>
  <c r="G325"/>
  <c r="G367"/>
  <c r="G450"/>
  <c r="G644"/>
  <c r="G119"/>
  <c r="G239"/>
  <c r="G361"/>
  <c r="G32"/>
  <c r="G68"/>
  <c r="G104"/>
  <c r="G140"/>
  <c r="G176"/>
  <c r="G212"/>
  <c r="G248"/>
  <c r="G294"/>
  <c r="G344"/>
  <c r="G420"/>
  <c r="G733"/>
  <c r="G975"/>
  <c r="G71"/>
  <c r="G398"/>
  <c r="G33"/>
  <c r="G69"/>
  <c r="G105"/>
  <c r="G141"/>
  <c r="G177"/>
  <c r="G213"/>
  <c r="G249"/>
  <c r="G287"/>
  <c r="G326"/>
  <c r="G395"/>
  <c r="G467"/>
  <c r="G560"/>
  <c r="G703"/>
  <c r="G41"/>
  <c r="G10"/>
  <c r="G46"/>
  <c r="G82"/>
  <c r="G118"/>
  <c r="G154"/>
  <c r="G190"/>
  <c r="G226"/>
  <c r="G262"/>
  <c r="G313"/>
  <c r="G374"/>
  <c r="G416"/>
  <c r="G492"/>
  <c r="G927"/>
  <c r="G539"/>
  <c r="G575"/>
  <c r="G611"/>
  <c r="G696"/>
  <c r="G769"/>
  <c r="G843"/>
  <c r="G446"/>
  <c r="G500"/>
  <c r="G554"/>
  <c r="G608"/>
  <c r="G654"/>
  <c r="G775"/>
  <c r="G894"/>
  <c r="G930"/>
  <c r="G966"/>
  <c r="G468"/>
  <c r="G504"/>
  <c r="G540"/>
  <c r="G576"/>
  <c r="G612"/>
  <c r="G780"/>
  <c r="G852"/>
  <c r="G284"/>
  <c r="G321"/>
  <c r="G375"/>
  <c r="G429"/>
  <c r="G483"/>
  <c r="G537"/>
  <c r="G591"/>
  <c r="G639"/>
  <c r="G673"/>
  <c r="G721"/>
  <c r="G401"/>
  <c r="G437"/>
  <c r="G473"/>
  <c r="G509"/>
  <c r="G545"/>
  <c r="G581"/>
  <c r="G617"/>
  <c r="G747"/>
  <c r="G316"/>
  <c r="G352"/>
  <c r="G388"/>
  <c r="G424"/>
  <c r="G460"/>
  <c r="G496"/>
  <c r="G532"/>
  <c r="G568"/>
  <c r="G604"/>
  <c r="G637"/>
  <c r="G678"/>
  <c r="G738"/>
  <c r="G822"/>
  <c r="G634"/>
  <c r="G670"/>
  <c r="G706"/>
  <c r="G742"/>
  <c r="G778"/>
  <c r="G814"/>
  <c r="G850"/>
  <c r="G886"/>
  <c r="G922"/>
  <c r="G958"/>
  <c r="G994"/>
  <c r="G647"/>
  <c r="G683"/>
  <c r="G719"/>
  <c r="G755"/>
  <c r="G791"/>
  <c r="G827"/>
  <c r="G863"/>
  <c r="G899"/>
  <c r="G935"/>
  <c r="G971"/>
  <c r="G781"/>
  <c r="G817"/>
  <c r="G853"/>
  <c r="G889"/>
  <c r="G925"/>
  <c r="G961"/>
  <c r="G997"/>
  <c r="G698"/>
  <c r="G734"/>
  <c r="G770"/>
  <c r="G806"/>
  <c r="G842"/>
  <c r="G878"/>
  <c r="G914"/>
  <c r="G950"/>
  <c r="G986"/>
  <c r="G173"/>
  <c r="G263"/>
  <c r="G771"/>
  <c r="G221"/>
  <c r="G391"/>
  <c r="G24"/>
  <c r="G60"/>
  <c r="G96"/>
  <c r="G132"/>
  <c r="G168"/>
  <c r="G204"/>
  <c r="G240"/>
  <c r="G282"/>
  <c r="G335"/>
  <c r="G380"/>
  <c r="G456"/>
  <c r="G531"/>
  <c r="G666"/>
  <c r="G951"/>
  <c r="G387"/>
  <c r="G31"/>
  <c r="G67"/>
  <c r="G103"/>
  <c r="G139"/>
  <c r="G175"/>
  <c r="G211"/>
  <c r="G247"/>
  <c r="G286"/>
  <c r="G320"/>
  <c r="G365"/>
  <c r="G438"/>
  <c r="G510"/>
  <c r="G77"/>
  <c r="G227"/>
  <c r="G327"/>
  <c r="G26"/>
  <c r="G62"/>
  <c r="G98"/>
  <c r="G134"/>
  <c r="G170"/>
  <c r="G206"/>
  <c r="G242"/>
  <c r="G283"/>
  <c r="G336"/>
  <c r="G413"/>
  <c r="G672"/>
  <c r="G957"/>
  <c r="G65"/>
  <c r="G191"/>
  <c r="G27"/>
  <c r="G63"/>
  <c r="G99"/>
  <c r="G135"/>
  <c r="G171"/>
  <c r="G207"/>
  <c r="G243"/>
  <c r="G280"/>
  <c r="G318"/>
  <c r="G373"/>
  <c r="G463"/>
  <c r="G542"/>
  <c r="G684"/>
  <c r="G29"/>
  <c r="G40"/>
  <c r="G76"/>
  <c r="G112"/>
  <c r="G148"/>
  <c r="G184"/>
  <c r="G220"/>
  <c r="G256"/>
  <c r="G306"/>
  <c r="G371"/>
  <c r="G409"/>
  <c r="G488"/>
  <c r="G909"/>
  <c r="G535"/>
  <c r="G571"/>
  <c r="G607"/>
  <c r="G660"/>
  <c r="G765"/>
  <c r="G813"/>
  <c r="G435"/>
  <c r="G489"/>
  <c r="G543"/>
  <c r="G597"/>
  <c r="G638"/>
  <c r="G744"/>
  <c r="G888"/>
  <c r="G924"/>
  <c r="G960"/>
  <c r="G996"/>
  <c r="G497"/>
  <c r="G533"/>
  <c r="G569"/>
  <c r="G605"/>
  <c r="G768"/>
  <c r="G846"/>
  <c r="G278"/>
  <c r="G314"/>
  <c r="G368"/>
  <c r="G422"/>
  <c r="G476"/>
  <c r="G530"/>
  <c r="G584"/>
  <c r="G630"/>
  <c r="G669"/>
  <c r="G715"/>
  <c r="G397"/>
  <c r="G433"/>
  <c r="G469"/>
  <c r="G505"/>
  <c r="G541"/>
  <c r="G577"/>
  <c r="G613"/>
  <c r="G735"/>
  <c r="G870"/>
  <c r="G346"/>
  <c r="G382"/>
  <c r="G418"/>
  <c r="G454"/>
  <c r="G490"/>
  <c r="G526"/>
  <c r="G562"/>
  <c r="G598"/>
  <c r="G632"/>
  <c r="G667"/>
  <c r="G727"/>
  <c r="G807"/>
  <c r="G628"/>
  <c r="G664"/>
  <c r="G700"/>
  <c r="G736"/>
  <c r="G772"/>
  <c r="G808"/>
  <c r="G844"/>
  <c r="G880"/>
  <c r="G916"/>
  <c r="G952"/>
  <c r="G988"/>
  <c r="G641"/>
  <c r="G677"/>
  <c r="G713"/>
  <c r="G749"/>
  <c r="G785"/>
  <c r="G821"/>
  <c r="G857"/>
  <c r="G893"/>
  <c r="G929"/>
  <c r="G965"/>
  <c r="G1001"/>
  <c r="G811"/>
  <c r="G847"/>
  <c r="G883"/>
  <c r="G919"/>
  <c r="G955"/>
  <c r="G991"/>
  <c r="G692"/>
  <c r="G728"/>
  <c r="G764"/>
  <c r="G800"/>
  <c r="G836"/>
  <c r="G872"/>
  <c r="G908"/>
  <c r="G944"/>
  <c r="G980"/>
  <c r="G143"/>
  <c r="G257"/>
  <c r="G741"/>
  <c r="G197"/>
  <c r="G389"/>
  <c r="G18"/>
  <c r="G54"/>
  <c r="G90"/>
  <c r="G126"/>
  <c r="G162"/>
  <c r="G198"/>
  <c r="G234"/>
  <c r="G271"/>
  <c r="G330"/>
  <c r="G372"/>
  <c r="G452"/>
  <c r="G521"/>
  <c r="G651"/>
  <c r="G933"/>
  <c r="G356"/>
  <c r="G25"/>
  <c r="G61"/>
  <c r="G97"/>
  <c r="G133"/>
  <c r="G169"/>
  <c r="G205"/>
  <c r="G241"/>
  <c r="G279"/>
  <c r="G317"/>
  <c r="G362"/>
  <c r="G434"/>
  <c r="G506"/>
  <c r="G59"/>
  <c r="G203"/>
  <c r="G303"/>
  <c r="G20"/>
  <c r="G56"/>
  <c r="G92"/>
  <c r="G128"/>
  <c r="G164"/>
  <c r="G200"/>
  <c r="G236"/>
  <c r="G276"/>
  <c r="G323"/>
  <c r="G381"/>
  <c r="G633"/>
  <c r="G939"/>
  <c r="G35"/>
  <c r="G161"/>
  <c r="G21"/>
  <c r="G57"/>
  <c r="G93"/>
  <c r="G129"/>
  <c r="G165"/>
  <c r="G201"/>
  <c r="G237"/>
  <c r="G273"/>
  <c r="G309"/>
  <c r="G363"/>
  <c r="G457"/>
  <c r="G513"/>
  <c r="G626"/>
  <c r="G5"/>
  <c r="G353"/>
  <c r="G34"/>
  <c r="G70"/>
  <c r="G106"/>
  <c r="G142"/>
  <c r="G178"/>
  <c r="G214"/>
  <c r="G250"/>
  <c r="G295"/>
  <c r="G366"/>
  <c r="G407"/>
  <c r="G449"/>
  <c r="G891"/>
  <c r="G999"/>
  <c r="G564"/>
  <c r="G600"/>
  <c r="G649"/>
  <c r="G756"/>
  <c r="G804"/>
  <c r="G428"/>
  <c r="G482"/>
  <c r="G536"/>
  <c r="G590"/>
  <c r="G636"/>
  <c r="G732"/>
  <c r="G882"/>
  <c r="G918"/>
  <c r="G954"/>
  <c r="G990"/>
  <c r="G493"/>
  <c r="G529"/>
  <c r="G565"/>
  <c r="G601"/>
  <c r="G762"/>
  <c r="G831"/>
  <c r="G272"/>
  <c r="G308"/>
  <c r="G357"/>
  <c r="G411"/>
  <c r="G465"/>
  <c r="G519"/>
  <c r="G573"/>
  <c r="G625"/>
  <c r="G661"/>
  <c r="G711"/>
  <c r="G390"/>
  <c r="G426"/>
  <c r="G462"/>
  <c r="G498"/>
  <c r="G534"/>
  <c r="G570"/>
  <c r="G606"/>
  <c r="G709"/>
  <c r="G834"/>
  <c r="G340"/>
  <c r="G376"/>
  <c r="G412"/>
  <c r="G448"/>
  <c r="G484"/>
  <c r="G520"/>
  <c r="G556"/>
  <c r="G592"/>
  <c r="G627"/>
  <c r="G663"/>
  <c r="G723"/>
  <c r="G801"/>
  <c r="G622"/>
  <c r="G658"/>
  <c r="G694"/>
  <c r="G730"/>
  <c r="G766"/>
  <c r="G802"/>
  <c r="G838"/>
  <c r="G874"/>
  <c r="G910"/>
  <c r="G946"/>
  <c r="G982"/>
  <c r="G635"/>
  <c r="G671"/>
  <c r="G707"/>
  <c r="G743"/>
  <c r="G779"/>
  <c r="G815"/>
  <c r="G851"/>
  <c r="G887"/>
  <c r="G923"/>
  <c r="G959"/>
  <c r="G995"/>
  <c r="G805"/>
  <c r="G841"/>
  <c r="G877"/>
  <c r="G913"/>
  <c r="G949"/>
  <c r="G985"/>
  <c r="G686"/>
  <c r="G722"/>
  <c r="G758"/>
  <c r="G794"/>
  <c r="G830"/>
  <c r="G866"/>
  <c r="G902"/>
  <c r="G938"/>
  <c r="G974"/>
  <c r="G113"/>
  <c r="G215"/>
  <c r="G662"/>
  <c r="G167"/>
  <c r="G377"/>
  <c r="G12"/>
  <c r="G48"/>
  <c r="G84"/>
  <c r="G120"/>
  <c r="G156"/>
  <c r="G192"/>
  <c r="G228"/>
  <c r="G264"/>
  <c r="G319"/>
  <c r="G359"/>
  <c r="G417"/>
  <c r="G517"/>
  <c r="G603"/>
  <c r="G915"/>
  <c r="G292"/>
  <c r="G19"/>
  <c r="G55"/>
  <c r="G91"/>
  <c r="G127"/>
  <c r="G163"/>
  <c r="G199"/>
  <c r="G235"/>
  <c r="G275"/>
  <c r="G311"/>
  <c r="G354"/>
  <c r="G399"/>
  <c r="G474"/>
  <c r="G47"/>
  <c r="G149"/>
  <c r="G274"/>
  <c r="G14"/>
  <c r="G50"/>
  <c r="G86"/>
  <c r="G122"/>
  <c r="G158"/>
  <c r="G194"/>
  <c r="G230"/>
  <c r="G265"/>
  <c r="G315"/>
  <c r="G378"/>
  <c r="G461"/>
  <c r="G921"/>
  <c r="G23"/>
  <c r="G155"/>
  <c r="G15"/>
  <c r="G51"/>
  <c r="G87"/>
  <c r="G123"/>
  <c r="G159"/>
  <c r="G195"/>
  <c r="G231"/>
  <c r="G269"/>
  <c r="G305"/>
  <c r="G360"/>
  <c r="G443"/>
  <c r="G503"/>
  <c r="G614"/>
  <c r="G885"/>
  <c r="G337"/>
  <c r="G28"/>
  <c r="G64"/>
  <c r="G100"/>
  <c r="G136"/>
  <c r="G172"/>
  <c r="G208"/>
  <c r="G244"/>
  <c r="G288"/>
  <c r="G355"/>
  <c r="G405"/>
  <c r="G445"/>
  <c r="G789"/>
  <c r="G981"/>
  <c r="G557"/>
  <c r="G593"/>
  <c r="G642"/>
  <c r="G750"/>
  <c r="G798"/>
  <c r="G873"/>
  <c r="G471"/>
  <c r="G525"/>
  <c r="G579"/>
  <c r="G620"/>
  <c r="G726"/>
  <c r="G837"/>
  <c r="G912"/>
  <c r="G948"/>
  <c r="G984"/>
  <c r="G486"/>
  <c r="G522"/>
  <c r="G558"/>
  <c r="G594"/>
  <c r="G717"/>
  <c r="G816"/>
  <c r="G266"/>
  <c r="G302"/>
  <c r="G350"/>
  <c r="G404"/>
  <c r="G458"/>
  <c r="G512"/>
  <c r="G566"/>
  <c r="G621"/>
  <c r="G657"/>
  <c r="G699"/>
  <c r="G383"/>
  <c r="G419"/>
  <c r="G455"/>
  <c r="G491"/>
  <c r="G527"/>
  <c r="G563"/>
  <c r="G599"/>
  <c r="G705"/>
  <c r="G795"/>
  <c r="G334"/>
  <c r="G370"/>
  <c r="G406"/>
  <c r="G442"/>
  <c r="G478"/>
  <c r="G514"/>
  <c r="G550"/>
  <c r="G586"/>
  <c r="G619"/>
  <c r="G655"/>
  <c r="G702"/>
  <c r="G774"/>
  <c r="G864"/>
  <c r="G652"/>
  <c r="G688"/>
  <c r="G724"/>
  <c r="G760"/>
  <c r="G796"/>
  <c r="G832"/>
  <c r="G868"/>
  <c r="G904"/>
  <c r="G940"/>
  <c r="G976"/>
  <c r="G629"/>
  <c r="G665"/>
  <c r="G701"/>
  <c r="G737"/>
  <c r="G773"/>
  <c r="G809"/>
  <c r="G845"/>
  <c r="G881"/>
  <c r="G917"/>
  <c r="G953"/>
  <c r="G989"/>
  <c r="G799"/>
  <c r="G835"/>
  <c r="G871"/>
  <c r="G907"/>
  <c r="G943"/>
  <c r="G979"/>
  <c r="G680"/>
  <c r="G716"/>
  <c r="G752"/>
  <c r="G788"/>
  <c r="G824"/>
  <c r="G860"/>
  <c r="G896"/>
  <c r="G932"/>
  <c r="G35" i="1"/>
  <c r="G310"/>
  <c r="G36"/>
  <c r="G75"/>
  <c r="G112"/>
  <c r="G148"/>
  <c r="G181"/>
  <c r="G268"/>
  <c r="G59"/>
  <c r="G8"/>
  <c r="G44"/>
  <c r="G79"/>
  <c r="G115"/>
  <c r="G151"/>
  <c r="G65"/>
  <c r="G13"/>
  <c r="G51"/>
  <c r="G178"/>
  <c r="G316"/>
  <c r="G9"/>
  <c r="G10"/>
  <c r="G46"/>
  <c r="G84"/>
  <c r="G120"/>
  <c r="G184"/>
  <c r="G373"/>
  <c r="G427"/>
  <c r="G481"/>
  <c r="G535"/>
  <c r="G615"/>
  <c r="G775"/>
  <c r="G71"/>
  <c r="G107"/>
  <c r="G143"/>
  <c r="G179"/>
  <c r="G215"/>
  <c r="G251"/>
  <c r="G287"/>
  <c r="G323"/>
  <c r="G359"/>
  <c r="G407"/>
  <c r="G461"/>
  <c r="G515"/>
  <c r="G569"/>
  <c r="G635"/>
  <c r="G156"/>
  <c r="G192"/>
  <c r="G228"/>
  <c r="G264"/>
  <c r="G300"/>
  <c r="G345"/>
  <c r="G397"/>
  <c r="G451"/>
  <c r="G505"/>
  <c r="G559"/>
  <c r="G692"/>
  <c r="G902"/>
  <c r="G211"/>
  <c r="G247"/>
  <c r="G283"/>
  <c r="G319"/>
  <c r="G353"/>
  <c r="G408"/>
  <c r="G462"/>
  <c r="G516"/>
  <c r="G570"/>
  <c r="G696"/>
  <c r="G883"/>
  <c r="G104"/>
  <c r="G140"/>
  <c r="G176"/>
  <c r="G212"/>
  <c r="G248"/>
  <c r="G284"/>
  <c r="G320"/>
  <c r="G375"/>
  <c r="G429"/>
  <c r="G483"/>
  <c r="G537"/>
  <c r="G603"/>
  <c r="G955"/>
  <c r="G111"/>
  <c r="G147"/>
  <c r="G183"/>
  <c r="G219"/>
  <c r="G255"/>
  <c r="G291"/>
  <c r="G325"/>
  <c r="G361"/>
  <c r="G414"/>
  <c r="G468"/>
  <c r="G522"/>
  <c r="G576"/>
  <c r="G679"/>
  <c r="G830"/>
  <c r="G577"/>
  <c r="G613"/>
  <c r="G673"/>
  <c r="G750"/>
  <c r="G822"/>
  <c r="G894"/>
  <c r="G966"/>
  <c r="G380"/>
  <c r="G416"/>
  <c r="G452"/>
  <c r="G488"/>
  <c r="G524"/>
  <c r="G560"/>
  <c r="G596"/>
  <c r="G632"/>
  <c r="G684"/>
  <c r="G763"/>
  <c r="G835"/>
  <c r="G907"/>
  <c r="G979"/>
  <c r="G954"/>
  <c r="G340"/>
  <c r="G376"/>
  <c r="G412"/>
  <c r="G448"/>
  <c r="G484"/>
  <c r="G520"/>
  <c r="G556"/>
  <c r="G592"/>
  <c r="G630"/>
  <c r="G672"/>
  <c r="G751"/>
  <c r="G823"/>
  <c r="G895"/>
  <c r="G967"/>
  <c r="G599"/>
  <c r="G662"/>
  <c r="G728"/>
  <c r="G800"/>
  <c r="G872"/>
  <c r="G944"/>
  <c r="G992"/>
  <c r="G645"/>
  <c r="G681"/>
  <c r="G717"/>
  <c r="G753"/>
  <c r="G789"/>
  <c r="G825"/>
  <c r="G861"/>
  <c r="G897"/>
  <c r="G933"/>
  <c r="G969"/>
  <c r="G1005"/>
  <c r="G652"/>
  <c r="G688"/>
  <c r="G724"/>
  <c r="G760"/>
  <c r="G796"/>
  <c r="G832"/>
  <c r="G868"/>
  <c r="G904"/>
  <c r="G940"/>
  <c r="G976"/>
  <c r="G653"/>
  <c r="G689"/>
  <c r="G725"/>
  <c r="G761"/>
  <c r="G797"/>
  <c r="G833"/>
  <c r="G869"/>
  <c r="G905"/>
  <c r="G941"/>
  <c r="G977"/>
  <c r="G1008"/>
  <c r="E4" i="5"/>
  <c r="G274" i="1"/>
  <c r="G30"/>
  <c r="G66"/>
  <c r="G103"/>
  <c r="G139"/>
  <c r="G166"/>
  <c r="G250"/>
  <c r="G53"/>
  <c r="G72"/>
  <c r="G38"/>
  <c r="G76"/>
  <c r="G108"/>
  <c r="G144"/>
  <c r="G23"/>
  <c r="G7"/>
  <c r="G39"/>
  <c r="G157"/>
  <c r="G298"/>
  <c r="G55"/>
  <c r="G40"/>
  <c r="G82"/>
  <c r="G118"/>
  <c r="G163"/>
  <c r="G362"/>
  <c r="G417"/>
  <c r="G471"/>
  <c r="G525"/>
  <c r="G594"/>
  <c r="G740"/>
  <c r="G938"/>
  <c r="G101"/>
  <c r="G137"/>
  <c r="G173"/>
  <c r="G209"/>
  <c r="G245"/>
  <c r="G281"/>
  <c r="G317"/>
  <c r="G355"/>
  <c r="G402"/>
  <c r="G456"/>
  <c r="G510"/>
  <c r="G564"/>
  <c r="G631"/>
  <c r="G919"/>
  <c r="G186"/>
  <c r="G222"/>
  <c r="G258"/>
  <c r="G294"/>
  <c r="G338"/>
  <c r="G387"/>
  <c r="G441"/>
  <c r="G495"/>
  <c r="G549"/>
  <c r="G678"/>
  <c r="G847"/>
  <c r="G205"/>
  <c r="G241"/>
  <c r="G277"/>
  <c r="G313"/>
  <c r="G349"/>
  <c r="G395"/>
  <c r="G449"/>
  <c r="G503"/>
  <c r="G557"/>
  <c r="G661"/>
  <c r="G865"/>
  <c r="G98"/>
  <c r="G134"/>
  <c r="G170"/>
  <c r="G206"/>
  <c r="G242"/>
  <c r="G278"/>
  <c r="G314"/>
  <c r="G367"/>
  <c r="G421"/>
  <c r="G475"/>
  <c r="G529"/>
  <c r="G582"/>
  <c r="G794"/>
  <c r="G105"/>
  <c r="G141"/>
  <c r="G177"/>
  <c r="G213"/>
  <c r="G249"/>
  <c r="G285"/>
  <c r="G321"/>
  <c r="G354"/>
  <c r="G401"/>
  <c r="G455"/>
  <c r="G509"/>
  <c r="G563"/>
  <c r="G656"/>
  <c r="G828"/>
  <c r="G1009"/>
  <c r="G607"/>
  <c r="G654"/>
  <c r="G733"/>
  <c r="G805"/>
  <c r="G877"/>
  <c r="G949"/>
  <c r="G374"/>
  <c r="G410"/>
  <c r="G446"/>
  <c r="G482"/>
  <c r="G518"/>
  <c r="G554"/>
  <c r="G590"/>
  <c r="G626"/>
  <c r="G680"/>
  <c r="G746"/>
  <c r="G818"/>
  <c r="G890"/>
  <c r="G962"/>
  <c r="G937"/>
  <c r="G334"/>
  <c r="G370"/>
  <c r="G406"/>
  <c r="G442"/>
  <c r="G478"/>
  <c r="G514"/>
  <c r="G550"/>
  <c r="G586"/>
  <c r="G622"/>
  <c r="G668"/>
  <c r="G734"/>
  <c r="G806"/>
  <c r="G878"/>
  <c r="G950"/>
  <c r="G593"/>
  <c r="G641"/>
  <c r="G721"/>
  <c r="G798"/>
  <c r="G870"/>
  <c r="G942"/>
  <c r="G986"/>
  <c r="G639"/>
  <c r="G675"/>
  <c r="G711"/>
  <c r="G747"/>
  <c r="G783"/>
  <c r="G819"/>
  <c r="G855"/>
  <c r="G891"/>
  <c r="G927"/>
  <c r="G963"/>
  <c r="G999"/>
  <c r="G646"/>
  <c r="G682"/>
  <c r="G718"/>
  <c r="G754"/>
  <c r="G790"/>
  <c r="G826"/>
  <c r="G862"/>
  <c r="G898"/>
  <c r="G934"/>
  <c r="G970"/>
  <c r="G1006"/>
  <c r="G683"/>
  <c r="G719"/>
  <c r="G755"/>
  <c r="G791"/>
  <c r="G827"/>
  <c r="G863"/>
  <c r="G899"/>
  <c r="G935"/>
  <c r="G971"/>
  <c r="G1007"/>
  <c r="G256"/>
  <c r="G24"/>
  <c r="G60"/>
  <c r="G96"/>
  <c r="G132"/>
  <c r="G333"/>
  <c r="G232"/>
  <c r="G29"/>
  <c r="G67"/>
  <c r="G32"/>
  <c r="G68"/>
  <c r="G106"/>
  <c r="G142"/>
  <c r="G11"/>
  <c r="G292"/>
  <c r="G21"/>
  <c r="G73"/>
  <c r="G280"/>
  <c r="G43"/>
  <c r="G45"/>
  <c r="G34"/>
  <c r="G70"/>
  <c r="G109"/>
  <c r="G145"/>
  <c r="G351"/>
  <c r="G409"/>
  <c r="G463"/>
  <c r="G517"/>
  <c r="G571"/>
  <c r="G738"/>
  <c r="G884"/>
  <c r="G95"/>
  <c r="G131"/>
  <c r="G167"/>
  <c r="G203"/>
  <c r="G239"/>
  <c r="G275"/>
  <c r="G311"/>
  <c r="G348"/>
  <c r="G389"/>
  <c r="G443"/>
  <c r="G497"/>
  <c r="G551"/>
  <c r="G621"/>
  <c r="G900"/>
  <c r="G180"/>
  <c r="G216"/>
  <c r="G252"/>
  <c r="G288"/>
  <c r="G327"/>
  <c r="G379"/>
  <c r="G433"/>
  <c r="G487"/>
  <c r="G541"/>
  <c r="G627"/>
  <c r="G829"/>
  <c r="G199"/>
  <c r="G235"/>
  <c r="G271"/>
  <c r="G307"/>
  <c r="G342"/>
  <c r="G390"/>
  <c r="G444"/>
  <c r="G498"/>
  <c r="G552"/>
  <c r="G644"/>
  <c r="G776"/>
  <c r="G92"/>
  <c r="G128"/>
  <c r="G164"/>
  <c r="G200"/>
  <c r="G236"/>
  <c r="G272"/>
  <c r="G308"/>
  <c r="G357"/>
  <c r="G411"/>
  <c r="G465"/>
  <c r="G519"/>
  <c r="G573"/>
  <c r="G792"/>
  <c r="G99"/>
  <c r="G135"/>
  <c r="G171"/>
  <c r="G207"/>
  <c r="G243"/>
  <c r="G279"/>
  <c r="G315"/>
  <c r="G347"/>
  <c r="G396"/>
  <c r="G450"/>
  <c r="G504"/>
  <c r="G558"/>
  <c r="G649"/>
  <c r="G812"/>
  <c r="G996"/>
  <c r="G601"/>
  <c r="G647"/>
  <c r="G722"/>
  <c r="G788"/>
  <c r="G860"/>
  <c r="G932"/>
  <c r="G368"/>
  <c r="G404"/>
  <c r="G440"/>
  <c r="G476"/>
  <c r="G512"/>
  <c r="G548"/>
  <c r="G584"/>
  <c r="G620"/>
  <c r="G667"/>
  <c r="G744"/>
  <c r="G816"/>
  <c r="G888"/>
  <c r="G960"/>
  <c r="G920"/>
  <c r="G328"/>
  <c r="G364"/>
  <c r="G400"/>
  <c r="G436"/>
  <c r="G472"/>
  <c r="G508"/>
  <c r="G544"/>
  <c r="G580"/>
  <c r="G616"/>
  <c r="G655"/>
  <c r="G732"/>
  <c r="G804"/>
  <c r="G876"/>
  <c r="G948"/>
  <c r="G587"/>
  <c r="G623"/>
  <c r="G702"/>
  <c r="G781"/>
  <c r="G853"/>
  <c r="G925"/>
  <c r="G990"/>
  <c r="G633"/>
  <c r="G669"/>
  <c r="G705"/>
  <c r="G741"/>
  <c r="G777"/>
  <c r="G813"/>
  <c r="G849"/>
  <c r="G885"/>
  <c r="G921"/>
  <c r="G957"/>
  <c r="G993"/>
  <c r="G640"/>
  <c r="G676"/>
  <c r="G712"/>
  <c r="G748"/>
  <c r="G784"/>
  <c r="G820"/>
  <c r="G856"/>
  <c r="G892"/>
  <c r="G928"/>
  <c r="G964"/>
  <c r="G1000"/>
  <c r="G677"/>
  <c r="G713"/>
  <c r="G749"/>
  <c r="G785"/>
  <c r="G821"/>
  <c r="G857"/>
  <c r="G893"/>
  <c r="G929"/>
  <c r="G965"/>
  <c r="G1001"/>
  <c r="B4" i="5" s="1"/>
  <c r="C4" s="1"/>
  <c r="G238" i="1"/>
  <c r="G18"/>
  <c r="G54"/>
  <c r="G94"/>
  <c r="G130"/>
  <c r="G175"/>
  <c r="G214"/>
  <c r="G322"/>
  <c r="G61"/>
  <c r="G26"/>
  <c r="G62"/>
  <c r="G97"/>
  <c r="G133"/>
  <c r="G5"/>
  <c r="G169"/>
  <c r="G69"/>
  <c r="G262"/>
  <c r="G19"/>
  <c r="G33"/>
  <c r="G28"/>
  <c r="G64"/>
  <c r="G102"/>
  <c r="G138"/>
  <c r="G344"/>
  <c r="G399"/>
  <c r="G453"/>
  <c r="G507"/>
  <c r="G561"/>
  <c r="G697"/>
  <c r="G882"/>
  <c r="G89"/>
  <c r="G125"/>
  <c r="G161"/>
  <c r="G197"/>
  <c r="G233"/>
  <c r="G269"/>
  <c r="G305"/>
  <c r="G341"/>
  <c r="G384"/>
  <c r="G438"/>
  <c r="G492"/>
  <c r="G546"/>
  <c r="G600"/>
  <c r="G793"/>
  <c r="G174"/>
  <c r="G210"/>
  <c r="G246"/>
  <c r="G282"/>
  <c r="G318"/>
  <c r="G369"/>
  <c r="G423"/>
  <c r="G477"/>
  <c r="G531"/>
  <c r="G606"/>
  <c r="G811"/>
  <c r="G193"/>
  <c r="G229"/>
  <c r="G265"/>
  <c r="G301"/>
  <c r="G335"/>
  <c r="G377"/>
  <c r="G431"/>
  <c r="G485"/>
  <c r="G539"/>
  <c r="G612"/>
  <c r="G774"/>
  <c r="G86"/>
  <c r="G122"/>
  <c r="G158"/>
  <c r="G194"/>
  <c r="G230"/>
  <c r="G266"/>
  <c r="G302"/>
  <c r="G350"/>
  <c r="G403"/>
  <c r="G457"/>
  <c r="G511"/>
  <c r="G565"/>
  <c r="G757"/>
  <c r="G93"/>
  <c r="G129"/>
  <c r="G165"/>
  <c r="G201"/>
  <c r="G237"/>
  <c r="G273"/>
  <c r="G309"/>
  <c r="G343"/>
  <c r="G383"/>
  <c r="G437"/>
  <c r="G491"/>
  <c r="G545"/>
  <c r="G624"/>
  <c r="G810"/>
  <c r="G936"/>
  <c r="G595"/>
  <c r="G629"/>
  <c r="G709"/>
  <c r="G786"/>
  <c r="G858"/>
  <c r="G930"/>
  <c r="G1002"/>
  <c r="G398"/>
  <c r="G434"/>
  <c r="G470"/>
  <c r="G506"/>
  <c r="G542"/>
  <c r="G578"/>
  <c r="G614"/>
  <c r="G650"/>
  <c r="G720"/>
  <c r="G799"/>
  <c r="G871"/>
  <c r="G943"/>
  <c r="G918"/>
  <c r="G997"/>
  <c r="G358"/>
  <c r="G394"/>
  <c r="G430"/>
  <c r="G466"/>
  <c r="G502"/>
  <c r="G538"/>
  <c r="G574"/>
  <c r="G610"/>
  <c r="G648"/>
  <c r="G708"/>
  <c r="G787"/>
  <c r="G859"/>
  <c r="G931"/>
  <c r="G581"/>
  <c r="G617"/>
  <c r="G698"/>
  <c r="G764"/>
  <c r="G836"/>
  <c r="G908"/>
  <c r="G980"/>
  <c r="G1010"/>
  <c r="G663"/>
  <c r="G699"/>
  <c r="G735"/>
  <c r="G771"/>
  <c r="G807"/>
  <c r="G843"/>
  <c r="G879"/>
  <c r="G915"/>
  <c r="G951"/>
  <c r="G987"/>
  <c r="G634"/>
  <c r="G670"/>
  <c r="G706"/>
  <c r="G742"/>
  <c r="G778"/>
  <c r="G814"/>
  <c r="G850"/>
  <c r="G886"/>
  <c r="G922"/>
  <c r="G958"/>
  <c r="G994"/>
  <c r="G671"/>
  <c r="G707"/>
  <c r="G743"/>
  <c r="G779"/>
  <c r="G815"/>
  <c r="G851"/>
  <c r="G887"/>
  <c r="G923"/>
  <c r="G959"/>
  <c r="G995"/>
  <c r="G220"/>
  <c r="G12"/>
  <c r="G48"/>
  <c r="G85"/>
  <c r="G121"/>
  <c r="G160"/>
  <c r="G202"/>
  <c r="G304"/>
  <c r="G37"/>
  <c r="G20"/>
  <c r="G56"/>
  <c r="G90"/>
  <c r="G126"/>
  <c r="G326"/>
  <c r="G154"/>
  <c r="G49"/>
  <c r="G63"/>
  <c r="G244"/>
  <c r="G41"/>
  <c r="G27"/>
  <c r="G22"/>
  <c r="G58"/>
  <c r="G100"/>
  <c r="G136"/>
  <c r="G208"/>
  <c r="G391"/>
  <c r="G445"/>
  <c r="G499"/>
  <c r="G553"/>
  <c r="G674"/>
  <c r="G866"/>
  <c r="G83"/>
  <c r="G119"/>
  <c r="G155"/>
  <c r="G191"/>
  <c r="G227"/>
  <c r="G263"/>
  <c r="G299"/>
  <c r="G337"/>
  <c r="G371"/>
  <c r="G425"/>
  <c r="G479"/>
  <c r="G533"/>
  <c r="G585"/>
  <c r="G758"/>
  <c r="G168"/>
  <c r="G204"/>
  <c r="G240"/>
  <c r="G276"/>
  <c r="G312"/>
  <c r="G363"/>
  <c r="G415"/>
  <c r="G469"/>
  <c r="G523"/>
  <c r="G591"/>
  <c r="G726"/>
  <c r="G187"/>
  <c r="G223"/>
  <c r="G259"/>
  <c r="G295"/>
  <c r="G331"/>
  <c r="G372"/>
  <c r="G426"/>
  <c r="G480"/>
  <c r="G534"/>
  <c r="G597"/>
  <c r="G739"/>
  <c r="G80"/>
  <c r="G116"/>
  <c r="G152"/>
  <c r="G188"/>
  <c r="G224"/>
  <c r="G260"/>
  <c r="G296"/>
  <c r="G339"/>
  <c r="G393"/>
  <c r="G447"/>
  <c r="G501"/>
  <c r="G555"/>
  <c r="G636"/>
  <c r="G87"/>
  <c r="G123"/>
  <c r="G159"/>
  <c r="G195"/>
  <c r="G231"/>
  <c r="G267"/>
  <c r="G303"/>
  <c r="G336"/>
  <c r="G378"/>
  <c r="G432"/>
  <c r="G486"/>
  <c r="G540"/>
  <c r="G609"/>
  <c r="G727"/>
  <c r="G848"/>
  <c r="G589"/>
  <c r="G625"/>
  <c r="G690"/>
  <c r="G769"/>
  <c r="G841"/>
  <c r="G913"/>
  <c r="G985"/>
  <c r="G392"/>
  <c r="G428"/>
  <c r="G464"/>
  <c r="G500"/>
  <c r="G536"/>
  <c r="G572"/>
  <c r="G608"/>
  <c r="G642"/>
  <c r="G716"/>
  <c r="G782"/>
  <c r="G854"/>
  <c r="G926"/>
  <c r="G901"/>
  <c r="G973"/>
  <c r="G352"/>
  <c r="G388"/>
  <c r="G424"/>
  <c r="G460"/>
  <c r="G496"/>
  <c r="G532"/>
  <c r="G568"/>
  <c r="G604"/>
  <c r="G643"/>
  <c r="G704"/>
  <c r="G770"/>
  <c r="G842"/>
  <c r="G914"/>
  <c r="G1003"/>
  <c r="G611"/>
  <c r="G685"/>
  <c r="G762"/>
  <c r="G834"/>
  <c r="G906"/>
  <c r="G978"/>
  <c r="G1004"/>
  <c r="G657"/>
  <c r="G693"/>
  <c r="G729"/>
  <c r="G765"/>
  <c r="G801"/>
  <c r="G837"/>
  <c r="G873"/>
  <c r="G909"/>
  <c r="G945"/>
  <c r="G981"/>
  <c r="G628"/>
  <c r="G664"/>
  <c r="G700"/>
  <c r="G736"/>
  <c r="G772"/>
  <c r="G808"/>
  <c r="G844"/>
  <c r="G880"/>
  <c r="G916"/>
  <c r="G952"/>
  <c r="G988"/>
  <c r="G665"/>
  <c r="G701"/>
  <c r="G737"/>
  <c r="G773"/>
  <c r="G809"/>
  <c r="G845"/>
  <c r="G881"/>
  <c r="G917"/>
  <c r="G953"/>
  <c r="G989"/>
  <c r="G47"/>
  <c r="G6"/>
  <c r="G42"/>
  <c r="G78"/>
  <c r="G114"/>
  <c r="G150"/>
  <c r="G190"/>
  <c r="G286"/>
  <c r="G25"/>
  <c r="G14"/>
  <c r="G50"/>
  <c r="G88"/>
  <c r="G124"/>
  <c r="G172"/>
  <c r="G74"/>
  <c r="G31"/>
  <c r="G57"/>
  <c r="G226"/>
  <c r="G17"/>
  <c r="G15"/>
  <c r="G16"/>
  <c r="G52"/>
  <c r="G91"/>
  <c r="G127"/>
  <c r="G196"/>
  <c r="G381"/>
  <c r="G435"/>
  <c r="G489"/>
  <c r="G543"/>
  <c r="G660"/>
  <c r="G864"/>
  <c r="G77"/>
  <c r="G113"/>
  <c r="G149"/>
  <c r="G185"/>
  <c r="G221"/>
  <c r="G257"/>
  <c r="G293"/>
  <c r="G330"/>
  <c r="G366"/>
  <c r="G420"/>
  <c r="G474"/>
  <c r="G528"/>
  <c r="G579"/>
  <c r="G756"/>
  <c r="G162"/>
  <c r="G198"/>
  <c r="G234"/>
  <c r="G270"/>
  <c r="G306"/>
  <c r="G356"/>
  <c r="G405"/>
  <c r="G459"/>
  <c r="G513"/>
  <c r="G567"/>
  <c r="G715"/>
  <c r="G972"/>
  <c r="G217"/>
  <c r="G253"/>
  <c r="G289"/>
  <c r="G324"/>
  <c r="G360"/>
  <c r="G413"/>
  <c r="G467"/>
  <c r="G521"/>
  <c r="G575"/>
  <c r="G710"/>
  <c r="G974"/>
  <c r="G110"/>
  <c r="G146"/>
  <c r="G182"/>
  <c r="G218"/>
  <c r="G254"/>
  <c r="G290"/>
  <c r="G332"/>
  <c r="G385"/>
  <c r="G439"/>
  <c r="G493"/>
  <c r="G547"/>
  <c r="G618"/>
  <c r="G81"/>
  <c r="G117"/>
  <c r="G153"/>
  <c r="G189"/>
  <c r="G225"/>
  <c r="G261"/>
  <c r="G297"/>
  <c r="G329"/>
  <c r="G365"/>
  <c r="G419"/>
  <c r="G473"/>
  <c r="G527"/>
  <c r="G588"/>
  <c r="G714"/>
  <c r="G846"/>
  <c r="G583"/>
  <c r="G619"/>
  <c r="G686"/>
  <c r="G752"/>
  <c r="G824"/>
  <c r="G896"/>
  <c r="G968"/>
  <c r="G386"/>
  <c r="G422"/>
  <c r="G458"/>
  <c r="G494"/>
  <c r="G530"/>
  <c r="G566"/>
  <c r="G602"/>
  <c r="G637"/>
  <c r="G703"/>
  <c r="G780"/>
  <c r="G852"/>
  <c r="G924"/>
  <c r="G991"/>
  <c r="G956"/>
  <c r="G346"/>
  <c r="G382"/>
  <c r="G418"/>
  <c r="G454"/>
  <c r="G490"/>
  <c r="G526"/>
  <c r="G562"/>
  <c r="G598"/>
  <c r="G638"/>
  <c r="G691"/>
  <c r="G768"/>
  <c r="G840"/>
  <c r="G912"/>
  <c r="G984"/>
  <c r="G605"/>
  <c r="G666"/>
  <c r="G745"/>
  <c r="G817"/>
  <c r="G889"/>
  <c r="G961"/>
  <c r="G998"/>
  <c r="G651"/>
  <c r="G687"/>
  <c r="G723"/>
  <c r="G759"/>
  <c r="G795"/>
  <c r="G831"/>
  <c r="G867"/>
  <c r="G903"/>
  <c r="G939"/>
  <c r="G975"/>
  <c r="G1011"/>
  <c r="G658"/>
  <c r="G694"/>
  <c r="G730"/>
  <c r="G766"/>
  <c r="G802"/>
  <c r="G838"/>
  <c r="G874"/>
  <c r="G910"/>
  <c r="G946"/>
  <c r="G982"/>
  <c r="G659"/>
  <c r="G695"/>
  <c r="G731"/>
  <c r="G767"/>
  <c r="G803"/>
  <c r="G839"/>
  <c r="G875"/>
  <c r="G911"/>
  <c r="G947"/>
</calcChain>
</file>

<file path=xl/sharedStrings.xml><?xml version="1.0" encoding="utf-8"?>
<sst xmlns="http://schemas.openxmlformats.org/spreadsheetml/2006/main" count="82" uniqueCount="27">
  <si>
    <t>Same Level Setpoint</t>
  </si>
  <si>
    <t>WindowSize</t>
  </si>
  <si>
    <t>Jitter</t>
  </si>
  <si>
    <t>On</t>
  </si>
  <si>
    <t>#</t>
  </si>
  <si>
    <t>PC</t>
  </si>
  <si>
    <t>Setpoint</t>
  </si>
  <si>
    <t>Rate</t>
  </si>
  <si>
    <t>Error</t>
  </si>
  <si>
    <t>Error^2</t>
  </si>
  <si>
    <t>RMSE</t>
  </si>
  <si>
    <t>Goal Range (20%)</t>
  </si>
  <si>
    <t>Goal Range (10%)</t>
  </si>
  <si>
    <t>Mode</t>
  </si>
  <si>
    <t>NRMSE(Max-Min)</t>
  </si>
  <si>
    <t>MAE</t>
  </si>
  <si>
    <t>GR (20%)</t>
  </si>
  <si>
    <t>GR (10%)</t>
  </si>
  <si>
    <t>Max (Overshoot %)</t>
  </si>
  <si>
    <t>Optuna</t>
  </si>
  <si>
    <t>RL</t>
  </si>
  <si>
    <t>SPSA</t>
  </si>
  <si>
    <t>Bayes</t>
  </si>
  <si>
    <t>Evolution</t>
  </si>
  <si>
    <t>PSO</t>
  </si>
  <si>
    <t>Static</t>
  </si>
  <si>
    <t>Samples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</si>
</sst>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2" fontId="0" fillId="3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2" fontId="0" fillId="3" borderId="1" xfId="0" applyNumberFormat="1" applyFill="1" applyBorder="1"/>
    <xf numFmtId="164" fontId="0" fillId="3" borderId="1" xfId="0" applyNumberFormat="1" applyFill="1" applyBorder="1" applyAlignment="1">
      <alignment horizontal="center"/>
    </xf>
    <xf numFmtId="10" fontId="0" fillId="3" borderId="1" xfId="1" applyNumberFormat="1" applyFont="1" applyFill="1" applyBorder="1"/>
    <xf numFmtId="2" fontId="0" fillId="3" borderId="1" xfId="1" applyNumberFormat="1" applyFont="1" applyFill="1" applyBorder="1"/>
    <xf numFmtId="0" fontId="2" fillId="0" borderId="1" xfId="0" applyFont="1" applyFill="1" applyBorder="1"/>
    <xf numFmtId="0" fontId="0" fillId="0" borderId="1" xfId="0" applyBorder="1" applyAlignment="1">
      <alignment horizontal="right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opLeftCell="A990" workbookViewId="0">
      <selection activeCell="E1001" sqref="E3:I1001"/>
    </sheetView>
  </sheetViews>
  <sheetFormatPr defaultRowHeight="14.5"/>
  <sheetData>
    <row r="1" spans="1:9" ht="43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</row>
    <row r="2" spans="1:9">
      <c r="A2">
        <v>1</v>
      </c>
      <c r="B2">
        <v>1</v>
      </c>
      <c r="C2">
        <v>5000</v>
      </c>
      <c r="D2">
        <v>2568</v>
      </c>
      <c r="E2" s="5">
        <f>ABS(C2-D2)</f>
        <v>2432</v>
      </c>
      <c r="F2" s="5">
        <f>POWER(E2,2)</f>
        <v>5914624</v>
      </c>
      <c r="G2" s="6">
        <f>SQRT(SUM($F$2:F2)/A2)</f>
        <v>2432</v>
      </c>
      <c r="H2" s="5">
        <f t="shared" ref="H2" si="0">IF(ABS(E2)/C2&gt;0.2,0,1)</f>
        <v>0</v>
      </c>
      <c r="I2" s="5">
        <f>IF(ABS(E2)/C2&gt;0.1,0,1)</f>
        <v>0</v>
      </c>
    </row>
    <row r="3" spans="1:9">
      <c r="A3">
        <v>2</v>
      </c>
      <c r="B3">
        <v>3</v>
      </c>
      <c r="C3">
        <v>5000</v>
      </c>
      <c r="D3">
        <v>3624</v>
      </c>
      <c r="E3" s="5">
        <f t="shared" ref="E3:E66" si="1">ABS(C3-D3)</f>
        <v>1376</v>
      </c>
      <c r="F3" s="5">
        <f t="shared" ref="F3:F66" si="2">POWER(E3,2)</f>
        <v>1893376</v>
      </c>
      <c r="G3" s="6">
        <f>SQRT(SUM($F$2:F3)/A3)</f>
        <v>1975.8542456365551</v>
      </c>
      <c r="H3" s="5">
        <f t="shared" ref="H3:H66" si="3">IF(ABS(E3)/C3&gt;0.2,0,1)</f>
        <v>0</v>
      </c>
      <c r="I3" s="5">
        <f t="shared" ref="I3:I66" si="4">IF(ABS(E3)/C3&gt;0.1,0,1)</f>
        <v>0</v>
      </c>
    </row>
    <row r="4" spans="1:9">
      <c r="A4">
        <v>3</v>
      </c>
      <c r="B4">
        <v>2</v>
      </c>
      <c r="C4">
        <v>5000</v>
      </c>
      <c r="D4">
        <v>2157</v>
      </c>
      <c r="E4" s="5">
        <f t="shared" si="1"/>
        <v>2843</v>
      </c>
      <c r="F4" s="5">
        <f t="shared" si="2"/>
        <v>8082649</v>
      </c>
      <c r="G4" s="6">
        <f>SQRT(SUM($F$2:F4)/A4)</f>
        <v>2301.4958179410191</v>
      </c>
      <c r="H4" s="5">
        <f t="shared" si="3"/>
        <v>0</v>
      </c>
      <c r="I4" s="5">
        <f t="shared" si="4"/>
        <v>0</v>
      </c>
    </row>
    <row r="5" spans="1:9">
      <c r="A5">
        <v>4</v>
      </c>
      <c r="B5">
        <v>5</v>
      </c>
      <c r="C5">
        <v>5000</v>
      </c>
      <c r="D5">
        <v>3540</v>
      </c>
      <c r="E5" s="5">
        <f t="shared" si="1"/>
        <v>1460</v>
      </c>
      <c r="F5" s="5">
        <f t="shared" si="2"/>
        <v>2131600</v>
      </c>
      <c r="G5" s="6">
        <f>SQRT(SUM($F$2:F5)/A5)</f>
        <v>2122.6309735797222</v>
      </c>
      <c r="H5" s="5">
        <f t="shared" si="3"/>
        <v>0</v>
      </c>
      <c r="I5" s="5">
        <f t="shared" si="4"/>
        <v>0</v>
      </c>
    </row>
    <row r="6" spans="1:9">
      <c r="A6">
        <v>5</v>
      </c>
      <c r="B6">
        <v>4</v>
      </c>
      <c r="C6">
        <v>5000</v>
      </c>
      <c r="D6">
        <v>3428</v>
      </c>
      <c r="E6" s="5">
        <f t="shared" si="1"/>
        <v>1572</v>
      </c>
      <c r="F6" s="5">
        <f t="shared" si="2"/>
        <v>2471184</v>
      </c>
      <c r="G6" s="6">
        <f>SQRT(SUM($F$2:F6)/A6)</f>
        <v>2024.5213261410709</v>
      </c>
      <c r="H6" s="5">
        <f t="shared" si="3"/>
        <v>0</v>
      </c>
      <c r="I6" s="5">
        <f t="shared" si="4"/>
        <v>0</v>
      </c>
    </row>
    <row r="7" spans="1:9">
      <c r="A7">
        <v>6</v>
      </c>
      <c r="B7">
        <v>4</v>
      </c>
      <c r="C7">
        <v>5000</v>
      </c>
      <c r="D7">
        <v>3381</v>
      </c>
      <c r="E7" s="5">
        <f t="shared" si="1"/>
        <v>1619</v>
      </c>
      <c r="F7" s="5">
        <f t="shared" si="2"/>
        <v>2621161</v>
      </c>
      <c r="G7" s="6">
        <f>SQRT(SUM($F$2:F7)/A7)</f>
        <v>1962.7614050957222</v>
      </c>
      <c r="H7" s="5">
        <f t="shared" si="3"/>
        <v>0</v>
      </c>
      <c r="I7" s="5">
        <f t="shared" si="4"/>
        <v>0</v>
      </c>
    </row>
    <row r="8" spans="1:9">
      <c r="A8">
        <v>7</v>
      </c>
      <c r="B8">
        <v>5</v>
      </c>
      <c r="C8">
        <v>5000</v>
      </c>
      <c r="D8">
        <v>4128</v>
      </c>
      <c r="E8" s="5">
        <f t="shared" si="1"/>
        <v>872</v>
      </c>
      <c r="F8" s="5">
        <f t="shared" si="2"/>
        <v>760384</v>
      </c>
      <c r="G8" s="6">
        <f>SQRT(SUM($F$2:F8)/A8)</f>
        <v>1846.811073948048</v>
      </c>
      <c r="H8" s="5">
        <f t="shared" si="3"/>
        <v>1</v>
      </c>
      <c r="I8" s="5">
        <f t="shared" si="4"/>
        <v>0</v>
      </c>
    </row>
    <row r="9" spans="1:9">
      <c r="A9">
        <v>8</v>
      </c>
      <c r="B9">
        <v>4</v>
      </c>
      <c r="C9">
        <v>5000</v>
      </c>
      <c r="D9">
        <v>3589</v>
      </c>
      <c r="E9" s="5">
        <f t="shared" si="1"/>
        <v>1411</v>
      </c>
      <c r="F9" s="5">
        <f t="shared" si="2"/>
        <v>1990921</v>
      </c>
      <c r="G9" s="6">
        <f>SQRT(SUM($F$2:F9)/A9)</f>
        <v>1798.1205118122646</v>
      </c>
      <c r="H9" s="5">
        <f t="shared" si="3"/>
        <v>0</v>
      </c>
      <c r="I9" s="5">
        <f t="shared" si="4"/>
        <v>0</v>
      </c>
    </row>
    <row r="10" spans="1:9">
      <c r="A10">
        <v>9</v>
      </c>
      <c r="B10">
        <v>5</v>
      </c>
      <c r="C10">
        <v>5000</v>
      </c>
      <c r="D10">
        <v>3885</v>
      </c>
      <c r="E10" s="5">
        <f t="shared" si="1"/>
        <v>1115</v>
      </c>
      <c r="F10" s="5">
        <f t="shared" si="2"/>
        <v>1243225</v>
      </c>
      <c r="G10" s="6">
        <f>SQRT(SUM($F$2:F10)/A10)</f>
        <v>1735.5474320481387</v>
      </c>
      <c r="H10" s="5">
        <f t="shared" si="3"/>
        <v>0</v>
      </c>
      <c r="I10" s="5">
        <f t="shared" si="4"/>
        <v>0</v>
      </c>
    </row>
    <row r="11" spans="1:9">
      <c r="A11">
        <v>10</v>
      </c>
      <c r="B11">
        <v>5</v>
      </c>
      <c r="C11">
        <v>5000</v>
      </c>
      <c r="D11">
        <v>4335</v>
      </c>
      <c r="E11" s="5">
        <f t="shared" si="1"/>
        <v>665</v>
      </c>
      <c r="F11" s="5">
        <f t="shared" si="2"/>
        <v>442225</v>
      </c>
      <c r="G11" s="6">
        <f>SQRT(SUM($F$2:F11)/A11)</f>
        <v>1659.8599037268175</v>
      </c>
      <c r="H11" s="5">
        <f t="shared" si="3"/>
        <v>1</v>
      </c>
      <c r="I11" s="5">
        <f t="shared" si="4"/>
        <v>0</v>
      </c>
    </row>
    <row r="12" spans="1:9">
      <c r="A12">
        <v>11</v>
      </c>
      <c r="B12">
        <v>5</v>
      </c>
      <c r="C12">
        <v>5000</v>
      </c>
      <c r="D12">
        <v>3929</v>
      </c>
      <c r="E12" s="5">
        <f t="shared" si="1"/>
        <v>1071</v>
      </c>
      <c r="F12" s="5">
        <f t="shared" si="2"/>
        <v>1147041</v>
      </c>
      <c r="G12" s="6">
        <f>SQRT(SUM($F$2:F12)/A12)</f>
        <v>1615.2227541285274</v>
      </c>
      <c r="H12" s="5">
        <f t="shared" si="3"/>
        <v>0</v>
      </c>
      <c r="I12" s="5">
        <f t="shared" si="4"/>
        <v>0</v>
      </c>
    </row>
    <row r="13" spans="1:9">
      <c r="A13">
        <v>12</v>
      </c>
      <c r="B13">
        <v>6</v>
      </c>
      <c r="C13">
        <v>5000</v>
      </c>
      <c r="D13">
        <v>4786</v>
      </c>
      <c r="E13" s="5">
        <f t="shared" si="1"/>
        <v>214</v>
      </c>
      <c r="F13" s="5">
        <f t="shared" si="2"/>
        <v>45796</v>
      </c>
      <c r="G13" s="6">
        <f>SQRT(SUM($F$2:F13)/A13)</f>
        <v>1547.6914528850166</v>
      </c>
      <c r="H13" s="5">
        <f t="shared" si="3"/>
        <v>1</v>
      </c>
      <c r="I13" s="5">
        <f t="shared" si="4"/>
        <v>1</v>
      </c>
    </row>
    <row r="14" spans="1:9">
      <c r="A14">
        <v>13</v>
      </c>
      <c r="B14">
        <v>5</v>
      </c>
      <c r="C14">
        <v>5000</v>
      </c>
      <c r="D14">
        <v>4329</v>
      </c>
      <c r="E14" s="5">
        <f t="shared" si="1"/>
        <v>671</v>
      </c>
      <c r="F14" s="5">
        <f t="shared" si="2"/>
        <v>450241</v>
      </c>
      <c r="G14" s="6">
        <f>SQRT(SUM($F$2:F14)/A14)</f>
        <v>1498.574373812042</v>
      </c>
      <c r="H14" s="5">
        <f t="shared" si="3"/>
        <v>1</v>
      </c>
      <c r="I14" s="5">
        <f t="shared" si="4"/>
        <v>0</v>
      </c>
    </row>
    <row r="15" spans="1:9">
      <c r="A15">
        <v>14</v>
      </c>
      <c r="B15">
        <v>6</v>
      </c>
      <c r="C15">
        <v>5000</v>
      </c>
      <c r="D15">
        <v>5033</v>
      </c>
      <c r="E15" s="5">
        <f t="shared" si="1"/>
        <v>33</v>
      </c>
      <c r="F15" s="5">
        <f t="shared" si="2"/>
        <v>1089</v>
      </c>
      <c r="G15" s="6">
        <f>SQRT(SUM($F$2:F15)/A15)</f>
        <v>1444.0893324168003</v>
      </c>
      <c r="H15" s="5">
        <f t="shared" si="3"/>
        <v>1</v>
      </c>
      <c r="I15" s="5">
        <f t="shared" si="4"/>
        <v>1</v>
      </c>
    </row>
    <row r="16" spans="1:9">
      <c r="A16">
        <v>15</v>
      </c>
      <c r="B16">
        <v>5</v>
      </c>
      <c r="C16">
        <v>5000</v>
      </c>
      <c r="D16">
        <v>4042</v>
      </c>
      <c r="E16" s="5">
        <f t="shared" si="1"/>
        <v>958</v>
      </c>
      <c r="F16" s="5">
        <f t="shared" si="2"/>
        <v>917764</v>
      </c>
      <c r="G16" s="6">
        <f>SQRT(SUM($F$2:F16)/A16)</f>
        <v>1416.8810818131492</v>
      </c>
      <c r="H16" s="5">
        <f t="shared" si="3"/>
        <v>1</v>
      </c>
      <c r="I16" s="5">
        <f t="shared" si="4"/>
        <v>0</v>
      </c>
    </row>
    <row r="17" spans="1:9">
      <c r="A17">
        <v>16</v>
      </c>
      <c r="B17">
        <v>6</v>
      </c>
      <c r="C17">
        <v>5000</v>
      </c>
      <c r="D17">
        <v>4811</v>
      </c>
      <c r="E17" s="5">
        <f t="shared" si="1"/>
        <v>189</v>
      </c>
      <c r="F17" s="5">
        <f t="shared" si="2"/>
        <v>35721</v>
      </c>
      <c r="G17" s="6">
        <f>SQRT(SUM($F$2:F17)/A17)</f>
        <v>1372.7026489739137</v>
      </c>
      <c r="H17" s="5">
        <f t="shared" si="3"/>
        <v>1</v>
      </c>
      <c r="I17" s="5">
        <f t="shared" si="4"/>
        <v>1</v>
      </c>
    </row>
    <row r="18" spans="1:9">
      <c r="A18">
        <v>17</v>
      </c>
      <c r="B18">
        <v>5</v>
      </c>
      <c r="C18">
        <v>5000</v>
      </c>
      <c r="D18">
        <v>4214</v>
      </c>
      <c r="E18" s="5">
        <f t="shared" si="1"/>
        <v>786</v>
      </c>
      <c r="F18" s="5">
        <f t="shared" si="2"/>
        <v>617796</v>
      </c>
      <c r="G18" s="6">
        <f>SQRT(SUM($F$2:F18)/A18)</f>
        <v>1345.2923802041303</v>
      </c>
      <c r="H18" s="5">
        <f t="shared" si="3"/>
        <v>1</v>
      </c>
      <c r="I18" s="5">
        <f t="shared" si="4"/>
        <v>0</v>
      </c>
    </row>
    <row r="19" spans="1:9">
      <c r="A19">
        <v>18</v>
      </c>
      <c r="B19">
        <v>6</v>
      </c>
      <c r="C19">
        <v>5000</v>
      </c>
      <c r="D19">
        <v>4907</v>
      </c>
      <c r="E19" s="5">
        <f t="shared" si="1"/>
        <v>93</v>
      </c>
      <c r="F19" s="5">
        <f t="shared" si="2"/>
        <v>8649</v>
      </c>
      <c r="G19" s="6">
        <f>SQRT(SUM($F$2:F19)/A19)</f>
        <v>1307.5729425160189</v>
      </c>
      <c r="H19" s="5">
        <f t="shared" si="3"/>
        <v>1</v>
      </c>
      <c r="I19" s="5">
        <f t="shared" si="4"/>
        <v>1</v>
      </c>
    </row>
    <row r="20" spans="1:9">
      <c r="A20">
        <v>19</v>
      </c>
      <c r="B20">
        <v>6</v>
      </c>
      <c r="C20">
        <v>5000</v>
      </c>
      <c r="D20">
        <v>4768</v>
      </c>
      <c r="E20" s="5">
        <f t="shared" si="1"/>
        <v>232</v>
      </c>
      <c r="F20" s="5">
        <f t="shared" si="2"/>
        <v>53824</v>
      </c>
      <c r="G20" s="6">
        <f>SQRT(SUM($F$2:F20)/A20)</f>
        <v>1273.8104874331727</v>
      </c>
      <c r="H20" s="5">
        <f t="shared" si="3"/>
        <v>1</v>
      </c>
      <c r="I20" s="5">
        <f t="shared" si="4"/>
        <v>1</v>
      </c>
    </row>
    <row r="21" spans="1:9">
      <c r="A21">
        <v>20</v>
      </c>
      <c r="B21">
        <v>6</v>
      </c>
      <c r="C21">
        <v>5000</v>
      </c>
      <c r="D21">
        <v>4885</v>
      </c>
      <c r="E21" s="5">
        <f t="shared" si="1"/>
        <v>115</v>
      </c>
      <c r="F21" s="5">
        <f t="shared" si="2"/>
        <v>13225</v>
      </c>
      <c r="G21" s="6">
        <f>SQRT(SUM($F$2:F21)/A21)</f>
        <v>1241.8231556868313</v>
      </c>
      <c r="H21" s="5">
        <f t="shared" si="3"/>
        <v>1</v>
      </c>
      <c r="I21" s="5">
        <f t="shared" si="4"/>
        <v>1</v>
      </c>
    </row>
    <row r="22" spans="1:9">
      <c r="A22">
        <v>21</v>
      </c>
      <c r="B22">
        <v>6</v>
      </c>
      <c r="C22">
        <v>5000</v>
      </c>
      <c r="D22">
        <v>4691</v>
      </c>
      <c r="E22" s="5">
        <f t="shared" si="1"/>
        <v>309</v>
      </c>
      <c r="F22" s="5">
        <f t="shared" si="2"/>
        <v>95481</v>
      </c>
      <c r="G22" s="6">
        <f>SQRT(SUM($F$2:F22)/A22)</f>
        <v>1213.7697279059782</v>
      </c>
      <c r="H22" s="5">
        <f t="shared" si="3"/>
        <v>1</v>
      </c>
      <c r="I22" s="5">
        <f t="shared" si="4"/>
        <v>1</v>
      </c>
    </row>
    <row r="23" spans="1:9">
      <c r="A23">
        <v>22</v>
      </c>
      <c r="B23">
        <v>6</v>
      </c>
      <c r="C23">
        <v>5000</v>
      </c>
      <c r="D23">
        <v>4548</v>
      </c>
      <c r="E23" s="5">
        <f t="shared" si="1"/>
        <v>452</v>
      </c>
      <c r="F23" s="5">
        <f t="shared" si="2"/>
        <v>204304</v>
      </c>
      <c r="G23" s="6">
        <f>SQRT(SUM($F$2:F23)/A23)</f>
        <v>1189.772323521682</v>
      </c>
      <c r="H23" s="5">
        <f t="shared" si="3"/>
        <v>1</v>
      </c>
      <c r="I23" s="5">
        <f t="shared" si="4"/>
        <v>1</v>
      </c>
    </row>
    <row r="24" spans="1:9">
      <c r="A24">
        <v>23</v>
      </c>
      <c r="B24">
        <v>6</v>
      </c>
      <c r="C24">
        <v>5000</v>
      </c>
      <c r="D24">
        <v>4180</v>
      </c>
      <c r="E24" s="5">
        <f t="shared" si="1"/>
        <v>820</v>
      </c>
      <c r="F24" s="5">
        <f t="shared" si="2"/>
        <v>672400</v>
      </c>
      <c r="G24" s="6">
        <f>SQRT(SUM($F$2:F24)/A24)</f>
        <v>1176.115196960629</v>
      </c>
      <c r="H24" s="5">
        <f t="shared" si="3"/>
        <v>1</v>
      </c>
      <c r="I24" s="5">
        <f t="shared" si="4"/>
        <v>0</v>
      </c>
    </row>
    <row r="25" spans="1:9">
      <c r="A25">
        <v>24</v>
      </c>
      <c r="B25">
        <v>7</v>
      </c>
      <c r="C25">
        <v>5000</v>
      </c>
      <c r="D25">
        <v>4871</v>
      </c>
      <c r="E25" s="5">
        <f t="shared" si="1"/>
        <v>129</v>
      </c>
      <c r="F25" s="5">
        <f t="shared" si="2"/>
        <v>16641</v>
      </c>
      <c r="G25" s="6">
        <f>SQRT(SUM($F$2:F25)/A25)</f>
        <v>1151.6531776827028</v>
      </c>
      <c r="H25" s="5">
        <f t="shared" si="3"/>
        <v>1</v>
      </c>
      <c r="I25" s="5">
        <f t="shared" si="4"/>
        <v>1</v>
      </c>
    </row>
    <row r="26" spans="1:9">
      <c r="A26">
        <v>25</v>
      </c>
      <c r="B26">
        <v>6</v>
      </c>
      <c r="C26">
        <v>5000</v>
      </c>
      <c r="D26">
        <v>4960</v>
      </c>
      <c r="E26" s="5">
        <f t="shared" si="1"/>
        <v>40</v>
      </c>
      <c r="F26" s="5">
        <f t="shared" si="2"/>
        <v>1600</v>
      </c>
      <c r="G26" s="6">
        <f>SQRT(SUM($F$2:F26)/A26)</f>
        <v>1128.4134171481655</v>
      </c>
      <c r="H26" s="5">
        <f t="shared" si="3"/>
        <v>1</v>
      </c>
      <c r="I26" s="5">
        <f t="shared" si="4"/>
        <v>1</v>
      </c>
    </row>
    <row r="27" spans="1:9">
      <c r="A27">
        <v>26</v>
      </c>
      <c r="B27">
        <v>6</v>
      </c>
      <c r="C27">
        <v>5000</v>
      </c>
      <c r="D27">
        <v>2921</v>
      </c>
      <c r="E27" s="5">
        <f t="shared" si="1"/>
        <v>2079</v>
      </c>
      <c r="F27" s="5">
        <f t="shared" si="2"/>
        <v>4322241</v>
      </c>
      <c r="G27" s="6">
        <f>SQRT(SUM($F$2:F27)/A27)</f>
        <v>1179.2298986398512</v>
      </c>
      <c r="H27" s="5">
        <f t="shared" si="3"/>
        <v>0</v>
      </c>
      <c r="I27" s="5">
        <f t="shared" si="4"/>
        <v>0</v>
      </c>
    </row>
    <row r="28" spans="1:9">
      <c r="A28">
        <v>27</v>
      </c>
      <c r="B28">
        <v>9</v>
      </c>
      <c r="C28">
        <v>5000</v>
      </c>
      <c r="D28">
        <v>5366</v>
      </c>
      <c r="E28" s="5">
        <f t="shared" si="1"/>
        <v>366</v>
      </c>
      <c r="F28" s="5">
        <f t="shared" si="2"/>
        <v>133956</v>
      </c>
      <c r="G28" s="6">
        <f>SQRT(SUM($F$2:F28)/A28)</f>
        <v>1159.3279981987012</v>
      </c>
      <c r="H28" s="5">
        <f t="shared" si="3"/>
        <v>1</v>
      </c>
      <c r="I28" s="5">
        <f t="shared" si="4"/>
        <v>1</v>
      </c>
    </row>
    <row r="29" spans="1:9">
      <c r="A29">
        <v>28</v>
      </c>
      <c r="B29">
        <v>6</v>
      </c>
      <c r="C29">
        <v>5000</v>
      </c>
      <c r="D29">
        <v>4829</v>
      </c>
      <c r="E29" s="5">
        <f t="shared" si="1"/>
        <v>171</v>
      </c>
      <c r="F29" s="5">
        <f t="shared" si="2"/>
        <v>29241</v>
      </c>
      <c r="G29" s="6">
        <f>SQRT(SUM($F$2:F29)/A29)</f>
        <v>1138.896066373047</v>
      </c>
      <c r="H29" s="5">
        <f t="shared" si="3"/>
        <v>1</v>
      </c>
      <c r="I29" s="5">
        <f t="shared" si="4"/>
        <v>1</v>
      </c>
    </row>
    <row r="30" spans="1:9">
      <c r="A30">
        <v>29</v>
      </c>
      <c r="B30">
        <v>7</v>
      </c>
      <c r="C30">
        <v>5000</v>
      </c>
      <c r="D30">
        <v>4476</v>
      </c>
      <c r="E30" s="5">
        <f t="shared" si="1"/>
        <v>524</v>
      </c>
      <c r="F30" s="5">
        <f t="shared" si="2"/>
        <v>274576</v>
      </c>
      <c r="G30" s="6">
        <f>SQRT(SUM($F$2:F30)/A30)</f>
        <v>1123.3099949825009</v>
      </c>
      <c r="H30" s="5">
        <f t="shared" si="3"/>
        <v>1</v>
      </c>
      <c r="I30" s="5">
        <f t="shared" si="4"/>
        <v>0</v>
      </c>
    </row>
    <row r="31" spans="1:9">
      <c r="A31">
        <v>30</v>
      </c>
      <c r="B31">
        <v>7</v>
      </c>
      <c r="C31">
        <v>5000</v>
      </c>
      <c r="D31">
        <v>5058</v>
      </c>
      <c r="E31" s="5">
        <f t="shared" si="1"/>
        <v>58</v>
      </c>
      <c r="F31" s="5">
        <f t="shared" si="2"/>
        <v>3364</v>
      </c>
      <c r="G31" s="6">
        <f>SQRT(SUM($F$2:F31)/A31)</f>
        <v>1104.4802548408611</v>
      </c>
      <c r="H31" s="5">
        <f t="shared" si="3"/>
        <v>1</v>
      </c>
      <c r="I31" s="5">
        <f t="shared" si="4"/>
        <v>1</v>
      </c>
    </row>
    <row r="32" spans="1:9">
      <c r="A32">
        <v>31</v>
      </c>
      <c r="B32">
        <v>7</v>
      </c>
      <c r="C32">
        <v>5000</v>
      </c>
      <c r="D32">
        <v>5736</v>
      </c>
      <c r="E32" s="5">
        <f t="shared" si="1"/>
        <v>736</v>
      </c>
      <c r="F32" s="5">
        <f t="shared" si="2"/>
        <v>541696</v>
      </c>
      <c r="G32" s="6">
        <f>SQRT(SUM($F$2:F32)/A32)</f>
        <v>1094.5317897209186</v>
      </c>
      <c r="H32" s="5">
        <f t="shared" si="3"/>
        <v>1</v>
      </c>
      <c r="I32" s="5">
        <f t="shared" si="4"/>
        <v>0</v>
      </c>
    </row>
    <row r="33" spans="1:9">
      <c r="A33">
        <v>32</v>
      </c>
      <c r="B33">
        <v>6</v>
      </c>
      <c r="C33">
        <v>5000</v>
      </c>
      <c r="D33">
        <v>4123</v>
      </c>
      <c r="E33" s="5">
        <f t="shared" si="1"/>
        <v>877</v>
      </c>
      <c r="F33" s="5">
        <f t="shared" si="2"/>
        <v>769129</v>
      </c>
      <c r="G33" s="6">
        <f>SQRT(SUM($F$2:F33)/A33)</f>
        <v>1088.3922202037279</v>
      </c>
      <c r="H33" s="5">
        <f t="shared" si="3"/>
        <v>1</v>
      </c>
      <c r="I33" s="5">
        <f t="shared" si="4"/>
        <v>0</v>
      </c>
    </row>
    <row r="34" spans="1:9">
      <c r="A34">
        <v>33</v>
      </c>
      <c r="B34">
        <v>8</v>
      </c>
      <c r="C34">
        <v>5000</v>
      </c>
      <c r="D34">
        <v>5596</v>
      </c>
      <c r="E34" s="5">
        <f t="shared" si="1"/>
        <v>596</v>
      </c>
      <c r="F34" s="5">
        <f t="shared" si="2"/>
        <v>355216</v>
      </c>
      <c r="G34" s="6">
        <f>SQRT(SUM($F$2:F34)/A34)</f>
        <v>1076.7844949129089</v>
      </c>
      <c r="H34" s="5">
        <f t="shared" si="3"/>
        <v>1</v>
      </c>
      <c r="I34" s="5">
        <f t="shared" si="4"/>
        <v>0</v>
      </c>
    </row>
    <row r="35" spans="1:9">
      <c r="A35">
        <v>34</v>
      </c>
      <c r="B35">
        <v>6</v>
      </c>
      <c r="C35">
        <v>5000</v>
      </c>
      <c r="D35">
        <v>4693</v>
      </c>
      <c r="E35" s="5">
        <f t="shared" si="1"/>
        <v>307</v>
      </c>
      <c r="F35" s="5">
        <f t="shared" si="2"/>
        <v>94249</v>
      </c>
      <c r="G35" s="6">
        <f>SQRT(SUM($F$2:F35)/A35)</f>
        <v>1062.1369829679386</v>
      </c>
      <c r="H35" s="5">
        <f t="shared" si="3"/>
        <v>1</v>
      </c>
      <c r="I35" s="5">
        <f t="shared" si="4"/>
        <v>1</v>
      </c>
    </row>
    <row r="36" spans="1:9">
      <c r="A36">
        <v>35</v>
      </c>
      <c r="B36">
        <v>7</v>
      </c>
      <c r="C36">
        <v>5000</v>
      </c>
      <c r="D36">
        <v>5034</v>
      </c>
      <c r="E36" s="5">
        <f t="shared" si="1"/>
        <v>34</v>
      </c>
      <c r="F36" s="5">
        <f t="shared" si="2"/>
        <v>1156</v>
      </c>
      <c r="G36" s="6">
        <f>SQRT(SUM($F$2:F36)/A36)</f>
        <v>1046.8694146972541</v>
      </c>
      <c r="H36" s="5">
        <f t="shared" si="3"/>
        <v>1</v>
      </c>
      <c r="I36" s="5">
        <f t="shared" si="4"/>
        <v>1</v>
      </c>
    </row>
    <row r="37" spans="1:9">
      <c r="A37">
        <v>36</v>
      </c>
      <c r="B37">
        <v>7</v>
      </c>
      <c r="C37">
        <v>5000</v>
      </c>
      <c r="D37">
        <v>4931</v>
      </c>
      <c r="E37" s="5">
        <f t="shared" si="1"/>
        <v>69</v>
      </c>
      <c r="F37" s="5">
        <f t="shared" si="2"/>
        <v>4761</v>
      </c>
      <c r="G37" s="6">
        <f>SQRT(SUM($F$2:F37)/A37)</f>
        <v>1032.2912218297058</v>
      </c>
      <c r="H37" s="5">
        <f t="shared" si="3"/>
        <v>1</v>
      </c>
      <c r="I37" s="5">
        <f t="shared" si="4"/>
        <v>1</v>
      </c>
    </row>
    <row r="38" spans="1:9">
      <c r="A38">
        <v>37</v>
      </c>
      <c r="B38">
        <v>7</v>
      </c>
      <c r="C38">
        <v>5000</v>
      </c>
      <c r="D38">
        <v>5334</v>
      </c>
      <c r="E38" s="5">
        <f t="shared" si="1"/>
        <v>334</v>
      </c>
      <c r="F38" s="5">
        <f t="shared" si="2"/>
        <v>111556</v>
      </c>
      <c r="G38" s="6">
        <f>SQRT(SUM($F$2:F38)/A38)</f>
        <v>1019.7252147090968</v>
      </c>
      <c r="H38" s="5">
        <f t="shared" si="3"/>
        <v>1</v>
      </c>
      <c r="I38" s="5">
        <f t="shared" si="4"/>
        <v>1</v>
      </c>
    </row>
    <row r="39" spans="1:9">
      <c r="A39">
        <v>38</v>
      </c>
      <c r="B39">
        <v>6</v>
      </c>
      <c r="C39">
        <v>5000</v>
      </c>
      <c r="D39">
        <v>4346</v>
      </c>
      <c r="E39" s="5">
        <f t="shared" si="1"/>
        <v>654</v>
      </c>
      <c r="F39" s="5">
        <f t="shared" si="2"/>
        <v>427716</v>
      </c>
      <c r="G39" s="6">
        <f>SQRT(SUM($F$2:F39)/A39)</f>
        <v>1011.7959280408278</v>
      </c>
      <c r="H39" s="5">
        <f t="shared" si="3"/>
        <v>1</v>
      </c>
      <c r="I39" s="5">
        <f t="shared" si="4"/>
        <v>0</v>
      </c>
    </row>
    <row r="40" spans="1:9">
      <c r="A40">
        <v>39</v>
      </c>
      <c r="B40">
        <v>7</v>
      </c>
      <c r="C40">
        <v>5000</v>
      </c>
      <c r="D40">
        <v>5407</v>
      </c>
      <c r="E40" s="5">
        <f t="shared" si="1"/>
        <v>407</v>
      </c>
      <c r="F40" s="5">
        <f t="shared" si="2"/>
        <v>165649</v>
      </c>
      <c r="G40" s="6">
        <f>SQRT(SUM($F$2:F40)/A40)</f>
        <v>1000.8640754047962</v>
      </c>
      <c r="H40" s="5">
        <f t="shared" si="3"/>
        <v>1</v>
      </c>
      <c r="I40" s="5">
        <f t="shared" si="4"/>
        <v>1</v>
      </c>
    </row>
    <row r="41" spans="1:9">
      <c r="A41">
        <v>40</v>
      </c>
      <c r="B41">
        <v>6</v>
      </c>
      <c r="C41">
        <v>5000</v>
      </c>
      <c r="D41">
        <v>5092</v>
      </c>
      <c r="E41" s="5">
        <f t="shared" si="1"/>
        <v>92</v>
      </c>
      <c r="F41" s="5">
        <f t="shared" si="2"/>
        <v>8464</v>
      </c>
      <c r="G41" s="6">
        <f>SQRT(SUM($F$2:F41)/A41)</f>
        <v>988.38113852905951</v>
      </c>
      <c r="H41" s="5">
        <f t="shared" si="3"/>
        <v>1</v>
      </c>
      <c r="I41" s="5">
        <f t="shared" si="4"/>
        <v>1</v>
      </c>
    </row>
    <row r="42" spans="1:9">
      <c r="A42">
        <v>41</v>
      </c>
      <c r="B42">
        <v>6</v>
      </c>
      <c r="C42">
        <v>5000</v>
      </c>
      <c r="D42">
        <v>4547</v>
      </c>
      <c r="E42" s="5">
        <f t="shared" si="1"/>
        <v>453</v>
      </c>
      <c r="F42" s="5">
        <f t="shared" si="2"/>
        <v>205209</v>
      </c>
      <c r="G42" s="6">
        <f>SQRT(SUM($F$2:F42)/A42)</f>
        <v>978.81336819441606</v>
      </c>
      <c r="H42" s="5">
        <f t="shared" si="3"/>
        <v>1</v>
      </c>
      <c r="I42" s="5">
        <f t="shared" si="4"/>
        <v>1</v>
      </c>
    </row>
    <row r="43" spans="1:9">
      <c r="A43">
        <v>42</v>
      </c>
      <c r="B43">
        <v>7</v>
      </c>
      <c r="C43">
        <v>5000</v>
      </c>
      <c r="D43">
        <v>5002</v>
      </c>
      <c r="E43" s="5">
        <f t="shared" si="1"/>
        <v>2</v>
      </c>
      <c r="F43" s="5">
        <f t="shared" si="2"/>
        <v>4</v>
      </c>
      <c r="G43" s="6">
        <f>SQRT(SUM($F$2:F43)/A43)</f>
        <v>967.09067876408619</v>
      </c>
      <c r="H43" s="5">
        <f t="shared" si="3"/>
        <v>1</v>
      </c>
      <c r="I43" s="5">
        <f t="shared" si="4"/>
        <v>1</v>
      </c>
    </row>
    <row r="44" spans="1:9">
      <c r="A44">
        <v>43</v>
      </c>
      <c r="B44">
        <v>7</v>
      </c>
      <c r="C44">
        <v>5000</v>
      </c>
      <c r="D44">
        <v>4852</v>
      </c>
      <c r="E44" s="5">
        <f t="shared" si="1"/>
        <v>148</v>
      </c>
      <c r="F44" s="5">
        <f t="shared" si="2"/>
        <v>21904</v>
      </c>
      <c r="G44" s="6">
        <f>SQRT(SUM($F$2:F44)/A44)</f>
        <v>956.04573209677847</v>
      </c>
      <c r="H44" s="5">
        <f t="shared" si="3"/>
        <v>1</v>
      </c>
      <c r="I44" s="5">
        <f t="shared" si="4"/>
        <v>1</v>
      </c>
    </row>
    <row r="45" spans="1:9">
      <c r="A45">
        <v>44</v>
      </c>
      <c r="B45">
        <v>7</v>
      </c>
      <c r="C45">
        <v>5000</v>
      </c>
      <c r="D45">
        <v>4945</v>
      </c>
      <c r="E45" s="5">
        <f t="shared" si="1"/>
        <v>55</v>
      </c>
      <c r="F45" s="5">
        <f t="shared" si="2"/>
        <v>3025</v>
      </c>
      <c r="G45" s="6">
        <f>SQRT(SUM($F$2:F45)/A45)</f>
        <v>945.15550668563628</v>
      </c>
      <c r="H45" s="5">
        <f t="shared" si="3"/>
        <v>1</v>
      </c>
      <c r="I45" s="5">
        <f t="shared" si="4"/>
        <v>1</v>
      </c>
    </row>
    <row r="46" spans="1:9">
      <c r="A46">
        <v>45</v>
      </c>
      <c r="B46">
        <v>7</v>
      </c>
      <c r="C46">
        <v>5000</v>
      </c>
      <c r="D46">
        <v>4486</v>
      </c>
      <c r="E46" s="5">
        <f t="shared" si="1"/>
        <v>514</v>
      </c>
      <c r="F46" s="5">
        <f t="shared" si="2"/>
        <v>264196</v>
      </c>
      <c r="G46" s="6">
        <f>SQRT(SUM($F$2:F46)/A46)</f>
        <v>937.73046352468589</v>
      </c>
      <c r="H46" s="5">
        <f t="shared" si="3"/>
        <v>1</v>
      </c>
      <c r="I46" s="5">
        <f t="shared" si="4"/>
        <v>0</v>
      </c>
    </row>
    <row r="47" spans="1:9">
      <c r="A47">
        <v>46</v>
      </c>
      <c r="B47">
        <v>7</v>
      </c>
      <c r="C47">
        <v>5000</v>
      </c>
      <c r="D47">
        <v>5267</v>
      </c>
      <c r="E47" s="5">
        <f t="shared" si="1"/>
        <v>267</v>
      </c>
      <c r="F47" s="5">
        <f t="shared" si="2"/>
        <v>71289</v>
      </c>
      <c r="G47" s="6">
        <f>SQRT(SUM($F$2:F47)/A47)</f>
        <v>928.31682653864607</v>
      </c>
      <c r="H47" s="5">
        <f t="shared" si="3"/>
        <v>1</v>
      </c>
      <c r="I47" s="5">
        <f t="shared" si="4"/>
        <v>1</v>
      </c>
    </row>
    <row r="48" spans="1:9">
      <c r="A48">
        <v>47</v>
      </c>
      <c r="B48">
        <v>7</v>
      </c>
      <c r="C48">
        <v>5000</v>
      </c>
      <c r="D48">
        <v>4344</v>
      </c>
      <c r="E48" s="5">
        <f t="shared" si="1"/>
        <v>656</v>
      </c>
      <c r="F48" s="5">
        <f t="shared" si="2"/>
        <v>430336</v>
      </c>
      <c r="G48" s="6">
        <f>SQRT(SUM($F$2:F48)/A48)</f>
        <v>923.3594307190848</v>
      </c>
      <c r="H48" s="5">
        <f t="shared" si="3"/>
        <v>1</v>
      </c>
      <c r="I48" s="5">
        <f t="shared" si="4"/>
        <v>0</v>
      </c>
    </row>
    <row r="49" spans="1:9">
      <c r="A49">
        <v>48</v>
      </c>
      <c r="B49">
        <v>8</v>
      </c>
      <c r="C49">
        <v>5000</v>
      </c>
      <c r="D49">
        <v>3796</v>
      </c>
      <c r="E49" s="5">
        <f t="shared" si="1"/>
        <v>1204</v>
      </c>
      <c r="F49" s="5">
        <f t="shared" si="2"/>
        <v>1449616</v>
      </c>
      <c r="G49" s="6">
        <f>SQRT(SUM($F$2:F49)/A49)</f>
        <v>930.07022584318872</v>
      </c>
      <c r="H49" s="5">
        <f t="shared" si="3"/>
        <v>0</v>
      </c>
      <c r="I49" s="5">
        <f t="shared" si="4"/>
        <v>0</v>
      </c>
    </row>
    <row r="50" spans="1:9">
      <c r="A50">
        <v>49</v>
      </c>
      <c r="B50">
        <v>9</v>
      </c>
      <c r="C50">
        <v>5000</v>
      </c>
      <c r="D50">
        <v>1158</v>
      </c>
      <c r="E50" s="5">
        <f t="shared" si="1"/>
        <v>3842</v>
      </c>
      <c r="F50" s="5">
        <f t="shared" si="2"/>
        <v>14760964</v>
      </c>
      <c r="G50" s="6">
        <f>SQRT(SUM($F$2:F50)/A50)</f>
        <v>1071.7374221519076</v>
      </c>
      <c r="H50" s="5">
        <f t="shared" si="3"/>
        <v>0</v>
      </c>
      <c r="I50" s="5">
        <f t="shared" si="4"/>
        <v>0</v>
      </c>
    </row>
    <row r="51" spans="1:9">
      <c r="A51">
        <v>50</v>
      </c>
      <c r="B51">
        <v>12</v>
      </c>
      <c r="C51">
        <v>5000</v>
      </c>
      <c r="D51">
        <v>3842</v>
      </c>
      <c r="E51" s="5">
        <f t="shared" si="1"/>
        <v>1158</v>
      </c>
      <c r="F51" s="5">
        <f t="shared" si="2"/>
        <v>1340964</v>
      </c>
      <c r="G51" s="6">
        <f>SQRT(SUM($F$2:F51)/A51)</f>
        <v>1073.5306050597719</v>
      </c>
      <c r="H51" s="5">
        <f t="shared" si="3"/>
        <v>0</v>
      </c>
      <c r="I51" s="5">
        <f t="shared" si="4"/>
        <v>0</v>
      </c>
    </row>
    <row r="52" spans="1:9">
      <c r="A52">
        <v>51</v>
      </c>
      <c r="B52">
        <v>10</v>
      </c>
      <c r="C52">
        <v>5000</v>
      </c>
      <c r="D52">
        <v>5797</v>
      </c>
      <c r="E52" s="5">
        <f t="shared" si="1"/>
        <v>797</v>
      </c>
      <c r="F52" s="5">
        <f t="shared" si="2"/>
        <v>635209</v>
      </c>
      <c r="G52" s="6">
        <f>SQRT(SUM($F$2:F52)/A52)</f>
        <v>1068.7963451710436</v>
      </c>
      <c r="H52" s="5">
        <f t="shared" si="3"/>
        <v>1</v>
      </c>
      <c r="I52" s="5">
        <f t="shared" si="4"/>
        <v>0</v>
      </c>
    </row>
    <row r="53" spans="1:9">
      <c r="A53">
        <v>52</v>
      </c>
      <c r="B53">
        <v>8</v>
      </c>
      <c r="C53">
        <v>5000</v>
      </c>
      <c r="D53">
        <v>5562</v>
      </c>
      <c r="E53" s="5">
        <f t="shared" si="1"/>
        <v>562</v>
      </c>
      <c r="F53" s="5">
        <f t="shared" si="2"/>
        <v>315844</v>
      </c>
      <c r="G53" s="6">
        <f>SQRT(SUM($F$2:F53)/A53)</f>
        <v>1061.334890597685</v>
      </c>
      <c r="H53" s="5">
        <f t="shared" si="3"/>
        <v>1</v>
      </c>
      <c r="I53" s="5">
        <f t="shared" si="4"/>
        <v>0</v>
      </c>
    </row>
    <row r="54" spans="1:9">
      <c r="A54">
        <v>53</v>
      </c>
      <c r="B54">
        <v>8</v>
      </c>
      <c r="C54">
        <v>5000</v>
      </c>
      <c r="D54">
        <v>4527</v>
      </c>
      <c r="E54" s="5">
        <f t="shared" si="1"/>
        <v>473</v>
      </c>
      <c r="F54" s="5">
        <f t="shared" si="2"/>
        <v>223729</v>
      </c>
      <c r="G54" s="6">
        <f>SQRT(SUM($F$2:F54)/A54)</f>
        <v>1053.2804102619157</v>
      </c>
      <c r="H54" s="5">
        <f t="shared" si="3"/>
        <v>1</v>
      </c>
      <c r="I54" s="5">
        <f t="shared" si="4"/>
        <v>1</v>
      </c>
    </row>
    <row r="55" spans="1:9">
      <c r="A55">
        <v>54</v>
      </c>
      <c r="B55">
        <v>9</v>
      </c>
      <c r="C55">
        <v>5000</v>
      </c>
      <c r="D55">
        <v>4721</v>
      </c>
      <c r="E55" s="5">
        <f t="shared" si="1"/>
        <v>279</v>
      </c>
      <c r="F55" s="5">
        <f t="shared" si="2"/>
        <v>77841</v>
      </c>
      <c r="G55" s="6">
        <f>SQRT(SUM($F$2:F55)/A55)</f>
        <v>1044.1727276582094</v>
      </c>
      <c r="H55" s="5">
        <f t="shared" si="3"/>
        <v>1</v>
      </c>
      <c r="I55" s="5">
        <f t="shared" si="4"/>
        <v>1</v>
      </c>
    </row>
    <row r="56" spans="1:9">
      <c r="A56">
        <v>55</v>
      </c>
      <c r="B56">
        <v>9</v>
      </c>
      <c r="C56">
        <v>5000</v>
      </c>
      <c r="D56">
        <v>5566</v>
      </c>
      <c r="E56" s="5">
        <f t="shared" si="1"/>
        <v>566</v>
      </c>
      <c r="F56" s="5">
        <f t="shared" si="2"/>
        <v>320356</v>
      </c>
      <c r="G56" s="6">
        <f>SQRT(SUM($F$2:F56)/A56)</f>
        <v>1037.4477160977144</v>
      </c>
      <c r="H56" s="5">
        <f t="shared" si="3"/>
        <v>1</v>
      </c>
      <c r="I56" s="5">
        <f t="shared" si="4"/>
        <v>0</v>
      </c>
    </row>
    <row r="57" spans="1:9">
      <c r="A57">
        <v>56</v>
      </c>
      <c r="B57">
        <v>8</v>
      </c>
      <c r="C57">
        <v>5000</v>
      </c>
      <c r="D57">
        <v>4479</v>
      </c>
      <c r="E57" s="5">
        <f t="shared" si="1"/>
        <v>521</v>
      </c>
      <c r="F57" s="5">
        <f t="shared" si="2"/>
        <v>271441</v>
      </c>
      <c r="G57" s="6">
        <f>SQRT(SUM($F$2:F57)/A57)</f>
        <v>1030.4976086476725</v>
      </c>
      <c r="H57" s="5">
        <f t="shared" si="3"/>
        <v>1</v>
      </c>
      <c r="I57" s="5">
        <f t="shared" si="4"/>
        <v>0</v>
      </c>
    </row>
    <row r="58" spans="1:9">
      <c r="A58">
        <v>57</v>
      </c>
      <c r="B58">
        <v>9</v>
      </c>
      <c r="C58">
        <v>5000</v>
      </c>
      <c r="D58">
        <v>5999</v>
      </c>
      <c r="E58" s="5">
        <f t="shared" si="1"/>
        <v>999</v>
      </c>
      <c r="F58" s="5">
        <f t="shared" si="2"/>
        <v>998001</v>
      </c>
      <c r="G58" s="6">
        <f>SQRT(SUM($F$2:F58)/A58)</f>
        <v>1029.95332035256</v>
      </c>
      <c r="H58" s="5">
        <f t="shared" si="3"/>
        <v>1</v>
      </c>
      <c r="I58" s="5">
        <f t="shared" si="4"/>
        <v>0</v>
      </c>
    </row>
    <row r="59" spans="1:9">
      <c r="A59">
        <v>58</v>
      </c>
      <c r="B59">
        <v>7</v>
      </c>
      <c r="C59">
        <v>5000</v>
      </c>
      <c r="D59">
        <v>4198</v>
      </c>
      <c r="E59" s="5">
        <f t="shared" si="1"/>
        <v>802</v>
      </c>
      <c r="F59" s="5">
        <f t="shared" si="2"/>
        <v>643204</v>
      </c>
      <c r="G59" s="6">
        <f>SQRT(SUM($F$2:F59)/A59)</f>
        <v>1026.4520665026625</v>
      </c>
      <c r="H59" s="5">
        <f t="shared" si="3"/>
        <v>1</v>
      </c>
      <c r="I59" s="5">
        <f t="shared" si="4"/>
        <v>0</v>
      </c>
    </row>
    <row r="60" spans="1:9">
      <c r="A60">
        <v>59</v>
      </c>
      <c r="B60">
        <v>9</v>
      </c>
      <c r="C60">
        <v>5000</v>
      </c>
      <c r="D60">
        <v>5673</v>
      </c>
      <c r="E60" s="5">
        <f t="shared" si="1"/>
        <v>673</v>
      </c>
      <c r="F60" s="5">
        <f t="shared" si="2"/>
        <v>452929</v>
      </c>
      <c r="G60" s="6">
        <f>SQRT(SUM($F$2:F60)/A60)</f>
        <v>1021.4807463942907</v>
      </c>
      <c r="H60" s="5">
        <f t="shared" si="3"/>
        <v>1</v>
      </c>
      <c r="I60" s="5">
        <f t="shared" si="4"/>
        <v>0</v>
      </c>
    </row>
    <row r="61" spans="1:9">
      <c r="A61">
        <v>60</v>
      </c>
      <c r="B61">
        <v>8</v>
      </c>
      <c r="C61">
        <v>5000</v>
      </c>
      <c r="D61">
        <v>4783</v>
      </c>
      <c r="E61" s="5">
        <f t="shared" si="1"/>
        <v>217</v>
      </c>
      <c r="F61" s="5">
        <f t="shared" si="2"/>
        <v>47089</v>
      </c>
      <c r="G61" s="6">
        <f>SQRT(SUM($F$2:F61)/A61)</f>
        <v>1013.3199642758451</v>
      </c>
      <c r="H61" s="5">
        <f t="shared" si="3"/>
        <v>1</v>
      </c>
      <c r="I61" s="5">
        <f t="shared" si="4"/>
        <v>1</v>
      </c>
    </row>
    <row r="62" spans="1:9">
      <c r="A62">
        <v>61</v>
      </c>
      <c r="B62">
        <v>9</v>
      </c>
      <c r="C62">
        <v>5000</v>
      </c>
      <c r="D62">
        <v>6069</v>
      </c>
      <c r="E62" s="5">
        <f t="shared" si="1"/>
        <v>1069</v>
      </c>
      <c r="F62" s="5">
        <f t="shared" si="2"/>
        <v>1142761</v>
      </c>
      <c r="G62" s="6">
        <f>SQRT(SUM($F$2:F62)/A62)</f>
        <v>1014.2573961148967</v>
      </c>
      <c r="H62" s="5">
        <f t="shared" si="3"/>
        <v>0</v>
      </c>
      <c r="I62" s="5">
        <f t="shared" si="4"/>
        <v>0</v>
      </c>
    </row>
    <row r="63" spans="1:9">
      <c r="A63">
        <v>62</v>
      </c>
      <c r="B63">
        <v>7</v>
      </c>
      <c r="C63">
        <v>5000</v>
      </c>
      <c r="D63">
        <v>5773</v>
      </c>
      <c r="E63" s="5">
        <f t="shared" si="1"/>
        <v>773</v>
      </c>
      <c r="F63" s="5">
        <f t="shared" si="2"/>
        <v>597529</v>
      </c>
      <c r="G63" s="6">
        <f>SQRT(SUM($F$2:F63)/A63)</f>
        <v>1010.8231315249005</v>
      </c>
      <c r="H63" s="5">
        <f t="shared" si="3"/>
        <v>1</v>
      </c>
      <c r="I63" s="5">
        <f t="shared" si="4"/>
        <v>0</v>
      </c>
    </row>
    <row r="64" spans="1:9">
      <c r="A64">
        <v>63</v>
      </c>
      <c r="B64">
        <v>7</v>
      </c>
      <c r="C64">
        <v>5000</v>
      </c>
      <c r="D64">
        <v>4896</v>
      </c>
      <c r="E64" s="5">
        <f t="shared" si="1"/>
        <v>104</v>
      </c>
      <c r="F64" s="5">
        <f t="shared" si="2"/>
        <v>10816</v>
      </c>
      <c r="G64" s="6">
        <f>SQRT(SUM($F$2:F64)/A64)</f>
        <v>1002.8542361916906</v>
      </c>
      <c r="H64" s="5">
        <f t="shared" si="3"/>
        <v>1</v>
      </c>
      <c r="I64" s="5">
        <f t="shared" si="4"/>
        <v>1</v>
      </c>
    </row>
    <row r="65" spans="1:9">
      <c r="A65">
        <v>64</v>
      </c>
      <c r="B65">
        <v>8</v>
      </c>
      <c r="C65">
        <v>5000</v>
      </c>
      <c r="D65">
        <v>5800</v>
      </c>
      <c r="E65" s="5">
        <f t="shared" si="1"/>
        <v>800</v>
      </c>
      <c r="F65" s="5">
        <f t="shared" si="2"/>
        <v>640000</v>
      </c>
      <c r="G65" s="6">
        <f>SQRT(SUM($F$2:F65)/A65)</f>
        <v>1000.0011484368406</v>
      </c>
      <c r="H65" s="5">
        <f t="shared" si="3"/>
        <v>1</v>
      </c>
      <c r="I65" s="5">
        <f t="shared" si="4"/>
        <v>0</v>
      </c>
    </row>
    <row r="66" spans="1:9">
      <c r="A66">
        <v>65</v>
      </c>
      <c r="B66">
        <v>7</v>
      </c>
      <c r="C66">
        <v>5000</v>
      </c>
      <c r="D66">
        <v>5119</v>
      </c>
      <c r="E66" s="5">
        <f t="shared" si="1"/>
        <v>119</v>
      </c>
      <c r="F66" s="5">
        <f t="shared" si="2"/>
        <v>14161</v>
      </c>
      <c r="G66" s="6">
        <f>SQRT(SUM($F$2:F66)/A66)</f>
        <v>992.38878857648717</v>
      </c>
      <c r="H66" s="5">
        <f t="shared" si="3"/>
        <v>1</v>
      </c>
      <c r="I66" s="5">
        <f t="shared" si="4"/>
        <v>1</v>
      </c>
    </row>
    <row r="67" spans="1:9">
      <c r="A67">
        <v>66</v>
      </c>
      <c r="B67">
        <v>8</v>
      </c>
      <c r="C67">
        <v>5000</v>
      </c>
      <c r="D67">
        <v>5540</v>
      </c>
      <c r="E67" s="5">
        <f t="shared" ref="E67:E130" si="5">ABS(C67-D67)</f>
        <v>540</v>
      </c>
      <c r="F67" s="5">
        <f t="shared" ref="F67:F130" si="6">POWER(E67,2)</f>
        <v>291600</v>
      </c>
      <c r="G67" s="6">
        <f>SQRT(SUM($F$2:F67)/A67)</f>
        <v>987.08253930152136</v>
      </c>
      <c r="H67" s="5">
        <f t="shared" ref="H67:H130" si="7">IF(ABS(E67)/C67&gt;0.2,0,1)</f>
        <v>1</v>
      </c>
      <c r="I67" s="5">
        <f t="shared" ref="I67:I130" si="8">IF(ABS(E67)/C67&gt;0.1,0,1)</f>
        <v>0</v>
      </c>
    </row>
    <row r="68" spans="1:9">
      <c r="A68">
        <v>67</v>
      </c>
      <c r="B68">
        <v>7</v>
      </c>
      <c r="C68">
        <v>5000</v>
      </c>
      <c r="D68">
        <v>4703</v>
      </c>
      <c r="E68" s="5">
        <f t="shared" si="5"/>
        <v>297</v>
      </c>
      <c r="F68" s="5">
        <f t="shared" si="6"/>
        <v>88209</v>
      </c>
      <c r="G68" s="6">
        <f>SQRT(SUM($F$2:F68)/A68)</f>
        <v>980.36025209134073</v>
      </c>
      <c r="H68" s="5">
        <f t="shared" si="7"/>
        <v>1</v>
      </c>
      <c r="I68" s="5">
        <f t="shared" si="8"/>
        <v>1</v>
      </c>
    </row>
    <row r="69" spans="1:9">
      <c r="A69">
        <v>68</v>
      </c>
      <c r="B69">
        <v>8</v>
      </c>
      <c r="C69">
        <v>5000</v>
      </c>
      <c r="D69">
        <v>5691</v>
      </c>
      <c r="E69" s="5">
        <f t="shared" si="5"/>
        <v>691</v>
      </c>
      <c r="F69" s="5">
        <f t="shared" si="6"/>
        <v>477481</v>
      </c>
      <c r="G69" s="6">
        <f>SQRT(SUM($F$2:F69)/A69)</f>
        <v>976.7262094544684</v>
      </c>
      <c r="H69" s="5">
        <f t="shared" si="7"/>
        <v>1</v>
      </c>
      <c r="I69" s="5">
        <f t="shared" si="8"/>
        <v>0</v>
      </c>
    </row>
    <row r="70" spans="1:9">
      <c r="A70">
        <v>69</v>
      </c>
      <c r="B70">
        <v>7</v>
      </c>
      <c r="C70">
        <v>5000</v>
      </c>
      <c r="D70">
        <v>5066</v>
      </c>
      <c r="E70" s="5">
        <f t="shared" si="5"/>
        <v>66</v>
      </c>
      <c r="F70" s="5">
        <f t="shared" si="6"/>
        <v>4356</v>
      </c>
      <c r="G70" s="6">
        <f>SQRT(SUM($F$2:F70)/A70)</f>
        <v>969.6552054164946</v>
      </c>
      <c r="H70" s="5">
        <f t="shared" si="7"/>
        <v>1</v>
      </c>
      <c r="I70" s="5">
        <f t="shared" si="8"/>
        <v>1</v>
      </c>
    </row>
    <row r="71" spans="1:9">
      <c r="A71">
        <v>70</v>
      </c>
      <c r="B71">
        <v>7</v>
      </c>
      <c r="C71">
        <v>5000</v>
      </c>
      <c r="D71">
        <v>5059</v>
      </c>
      <c r="E71" s="5">
        <f t="shared" si="5"/>
        <v>59</v>
      </c>
      <c r="F71" s="5">
        <f t="shared" si="6"/>
        <v>3481</v>
      </c>
      <c r="G71" s="6">
        <f>SQRT(SUM($F$2:F71)/A71)</f>
        <v>962.73000962293236</v>
      </c>
      <c r="H71" s="5">
        <f t="shared" si="7"/>
        <v>1</v>
      </c>
      <c r="I71" s="5">
        <f t="shared" si="8"/>
        <v>1</v>
      </c>
    </row>
    <row r="72" spans="1:9">
      <c r="A72">
        <v>71</v>
      </c>
      <c r="B72">
        <v>7</v>
      </c>
      <c r="C72">
        <v>5000</v>
      </c>
      <c r="D72">
        <v>4601</v>
      </c>
      <c r="E72" s="5">
        <f t="shared" si="5"/>
        <v>399</v>
      </c>
      <c r="F72" s="5">
        <f t="shared" si="6"/>
        <v>159201</v>
      </c>
      <c r="G72" s="6">
        <f>SQRT(SUM($F$2:F72)/A72)</f>
        <v>957.09828479658415</v>
      </c>
      <c r="H72" s="5">
        <f t="shared" si="7"/>
        <v>1</v>
      </c>
      <c r="I72" s="5">
        <f t="shared" si="8"/>
        <v>1</v>
      </c>
    </row>
    <row r="73" spans="1:9">
      <c r="A73">
        <v>72</v>
      </c>
      <c r="B73">
        <v>8</v>
      </c>
      <c r="C73">
        <v>5000</v>
      </c>
      <c r="D73">
        <v>5008</v>
      </c>
      <c r="E73" s="5">
        <f t="shared" si="5"/>
        <v>8</v>
      </c>
      <c r="F73" s="5">
        <f t="shared" si="6"/>
        <v>64</v>
      </c>
      <c r="G73" s="6">
        <f>SQRT(SUM($F$2:F73)/A73)</f>
        <v>950.42899670505517</v>
      </c>
      <c r="H73" s="5">
        <f t="shared" si="7"/>
        <v>1</v>
      </c>
      <c r="I73" s="5">
        <f t="shared" si="8"/>
        <v>1</v>
      </c>
    </row>
    <row r="74" spans="1:9">
      <c r="A74">
        <v>73</v>
      </c>
      <c r="B74">
        <v>7</v>
      </c>
      <c r="C74">
        <v>5000</v>
      </c>
      <c r="D74">
        <v>5269</v>
      </c>
      <c r="E74" s="5">
        <f t="shared" si="5"/>
        <v>269</v>
      </c>
      <c r="F74" s="5">
        <f t="shared" si="6"/>
        <v>72361</v>
      </c>
      <c r="G74" s="6">
        <f>SQRT(SUM($F$2:F74)/A74)</f>
        <v>944.42169737133497</v>
      </c>
      <c r="H74" s="5">
        <f t="shared" si="7"/>
        <v>1</v>
      </c>
      <c r="I74" s="5">
        <f t="shared" si="8"/>
        <v>1</v>
      </c>
    </row>
    <row r="75" spans="1:9">
      <c r="A75">
        <v>74</v>
      </c>
      <c r="B75">
        <v>7</v>
      </c>
      <c r="C75">
        <v>5000</v>
      </c>
      <c r="D75">
        <v>4817</v>
      </c>
      <c r="E75" s="5">
        <f t="shared" si="5"/>
        <v>183</v>
      </c>
      <c r="F75" s="5">
        <f t="shared" si="6"/>
        <v>33489</v>
      </c>
      <c r="G75" s="6">
        <f>SQRT(SUM($F$2:F75)/A75)</f>
        <v>938.2599622475409</v>
      </c>
      <c r="H75" s="5">
        <f t="shared" si="7"/>
        <v>1</v>
      </c>
      <c r="I75" s="5">
        <f t="shared" si="8"/>
        <v>1</v>
      </c>
    </row>
    <row r="76" spans="1:9">
      <c r="A76">
        <v>75</v>
      </c>
      <c r="B76">
        <v>8</v>
      </c>
      <c r="C76">
        <v>5000</v>
      </c>
      <c r="D76">
        <v>5136</v>
      </c>
      <c r="E76" s="5">
        <f t="shared" si="5"/>
        <v>136</v>
      </c>
      <c r="F76" s="5">
        <f t="shared" si="6"/>
        <v>18496</v>
      </c>
      <c r="G76" s="6">
        <f>SQRT(SUM($F$2:F76)/A76)</f>
        <v>932.11620162581301</v>
      </c>
      <c r="H76" s="5">
        <f t="shared" si="7"/>
        <v>1</v>
      </c>
      <c r="I76" s="5">
        <f t="shared" si="8"/>
        <v>1</v>
      </c>
    </row>
    <row r="77" spans="1:9">
      <c r="A77">
        <v>76</v>
      </c>
      <c r="B77">
        <v>7</v>
      </c>
      <c r="C77">
        <v>5000</v>
      </c>
      <c r="D77">
        <v>4176</v>
      </c>
      <c r="E77" s="5">
        <f t="shared" si="5"/>
        <v>824</v>
      </c>
      <c r="F77" s="5">
        <f t="shared" si="6"/>
        <v>678976</v>
      </c>
      <c r="G77" s="6">
        <f>SQRT(SUM($F$2:F77)/A77)</f>
        <v>930.77515799297203</v>
      </c>
      <c r="H77" s="5">
        <f t="shared" si="7"/>
        <v>1</v>
      </c>
      <c r="I77" s="5">
        <f t="shared" si="8"/>
        <v>0</v>
      </c>
    </row>
    <row r="78" spans="1:9">
      <c r="A78">
        <v>77</v>
      </c>
      <c r="B78">
        <v>8</v>
      </c>
      <c r="C78">
        <v>5000</v>
      </c>
      <c r="D78">
        <v>5112</v>
      </c>
      <c r="E78" s="5">
        <f t="shared" si="5"/>
        <v>112</v>
      </c>
      <c r="F78" s="5">
        <f t="shared" si="6"/>
        <v>12544</v>
      </c>
      <c r="G78" s="6">
        <f>SQRT(SUM($F$2:F78)/A78)</f>
        <v>924.79949388832597</v>
      </c>
      <c r="H78" s="5">
        <f t="shared" si="7"/>
        <v>1</v>
      </c>
      <c r="I78" s="5">
        <f t="shared" si="8"/>
        <v>1</v>
      </c>
    </row>
    <row r="79" spans="1:9">
      <c r="A79">
        <v>78</v>
      </c>
      <c r="B79">
        <v>7</v>
      </c>
      <c r="C79">
        <v>5000</v>
      </c>
      <c r="D79">
        <v>4352</v>
      </c>
      <c r="E79" s="5">
        <f t="shared" si="5"/>
        <v>648</v>
      </c>
      <c r="F79" s="5">
        <f t="shared" si="6"/>
        <v>419904</v>
      </c>
      <c r="G79" s="6">
        <f>SQRT(SUM($F$2:F79)/A79)</f>
        <v>921.77692111903752</v>
      </c>
      <c r="H79" s="5">
        <f t="shared" si="7"/>
        <v>1</v>
      </c>
      <c r="I79" s="5">
        <f t="shared" si="8"/>
        <v>0</v>
      </c>
    </row>
    <row r="80" spans="1:9">
      <c r="A80">
        <v>79</v>
      </c>
      <c r="B80">
        <v>8</v>
      </c>
      <c r="C80">
        <v>5000</v>
      </c>
      <c r="D80">
        <v>5792</v>
      </c>
      <c r="E80" s="5">
        <f t="shared" si="5"/>
        <v>792</v>
      </c>
      <c r="F80" s="5">
        <f t="shared" si="6"/>
        <v>627264</v>
      </c>
      <c r="G80" s="6">
        <f>SQRT(SUM($F$2:F80)/A80)</f>
        <v>920.24854925452792</v>
      </c>
      <c r="H80" s="5">
        <f t="shared" si="7"/>
        <v>1</v>
      </c>
      <c r="I80" s="5">
        <f t="shared" si="8"/>
        <v>0</v>
      </c>
    </row>
    <row r="81" spans="1:9">
      <c r="A81">
        <v>80</v>
      </c>
      <c r="B81">
        <v>7</v>
      </c>
      <c r="C81">
        <v>5000</v>
      </c>
      <c r="D81">
        <v>4941</v>
      </c>
      <c r="E81" s="5">
        <f t="shared" si="5"/>
        <v>59</v>
      </c>
      <c r="F81" s="5">
        <f t="shared" si="6"/>
        <v>3481</v>
      </c>
      <c r="G81" s="6">
        <f>SQRT(SUM($F$2:F81)/A81)</f>
        <v>914.50269955861802</v>
      </c>
      <c r="H81" s="5">
        <f t="shared" si="7"/>
        <v>1</v>
      </c>
      <c r="I81" s="5">
        <f t="shared" si="8"/>
        <v>1</v>
      </c>
    </row>
    <row r="82" spans="1:9">
      <c r="A82">
        <v>81</v>
      </c>
      <c r="B82">
        <v>8</v>
      </c>
      <c r="C82">
        <v>5000</v>
      </c>
      <c r="D82">
        <v>5525</v>
      </c>
      <c r="E82" s="5">
        <f t="shared" si="5"/>
        <v>525</v>
      </c>
      <c r="F82" s="5">
        <f t="shared" si="6"/>
        <v>275625</v>
      </c>
      <c r="G82" s="6">
        <f>SQRT(SUM($F$2:F82)/A82)</f>
        <v>910.71020990200452</v>
      </c>
      <c r="H82" s="5">
        <f t="shared" si="7"/>
        <v>1</v>
      </c>
      <c r="I82" s="5">
        <f t="shared" si="8"/>
        <v>0</v>
      </c>
    </row>
    <row r="83" spans="1:9">
      <c r="A83">
        <v>82</v>
      </c>
      <c r="B83">
        <v>7</v>
      </c>
      <c r="C83">
        <v>5000</v>
      </c>
      <c r="D83">
        <v>4732</v>
      </c>
      <c r="E83" s="5">
        <f t="shared" si="5"/>
        <v>268</v>
      </c>
      <c r="F83" s="5">
        <f t="shared" si="6"/>
        <v>71824</v>
      </c>
      <c r="G83" s="6">
        <f>SQRT(SUM($F$2:F83)/A83)</f>
        <v>905.62378448469985</v>
      </c>
      <c r="H83" s="5">
        <f t="shared" si="7"/>
        <v>1</v>
      </c>
      <c r="I83" s="5">
        <f t="shared" si="8"/>
        <v>1</v>
      </c>
    </row>
    <row r="84" spans="1:9">
      <c r="A84">
        <v>83</v>
      </c>
      <c r="B84">
        <v>8</v>
      </c>
      <c r="C84">
        <v>5000</v>
      </c>
      <c r="D84">
        <v>5165</v>
      </c>
      <c r="E84" s="5">
        <f t="shared" si="5"/>
        <v>165</v>
      </c>
      <c r="F84" s="5">
        <f t="shared" si="6"/>
        <v>27225</v>
      </c>
      <c r="G84" s="6">
        <f>SQRT(SUM($F$2:F84)/A84)</f>
        <v>900.33386712327808</v>
      </c>
      <c r="H84" s="5">
        <f t="shared" si="7"/>
        <v>1</v>
      </c>
      <c r="I84" s="5">
        <f t="shared" si="8"/>
        <v>1</v>
      </c>
    </row>
    <row r="85" spans="1:9">
      <c r="A85">
        <v>84</v>
      </c>
      <c r="B85">
        <v>7</v>
      </c>
      <c r="C85">
        <v>5000</v>
      </c>
      <c r="D85">
        <v>5174</v>
      </c>
      <c r="E85" s="5">
        <f t="shared" si="5"/>
        <v>174</v>
      </c>
      <c r="F85" s="5">
        <f t="shared" si="6"/>
        <v>30276</v>
      </c>
      <c r="G85" s="6">
        <f>SQRT(SUM($F$2:F85)/A85)</f>
        <v>895.16003490729975</v>
      </c>
      <c r="H85" s="5">
        <f t="shared" si="7"/>
        <v>1</v>
      </c>
      <c r="I85" s="5">
        <f t="shared" si="8"/>
        <v>1</v>
      </c>
    </row>
    <row r="86" spans="1:9">
      <c r="A86">
        <v>85</v>
      </c>
      <c r="B86">
        <v>7</v>
      </c>
      <c r="C86">
        <v>5000</v>
      </c>
      <c r="D86">
        <v>4839</v>
      </c>
      <c r="E86" s="5">
        <f t="shared" si="5"/>
        <v>161</v>
      </c>
      <c r="F86" s="5">
        <f t="shared" si="6"/>
        <v>25921</v>
      </c>
      <c r="G86" s="6">
        <f>SQRT(SUM($F$2:F86)/A86)</f>
        <v>890.05013738486855</v>
      </c>
      <c r="H86" s="5">
        <f t="shared" si="7"/>
        <v>1</v>
      </c>
      <c r="I86" s="5">
        <f t="shared" si="8"/>
        <v>1</v>
      </c>
    </row>
    <row r="87" spans="1:9">
      <c r="A87">
        <v>86</v>
      </c>
      <c r="B87">
        <v>8</v>
      </c>
      <c r="C87">
        <v>5000</v>
      </c>
      <c r="D87">
        <v>5479</v>
      </c>
      <c r="E87" s="5">
        <f t="shared" si="5"/>
        <v>479</v>
      </c>
      <c r="F87" s="5">
        <f t="shared" si="6"/>
        <v>229441</v>
      </c>
      <c r="G87" s="6">
        <f>SQRT(SUM($F$2:F87)/A87)</f>
        <v>886.36655103331691</v>
      </c>
      <c r="H87" s="5">
        <f t="shared" si="7"/>
        <v>1</v>
      </c>
      <c r="I87" s="5">
        <f t="shared" si="8"/>
        <v>1</v>
      </c>
    </row>
    <row r="88" spans="1:9">
      <c r="A88">
        <v>87</v>
      </c>
      <c r="B88">
        <v>7</v>
      </c>
      <c r="C88">
        <v>5000</v>
      </c>
      <c r="D88">
        <v>5210</v>
      </c>
      <c r="E88" s="5">
        <f t="shared" si="5"/>
        <v>210</v>
      </c>
      <c r="F88" s="5">
        <f t="shared" si="6"/>
        <v>44100</v>
      </c>
      <c r="G88" s="6">
        <f>SQRT(SUM($F$2:F88)/A88)</f>
        <v>881.54531898552295</v>
      </c>
      <c r="H88" s="5">
        <f t="shared" si="7"/>
        <v>1</v>
      </c>
      <c r="I88" s="5">
        <f t="shared" si="8"/>
        <v>1</v>
      </c>
    </row>
    <row r="89" spans="1:9">
      <c r="A89">
        <v>88</v>
      </c>
      <c r="B89">
        <v>7</v>
      </c>
      <c r="C89">
        <v>5000</v>
      </c>
      <c r="D89">
        <v>4637</v>
      </c>
      <c r="E89" s="5">
        <f t="shared" si="5"/>
        <v>363</v>
      </c>
      <c r="F89" s="5">
        <f t="shared" si="6"/>
        <v>131769</v>
      </c>
      <c r="G89" s="6">
        <f>SQRT(SUM($F$2:F89)/A89)</f>
        <v>877.37596896033745</v>
      </c>
      <c r="H89" s="5">
        <f t="shared" si="7"/>
        <v>1</v>
      </c>
      <c r="I89" s="5">
        <f t="shared" si="8"/>
        <v>1</v>
      </c>
    </row>
    <row r="90" spans="1:9">
      <c r="A90">
        <v>89</v>
      </c>
      <c r="B90">
        <v>8</v>
      </c>
      <c r="C90">
        <v>5000</v>
      </c>
      <c r="D90">
        <v>5147</v>
      </c>
      <c r="E90" s="5">
        <f t="shared" si="5"/>
        <v>147</v>
      </c>
      <c r="F90" s="5">
        <f t="shared" si="6"/>
        <v>21609</v>
      </c>
      <c r="G90" s="6">
        <f>SQRT(SUM($F$2:F90)/A90)</f>
        <v>872.57210513039286</v>
      </c>
      <c r="H90" s="5">
        <f t="shared" si="7"/>
        <v>1</v>
      </c>
      <c r="I90" s="5">
        <f t="shared" si="8"/>
        <v>1</v>
      </c>
    </row>
    <row r="91" spans="1:9">
      <c r="A91">
        <v>90</v>
      </c>
      <c r="B91">
        <v>7</v>
      </c>
      <c r="C91">
        <v>5000</v>
      </c>
      <c r="D91">
        <v>5119</v>
      </c>
      <c r="E91" s="5">
        <f t="shared" si="5"/>
        <v>119</v>
      </c>
      <c r="F91" s="5">
        <f t="shared" si="6"/>
        <v>14161</v>
      </c>
      <c r="G91" s="6">
        <f>SQRT(SUM($F$2:F91)/A91)</f>
        <v>867.80160303045204</v>
      </c>
      <c r="H91" s="5">
        <f t="shared" si="7"/>
        <v>1</v>
      </c>
      <c r="I91" s="5">
        <f t="shared" si="8"/>
        <v>1</v>
      </c>
    </row>
    <row r="92" spans="1:9">
      <c r="A92">
        <v>91</v>
      </c>
      <c r="B92">
        <v>7</v>
      </c>
      <c r="C92">
        <v>5000</v>
      </c>
      <c r="D92">
        <v>5540</v>
      </c>
      <c r="E92" s="5">
        <f t="shared" si="5"/>
        <v>540</v>
      </c>
      <c r="F92" s="5">
        <f t="shared" si="6"/>
        <v>291600</v>
      </c>
      <c r="G92" s="6">
        <f>SQRT(SUM($F$2:F92)/A92)</f>
        <v>864.87479879021657</v>
      </c>
      <c r="H92" s="5">
        <f t="shared" si="7"/>
        <v>1</v>
      </c>
      <c r="I92" s="5">
        <f t="shared" si="8"/>
        <v>0</v>
      </c>
    </row>
    <row r="93" spans="1:9">
      <c r="A93">
        <v>92</v>
      </c>
      <c r="B93">
        <v>7</v>
      </c>
      <c r="C93">
        <v>5000</v>
      </c>
      <c r="D93">
        <v>5229</v>
      </c>
      <c r="E93" s="5">
        <f t="shared" si="5"/>
        <v>229</v>
      </c>
      <c r="F93" s="5">
        <f t="shared" si="6"/>
        <v>52441</v>
      </c>
      <c r="G93" s="6">
        <f>SQRT(SUM($F$2:F93)/A93)</f>
        <v>860.49282517282677</v>
      </c>
      <c r="H93" s="5">
        <f t="shared" si="7"/>
        <v>1</v>
      </c>
      <c r="I93" s="5">
        <f t="shared" si="8"/>
        <v>1</v>
      </c>
    </row>
    <row r="94" spans="1:9">
      <c r="A94">
        <v>93</v>
      </c>
      <c r="B94">
        <v>7</v>
      </c>
      <c r="C94">
        <v>5000</v>
      </c>
      <c r="D94">
        <v>4891</v>
      </c>
      <c r="E94" s="5">
        <f t="shared" si="5"/>
        <v>109</v>
      </c>
      <c r="F94" s="5">
        <f t="shared" si="6"/>
        <v>11881</v>
      </c>
      <c r="G94" s="6">
        <f>SQRT(SUM($F$2:F94)/A94)</f>
        <v>855.92864741306892</v>
      </c>
      <c r="H94" s="5">
        <f t="shared" si="7"/>
        <v>1</v>
      </c>
      <c r="I94" s="5">
        <f t="shared" si="8"/>
        <v>1</v>
      </c>
    </row>
    <row r="95" spans="1:9">
      <c r="A95">
        <v>94</v>
      </c>
      <c r="B95">
        <v>7</v>
      </c>
      <c r="C95">
        <v>5000</v>
      </c>
      <c r="D95">
        <v>4849</v>
      </c>
      <c r="E95" s="5">
        <f t="shared" si="5"/>
        <v>151</v>
      </c>
      <c r="F95" s="5">
        <f t="shared" si="6"/>
        <v>22801</v>
      </c>
      <c r="G95" s="6">
        <f>SQRT(SUM($F$2:F95)/A95)</f>
        <v>851.50610622365491</v>
      </c>
      <c r="H95" s="5">
        <f t="shared" si="7"/>
        <v>1</v>
      </c>
      <c r="I95" s="5">
        <f t="shared" si="8"/>
        <v>1</v>
      </c>
    </row>
    <row r="96" spans="1:9">
      <c r="A96">
        <v>95</v>
      </c>
      <c r="B96">
        <v>7</v>
      </c>
      <c r="C96">
        <v>5000</v>
      </c>
      <c r="D96">
        <v>5181</v>
      </c>
      <c r="E96" s="5">
        <f t="shared" si="5"/>
        <v>181</v>
      </c>
      <c r="F96" s="5">
        <f t="shared" si="6"/>
        <v>32761</v>
      </c>
      <c r="G96" s="6">
        <f>SQRT(SUM($F$2:F96)/A96)</f>
        <v>847.21618442868214</v>
      </c>
      <c r="H96" s="5">
        <f t="shared" si="7"/>
        <v>1</v>
      </c>
      <c r="I96" s="5">
        <f t="shared" si="8"/>
        <v>1</v>
      </c>
    </row>
    <row r="97" spans="1:9">
      <c r="A97">
        <v>96</v>
      </c>
      <c r="B97">
        <v>7</v>
      </c>
      <c r="C97">
        <v>5000</v>
      </c>
      <c r="D97">
        <v>5153</v>
      </c>
      <c r="E97" s="5">
        <f t="shared" si="5"/>
        <v>153</v>
      </c>
      <c r="F97" s="5">
        <f t="shared" si="6"/>
        <v>23409</v>
      </c>
      <c r="G97" s="6">
        <f>SQRT(SUM($F$2:F97)/A97)</f>
        <v>842.9367006187357</v>
      </c>
      <c r="H97" s="5">
        <f t="shared" si="7"/>
        <v>1</v>
      </c>
      <c r="I97" s="5">
        <f t="shared" si="8"/>
        <v>1</v>
      </c>
    </row>
    <row r="98" spans="1:9">
      <c r="A98">
        <v>97</v>
      </c>
      <c r="B98">
        <v>7</v>
      </c>
      <c r="C98">
        <v>5000</v>
      </c>
      <c r="D98">
        <v>5195</v>
      </c>
      <c r="E98" s="5">
        <f t="shared" si="5"/>
        <v>195</v>
      </c>
      <c r="F98" s="5">
        <f t="shared" si="6"/>
        <v>38025</v>
      </c>
      <c r="G98" s="6">
        <f>SQRT(SUM($F$2:F98)/A98)</f>
        <v>838.81411135129451</v>
      </c>
      <c r="H98" s="5">
        <f t="shared" si="7"/>
        <v>1</v>
      </c>
      <c r="I98" s="5">
        <f t="shared" si="8"/>
        <v>1</v>
      </c>
    </row>
    <row r="99" spans="1:9">
      <c r="A99">
        <v>98</v>
      </c>
      <c r="B99">
        <v>7</v>
      </c>
      <c r="C99">
        <v>5000</v>
      </c>
      <c r="D99">
        <v>4782</v>
      </c>
      <c r="E99" s="5">
        <f t="shared" si="5"/>
        <v>218</v>
      </c>
      <c r="F99" s="5">
        <f t="shared" si="6"/>
        <v>47524</v>
      </c>
      <c r="G99" s="6">
        <f>SQRT(SUM($F$2:F99)/A99)</f>
        <v>834.81397170084472</v>
      </c>
      <c r="H99" s="5">
        <f t="shared" si="7"/>
        <v>1</v>
      </c>
      <c r="I99" s="5">
        <f t="shared" si="8"/>
        <v>1</v>
      </c>
    </row>
    <row r="100" spans="1:9">
      <c r="A100">
        <v>99</v>
      </c>
      <c r="B100">
        <v>7</v>
      </c>
      <c r="C100">
        <v>5000</v>
      </c>
      <c r="D100">
        <v>5049</v>
      </c>
      <c r="E100" s="5">
        <f t="shared" si="5"/>
        <v>49</v>
      </c>
      <c r="F100" s="5">
        <f t="shared" si="6"/>
        <v>2401</v>
      </c>
      <c r="G100" s="6">
        <f>SQRT(SUM($F$2:F100)/A100)</f>
        <v>830.60163785540465</v>
      </c>
      <c r="H100" s="5">
        <f t="shared" si="7"/>
        <v>1</v>
      </c>
      <c r="I100" s="5">
        <f t="shared" si="8"/>
        <v>1</v>
      </c>
    </row>
    <row r="101" spans="1:9">
      <c r="A101">
        <v>100</v>
      </c>
      <c r="B101">
        <v>7</v>
      </c>
      <c r="C101">
        <v>5000</v>
      </c>
      <c r="D101">
        <v>5056</v>
      </c>
      <c r="E101" s="5">
        <f t="shared" si="5"/>
        <v>56</v>
      </c>
      <c r="F101" s="5">
        <f t="shared" si="6"/>
        <v>3136</v>
      </c>
      <c r="G101" s="6">
        <f>SQRT(SUM($F$2:F101)/A101)</f>
        <v>826.4571676741632</v>
      </c>
      <c r="H101" s="5">
        <f t="shared" si="7"/>
        <v>1</v>
      </c>
      <c r="I101" s="5">
        <f t="shared" si="8"/>
        <v>1</v>
      </c>
    </row>
    <row r="102" spans="1:9">
      <c r="A102">
        <v>101</v>
      </c>
      <c r="B102">
        <v>7</v>
      </c>
      <c r="C102">
        <v>6000</v>
      </c>
      <c r="D102">
        <v>4651</v>
      </c>
      <c r="E102" s="5">
        <f t="shared" si="5"/>
        <v>1349</v>
      </c>
      <c r="F102" s="5">
        <f t="shared" si="6"/>
        <v>1819801</v>
      </c>
      <c r="G102" s="6">
        <f>SQRT(SUM($F$2:F102)/A102)</f>
        <v>833.23861771968177</v>
      </c>
      <c r="H102" s="5">
        <f t="shared" si="7"/>
        <v>0</v>
      </c>
      <c r="I102" s="5">
        <f t="shared" si="8"/>
        <v>0</v>
      </c>
    </row>
    <row r="103" spans="1:9">
      <c r="A103">
        <v>102</v>
      </c>
      <c r="B103">
        <v>9</v>
      </c>
      <c r="C103">
        <v>6000</v>
      </c>
      <c r="D103">
        <v>6179</v>
      </c>
      <c r="E103" s="5">
        <f t="shared" si="5"/>
        <v>179</v>
      </c>
      <c r="F103" s="5">
        <f t="shared" si="6"/>
        <v>32041</v>
      </c>
      <c r="G103" s="6">
        <f>SQRT(SUM($F$2:F103)/A103)</f>
        <v>829.33346139901914</v>
      </c>
      <c r="H103" s="5">
        <f t="shared" si="7"/>
        <v>1</v>
      </c>
      <c r="I103" s="5">
        <f t="shared" si="8"/>
        <v>1</v>
      </c>
    </row>
    <row r="104" spans="1:9">
      <c r="A104">
        <v>103</v>
      </c>
      <c r="B104">
        <v>7</v>
      </c>
      <c r="C104">
        <v>6000</v>
      </c>
      <c r="D104">
        <v>5132</v>
      </c>
      <c r="E104" s="5">
        <f t="shared" si="5"/>
        <v>868</v>
      </c>
      <c r="F104" s="5">
        <f t="shared" si="6"/>
        <v>753424</v>
      </c>
      <c r="G104" s="6">
        <f>SQRT(SUM($F$2:F104)/A104)</f>
        <v>829.71752708815404</v>
      </c>
      <c r="H104" s="5">
        <f t="shared" si="7"/>
        <v>1</v>
      </c>
      <c r="I104" s="5">
        <f t="shared" si="8"/>
        <v>0</v>
      </c>
    </row>
    <row r="105" spans="1:9">
      <c r="A105">
        <v>104</v>
      </c>
      <c r="B105">
        <v>8</v>
      </c>
      <c r="C105">
        <v>6000</v>
      </c>
      <c r="D105">
        <v>5562</v>
      </c>
      <c r="E105" s="5">
        <f t="shared" si="5"/>
        <v>438</v>
      </c>
      <c r="F105" s="5">
        <f t="shared" si="6"/>
        <v>191844</v>
      </c>
      <c r="G105" s="6">
        <f>SQRT(SUM($F$2:F105)/A105)</f>
        <v>826.83510936396692</v>
      </c>
      <c r="H105" s="5">
        <f t="shared" si="7"/>
        <v>1</v>
      </c>
      <c r="I105" s="5">
        <f t="shared" si="8"/>
        <v>1</v>
      </c>
    </row>
    <row r="106" spans="1:9">
      <c r="A106">
        <v>105</v>
      </c>
      <c r="B106">
        <v>8</v>
      </c>
      <c r="C106">
        <v>6000</v>
      </c>
      <c r="D106">
        <v>5315</v>
      </c>
      <c r="E106" s="5">
        <f t="shared" si="5"/>
        <v>685</v>
      </c>
      <c r="F106" s="5">
        <f t="shared" si="6"/>
        <v>469225</v>
      </c>
      <c r="G106" s="6">
        <f>SQRT(SUM($F$2:F106)/A106)</f>
        <v>825.59923403434379</v>
      </c>
      <c r="H106" s="5">
        <f t="shared" si="7"/>
        <v>1</v>
      </c>
      <c r="I106" s="5">
        <f t="shared" si="8"/>
        <v>0</v>
      </c>
    </row>
    <row r="107" spans="1:9">
      <c r="A107">
        <v>106</v>
      </c>
      <c r="B107">
        <v>9</v>
      </c>
      <c r="C107">
        <v>6000</v>
      </c>
      <c r="D107">
        <v>6109</v>
      </c>
      <c r="E107" s="5">
        <f t="shared" si="5"/>
        <v>109</v>
      </c>
      <c r="F107" s="5">
        <f t="shared" si="6"/>
        <v>11881</v>
      </c>
      <c r="G107" s="6">
        <f>SQRT(SUM($F$2:F107)/A107)</f>
        <v>821.76387027574174</v>
      </c>
      <c r="H107" s="5">
        <f t="shared" si="7"/>
        <v>1</v>
      </c>
      <c r="I107" s="5">
        <f t="shared" si="8"/>
        <v>1</v>
      </c>
    </row>
    <row r="108" spans="1:9">
      <c r="A108">
        <v>107</v>
      </c>
      <c r="B108">
        <v>8</v>
      </c>
      <c r="C108">
        <v>6000</v>
      </c>
      <c r="D108">
        <v>4694</v>
      </c>
      <c r="E108" s="5">
        <f t="shared" si="5"/>
        <v>1306</v>
      </c>
      <c r="F108" s="5">
        <f t="shared" si="6"/>
        <v>1705636</v>
      </c>
      <c r="G108" s="6">
        <f>SQRT(SUM($F$2:F108)/A108)</f>
        <v>827.60208168387101</v>
      </c>
      <c r="H108" s="5">
        <f t="shared" si="7"/>
        <v>0</v>
      </c>
      <c r="I108" s="5">
        <f t="shared" si="8"/>
        <v>0</v>
      </c>
    </row>
    <row r="109" spans="1:9">
      <c r="A109">
        <v>108</v>
      </c>
      <c r="B109">
        <v>10</v>
      </c>
      <c r="C109">
        <v>6000</v>
      </c>
      <c r="D109">
        <v>5642</v>
      </c>
      <c r="E109" s="5">
        <f t="shared" si="5"/>
        <v>358</v>
      </c>
      <c r="F109" s="5">
        <f t="shared" si="6"/>
        <v>128164</v>
      </c>
      <c r="G109" s="6">
        <f>SQRT(SUM($F$2:F109)/A109)</f>
        <v>824.48166095993861</v>
      </c>
      <c r="H109" s="5">
        <f t="shared" si="7"/>
        <v>1</v>
      </c>
      <c r="I109" s="5">
        <f t="shared" si="8"/>
        <v>1</v>
      </c>
    </row>
    <row r="110" spans="1:9">
      <c r="A110">
        <v>109</v>
      </c>
      <c r="B110">
        <v>9</v>
      </c>
      <c r="C110">
        <v>6000</v>
      </c>
      <c r="D110">
        <v>2757</v>
      </c>
      <c r="E110" s="5">
        <f t="shared" si="5"/>
        <v>3243</v>
      </c>
      <c r="F110" s="5">
        <f t="shared" si="6"/>
        <v>10517049</v>
      </c>
      <c r="G110" s="6">
        <f>SQRT(SUM($F$2:F110)/A110)</f>
        <v>877.50799154728941</v>
      </c>
      <c r="H110" s="5">
        <f t="shared" si="7"/>
        <v>0</v>
      </c>
      <c r="I110" s="5">
        <f t="shared" si="8"/>
        <v>0</v>
      </c>
    </row>
    <row r="111" spans="1:9">
      <c r="A111">
        <v>110</v>
      </c>
      <c r="B111">
        <v>12</v>
      </c>
      <c r="C111">
        <v>6000</v>
      </c>
      <c r="D111">
        <v>6231</v>
      </c>
      <c r="E111" s="5">
        <f t="shared" si="5"/>
        <v>231</v>
      </c>
      <c r="F111" s="5">
        <f t="shared" si="6"/>
        <v>53361</v>
      </c>
      <c r="G111" s="6">
        <f>SQRT(SUM($F$2:F111)/A111)</f>
        <v>873.78784090252191</v>
      </c>
      <c r="H111" s="5">
        <f t="shared" si="7"/>
        <v>1</v>
      </c>
      <c r="I111" s="5">
        <f t="shared" si="8"/>
        <v>1</v>
      </c>
    </row>
    <row r="112" spans="1:9">
      <c r="A112">
        <v>111</v>
      </c>
      <c r="B112">
        <v>9</v>
      </c>
      <c r="C112">
        <v>6000</v>
      </c>
      <c r="D112">
        <v>5396</v>
      </c>
      <c r="E112" s="5">
        <f t="shared" si="5"/>
        <v>604</v>
      </c>
      <c r="F112" s="5">
        <f t="shared" si="6"/>
        <v>364816</v>
      </c>
      <c r="G112" s="6">
        <f>SQRT(SUM($F$2:F112)/A112)</f>
        <v>871.73011671984602</v>
      </c>
      <c r="H112" s="5">
        <f t="shared" si="7"/>
        <v>1</v>
      </c>
      <c r="I112" s="5">
        <f t="shared" si="8"/>
        <v>0</v>
      </c>
    </row>
    <row r="113" spans="1:9">
      <c r="A113">
        <v>112</v>
      </c>
      <c r="B113">
        <v>10</v>
      </c>
      <c r="C113">
        <v>6000</v>
      </c>
      <c r="D113">
        <v>6560</v>
      </c>
      <c r="E113" s="5">
        <f t="shared" si="5"/>
        <v>560</v>
      </c>
      <c r="F113" s="5">
        <f t="shared" si="6"/>
        <v>313600</v>
      </c>
      <c r="G113" s="6">
        <f>SQRT(SUM($F$2:F113)/A113)</f>
        <v>869.4414617196162</v>
      </c>
      <c r="H113" s="5">
        <f t="shared" si="7"/>
        <v>1</v>
      </c>
      <c r="I113" s="5">
        <f t="shared" si="8"/>
        <v>1</v>
      </c>
    </row>
    <row r="114" spans="1:9">
      <c r="A114">
        <v>113</v>
      </c>
      <c r="B114">
        <v>9</v>
      </c>
      <c r="C114">
        <v>6000</v>
      </c>
      <c r="D114">
        <v>5986</v>
      </c>
      <c r="E114" s="5">
        <f t="shared" si="5"/>
        <v>14</v>
      </c>
      <c r="F114" s="5">
        <f t="shared" si="6"/>
        <v>196</v>
      </c>
      <c r="G114" s="6">
        <f>SQRT(SUM($F$2:F114)/A114)</f>
        <v>865.58682841302755</v>
      </c>
      <c r="H114" s="5">
        <f t="shared" si="7"/>
        <v>1</v>
      </c>
      <c r="I114" s="5">
        <f t="shared" si="8"/>
        <v>1</v>
      </c>
    </row>
    <row r="115" spans="1:9">
      <c r="A115">
        <v>114</v>
      </c>
      <c r="B115">
        <v>9</v>
      </c>
      <c r="C115">
        <v>6000</v>
      </c>
      <c r="D115">
        <v>5636</v>
      </c>
      <c r="E115" s="5">
        <f t="shared" si="5"/>
        <v>364</v>
      </c>
      <c r="F115" s="5">
        <f t="shared" si="6"/>
        <v>132496</v>
      </c>
      <c r="G115" s="6">
        <f>SQRT(SUM($F$2:F115)/A115)</f>
        <v>862.45609600944886</v>
      </c>
      <c r="H115" s="5">
        <f t="shared" si="7"/>
        <v>1</v>
      </c>
      <c r="I115" s="5">
        <f t="shared" si="8"/>
        <v>1</v>
      </c>
    </row>
    <row r="116" spans="1:9">
      <c r="A116">
        <v>115</v>
      </c>
      <c r="B116">
        <v>10</v>
      </c>
      <c r="C116">
        <v>6000</v>
      </c>
      <c r="D116">
        <v>6041</v>
      </c>
      <c r="E116" s="5">
        <f t="shared" si="5"/>
        <v>41</v>
      </c>
      <c r="F116" s="5">
        <f t="shared" si="6"/>
        <v>1681</v>
      </c>
      <c r="G116" s="6">
        <f>SQRT(SUM($F$2:F116)/A116)</f>
        <v>858.70661082715606</v>
      </c>
      <c r="H116" s="5">
        <f t="shared" si="7"/>
        <v>1</v>
      </c>
      <c r="I116" s="5">
        <f t="shared" si="8"/>
        <v>1</v>
      </c>
    </row>
    <row r="117" spans="1:9">
      <c r="A117">
        <v>116</v>
      </c>
      <c r="B117">
        <v>9</v>
      </c>
      <c r="C117">
        <v>6000</v>
      </c>
      <c r="D117">
        <v>6063</v>
      </c>
      <c r="E117" s="5">
        <f t="shared" si="5"/>
        <v>63</v>
      </c>
      <c r="F117" s="5">
        <f t="shared" si="6"/>
        <v>3969</v>
      </c>
      <c r="G117" s="6">
        <f>SQRT(SUM($F$2:F117)/A117)</f>
        <v>855.01728657660931</v>
      </c>
      <c r="H117" s="5">
        <f t="shared" si="7"/>
        <v>1</v>
      </c>
      <c r="I117" s="5">
        <f t="shared" si="8"/>
        <v>1</v>
      </c>
    </row>
    <row r="118" spans="1:9">
      <c r="A118">
        <v>117</v>
      </c>
      <c r="B118">
        <v>9</v>
      </c>
      <c r="C118">
        <v>6000</v>
      </c>
      <c r="D118">
        <v>5916</v>
      </c>
      <c r="E118" s="5">
        <f t="shared" si="5"/>
        <v>84</v>
      </c>
      <c r="F118" s="5">
        <f t="shared" si="6"/>
        <v>7056</v>
      </c>
      <c r="G118" s="6">
        <f>SQRT(SUM($F$2:F118)/A118)</f>
        <v>851.39094337533243</v>
      </c>
      <c r="H118" s="5">
        <f t="shared" si="7"/>
        <v>1</v>
      </c>
      <c r="I118" s="5">
        <f t="shared" si="8"/>
        <v>1</v>
      </c>
    </row>
    <row r="119" spans="1:9">
      <c r="A119">
        <v>118</v>
      </c>
      <c r="B119">
        <v>9</v>
      </c>
      <c r="C119">
        <v>6000</v>
      </c>
      <c r="D119">
        <v>4955</v>
      </c>
      <c r="E119" s="5">
        <f t="shared" si="5"/>
        <v>1045</v>
      </c>
      <c r="F119" s="5">
        <f t="shared" si="6"/>
        <v>1092025</v>
      </c>
      <c r="G119" s="6">
        <f>SQRT(SUM($F$2:F119)/A119)</f>
        <v>853.21629780932903</v>
      </c>
      <c r="H119" s="5">
        <f t="shared" si="7"/>
        <v>1</v>
      </c>
      <c r="I119" s="5">
        <f t="shared" si="8"/>
        <v>0</v>
      </c>
    </row>
    <row r="120" spans="1:9">
      <c r="A120">
        <v>119</v>
      </c>
      <c r="B120">
        <v>11</v>
      </c>
      <c r="C120">
        <v>6000</v>
      </c>
      <c r="D120">
        <v>6963</v>
      </c>
      <c r="E120" s="5">
        <f t="shared" si="5"/>
        <v>963</v>
      </c>
      <c r="F120" s="5">
        <f t="shared" si="6"/>
        <v>927369</v>
      </c>
      <c r="G120" s="6">
        <f>SQRT(SUM($F$2:F120)/A120)</f>
        <v>854.19763816227965</v>
      </c>
      <c r="H120" s="5">
        <f t="shared" si="7"/>
        <v>1</v>
      </c>
      <c r="I120" s="5">
        <f t="shared" si="8"/>
        <v>0</v>
      </c>
    </row>
    <row r="121" spans="1:9">
      <c r="A121">
        <v>120</v>
      </c>
      <c r="B121">
        <v>8</v>
      </c>
      <c r="C121">
        <v>6000</v>
      </c>
      <c r="D121">
        <v>5822</v>
      </c>
      <c r="E121" s="5">
        <f t="shared" si="5"/>
        <v>178</v>
      </c>
      <c r="F121" s="5">
        <f t="shared" si="6"/>
        <v>31684</v>
      </c>
      <c r="G121" s="6">
        <f>SQRT(SUM($F$2:F121)/A121)</f>
        <v>850.78621972071608</v>
      </c>
      <c r="H121" s="5">
        <f t="shared" si="7"/>
        <v>1</v>
      </c>
      <c r="I121" s="5">
        <f t="shared" si="8"/>
        <v>1</v>
      </c>
    </row>
    <row r="122" spans="1:9">
      <c r="A122">
        <v>121</v>
      </c>
      <c r="B122">
        <v>10</v>
      </c>
      <c r="C122">
        <v>6000</v>
      </c>
      <c r="D122">
        <v>6896</v>
      </c>
      <c r="E122" s="5">
        <f t="shared" si="5"/>
        <v>896</v>
      </c>
      <c r="F122" s="5">
        <f t="shared" si="6"/>
        <v>802816</v>
      </c>
      <c r="G122" s="6">
        <f>SQRT(SUM($F$2:F122)/A122)</f>
        <v>851.16972989581166</v>
      </c>
      <c r="H122" s="5">
        <f t="shared" si="7"/>
        <v>1</v>
      </c>
      <c r="I122" s="5">
        <f t="shared" si="8"/>
        <v>0</v>
      </c>
    </row>
    <row r="123" spans="1:9">
      <c r="A123">
        <v>122</v>
      </c>
      <c r="B123">
        <v>8</v>
      </c>
      <c r="C123">
        <v>6000</v>
      </c>
      <c r="D123">
        <v>6060</v>
      </c>
      <c r="E123" s="5">
        <f t="shared" si="5"/>
        <v>60</v>
      </c>
      <c r="F123" s="5">
        <f t="shared" si="6"/>
        <v>3600</v>
      </c>
      <c r="G123" s="6">
        <f>SQRT(SUM($F$2:F123)/A123)</f>
        <v>847.69155676450862</v>
      </c>
      <c r="H123" s="5">
        <f t="shared" si="7"/>
        <v>1</v>
      </c>
      <c r="I123" s="5">
        <f t="shared" si="8"/>
        <v>1</v>
      </c>
    </row>
    <row r="124" spans="1:9">
      <c r="A124">
        <v>123</v>
      </c>
      <c r="B124">
        <v>9</v>
      </c>
      <c r="C124">
        <v>6000</v>
      </c>
      <c r="D124">
        <v>7121</v>
      </c>
      <c r="E124" s="5">
        <f t="shared" si="5"/>
        <v>1121</v>
      </c>
      <c r="F124" s="5">
        <f t="shared" si="6"/>
        <v>1256641</v>
      </c>
      <c r="G124" s="6">
        <f>SQRT(SUM($F$2:F124)/A124)</f>
        <v>850.26786788309926</v>
      </c>
      <c r="H124" s="5">
        <f t="shared" si="7"/>
        <v>1</v>
      </c>
      <c r="I124" s="5">
        <f t="shared" si="8"/>
        <v>0</v>
      </c>
    </row>
    <row r="125" spans="1:9">
      <c r="A125">
        <v>124</v>
      </c>
      <c r="B125">
        <v>8</v>
      </c>
      <c r="C125">
        <v>6000</v>
      </c>
      <c r="D125">
        <v>5646</v>
      </c>
      <c r="E125" s="5">
        <f t="shared" si="5"/>
        <v>354</v>
      </c>
      <c r="F125" s="5">
        <f t="shared" si="6"/>
        <v>125316</v>
      </c>
      <c r="G125" s="6">
        <f>SQRT(SUM($F$2:F125)/A125)</f>
        <v>847.42891984729215</v>
      </c>
      <c r="H125" s="5">
        <f t="shared" si="7"/>
        <v>1</v>
      </c>
      <c r="I125" s="5">
        <f t="shared" si="8"/>
        <v>1</v>
      </c>
    </row>
    <row r="126" spans="1:9">
      <c r="A126">
        <v>125</v>
      </c>
      <c r="B126">
        <v>9</v>
      </c>
      <c r="C126">
        <v>6000</v>
      </c>
      <c r="D126">
        <v>6658</v>
      </c>
      <c r="E126" s="5">
        <f t="shared" si="5"/>
        <v>658</v>
      </c>
      <c r="F126" s="5">
        <f t="shared" si="6"/>
        <v>432964</v>
      </c>
      <c r="G126" s="6">
        <f>SQRT(SUM($F$2:F126)/A126)</f>
        <v>846.08179273637609</v>
      </c>
      <c r="H126" s="5">
        <f t="shared" si="7"/>
        <v>1</v>
      </c>
      <c r="I126" s="5">
        <f t="shared" si="8"/>
        <v>0</v>
      </c>
    </row>
    <row r="127" spans="1:9">
      <c r="A127">
        <v>126</v>
      </c>
      <c r="B127">
        <v>8</v>
      </c>
      <c r="C127">
        <v>6000</v>
      </c>
      <c r="D127">
        <v>5617</v>
      </c>
      <c r="E127" s="5">
        <f t="shared" si="5"/>
        <v>383</v>
      </c>
      <c r="F127" s="5">
        <f t="shared" si="6"/>
        <v>146689</v>
      </c>
      <c r="G127" s="6">
        <f>SQRT(SUM($F$2:F127)/A127)</f>
        <v>843.40809474756304</v>
      </c>
      <c r="H127" s="5">
        <f t="shared" si="7"/>
        <v>1</v>
      </c>
      <c r="I127" s="5">
        <f t="shared" si="8"/>
        <v>1</v>
      </c>
    </row>
    <row r="128" spans="1:9">
      <c r="A128">
        <v>127</v>
      </c>
      <c r="B128">
        <v>9</v>
      </c>
      <c r="C128">
        <v>6000</v>
      </c>
      <c r="D128">
        <v>6121</v>
      </c>
      <c r="E128" s="5">
        <f t="shared" si="5"/>
        <v>121</v>
      </c>
      <c r="F128" s="5">
        <f t="shared" si="6"/>
        <v>14641</v>
      </c>
      <c r="G128" s="6">
        <f>SQRT(SUM($F$2:F128)/A128)</f>
        <v>840.14963983973394</v>
      </c>
      <c r="H128" s="5">
        <f t="shared" si="7"/>
        <v>1</v>
      </c>
      <c r="I128" s="5">
        <f t="shared" si="8"/>
        <v>1</v>
      </c>
    </row>
    <row r="129" spans="1:9">
      <c r="A129">
        <v>128</v>
      </c>
      <c r="B129">
        <v>9</v>
      </c>
      <c r="C129">
        <v>6000</v>
      </c>
      <c r="D129">
        <v>6207</v>
      </c>
      <c r="E129" s="5">
        <f t="shared" si="5"/>
        <v>207</v>
      </c>
      <c r="F129" s="5">
        <f t="shared" si="6"/>
        <v>42849</v>
      </c>
      <c r="G129" s="6">
        <f>SQRT(SUM($F$2:F129)/A129)</f>
        <v>837.0613543447696</v>
      </c>
      <c r="H129" s="5">
        <f t="shared" si="7"/>
        <v>1</v>
      </c>
      <c r="I129" s="5">
        <f t="shared" si="8"/>
        <v>1</v>
      </c>
    </row>
    <row r="130" spans="1:9">
      <c r="A130">
        <v>129</v>
      </c>
      <c r="B130">
        <v>9</v>
      </c>
      <c r="C130">
        <v>6000</v>
      </c>
      <c r="D130">
        <v>5485</v>
      </c>
      <c r="E130" s="5">
        <f t="shared" si="5"/>
        <v>515</v>
      </c>
      <c r="F130" s="5">
        <f t="shared" si="6"/>
        <v>265225</v>
      </c>
      <c r="G130" s="6">
        <f>SQRT(SUM($F$2:F130)/A130)</f>
        <v>835.04260672061503</v>
      </c>
      <c r="H130" s="5">
        <f t="shared" si="7"/>
        <v>1</v>
      </c>
      <c r="I130" s="5">
        <f t="shared" si="8"/>
        <v>1</v>
      </c>
    </row>
    <row r="131" spans="1:9">
      <c r="A131">
        <v>130</v>
      </c>
      <c r="B131">
        <v>9</v>
      </c>
      <c r="C131">
        <v>6000</v>
      </c>
      <c r="D131">
        <v>5887</v>
      </c>
      <c r="E131" s="5">
        <f t="shared" ref="E131:E194" si="9">ABS(C131-D131)</f>
        <v>113</v>
      </c>
      <c r="F131" s="5">
        <f t="shared" ref="F131:F194" si="10">POWER(E131,2)</f>
        <v>12769</v>
      </c>
      <c r="G131" s="6">
        <f>SQRT(SUM($F$2:F131)/A131)</f>
        <v>831.88374280211872</v>
      </c>
      <c r="H131" s="5">
        <f t="shared" ref="H131:H194" si="11">IF(ABS(E131)/C131&gt;0.2,0,1)</f>
        <v>1</v>
      </c>
      <c r="I131" s="5">
        <f t="shared" ref="I131:I194" si="12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5621</v>
      </c>
      <c r="E132" s="5">
        <f t="shared" si="9"/>
        <v>379</v>
      </c>
      <c r="F132" s="5">
        <f t="shared" si="10"/>
        <v>143641</v>
      </c>
      <c r="G132" s="6">
        <f>SQRT(SUM($F$2:F132)/A132)</f>
        <v>829.36384155531482</v>
      </c>
      <c r="H132" s="5">
        <f t="shared" si="11"/>
        <v>1</v>
      </c>
      <c r="I132" s="5">
        <f t="shared" si="12"/>
        <v>1</v>
      </c>
    </row>
    <row r="133" spans="1:9">
      <c r="A133">
        <v>132</v>
      </c>
      <c r="B133">
        <v>9</v>
      </c>
      <c r="C133">
        <v>6000</v>
      </c>
      <c r="D133">
        <v>6277</v>
      </c>
      <c r="E133" s="5">
        <f t="shared" si="9"/>
        <v>277</v>
      </c>
      <c r="F133" s="5">
        <f t="shared" si="10"/>
        <v>76729</v>
      </c>
      <c r="G133" s="6">
        <f>SQRT(SUM($F$2:F133)/A133)</f>
        <v>826.56803694370478</v>
      </c>
      <c r="H133" s="5">
        <f t="shared" si="11"/>
        <v>1</v>
      </c>
      <c r="I133" s="5">
        <f t="shared" si="12"/>
        <v>1</v>
      </c>
    </row>
    <row r="134" spans="1:9">
      <c r="A134">
        <v>133</v>
      </c>
      <c r="B134">
        <v>9</v>
      </c>
      <c r="C134">
        <v>6000</v>
      </c>
      <c r="D134">
        <v>5696</v>
      </c>
      <c r="E134" s="5">
        <f t="shared" si="9"/>
        <v>304</v>
      </c>
      <c r="F134" s="5">
        <f t="shared" si="10"/>
        <v>92416</v>
      </c>
      <c r="G134" s="6">
        <f>SQRT(SUM($F$2:F134)/A134)</f>
        <v>823.8765830269424</v>
      </c>
      <c r="H134" s="5">
        <f t="shared" si="11"/>
        <v>1</v>
      </c>
      <c r="I134" s="5">
        <f t="shared" si="12"/>
        <v>1</v>
      </c>
    </row>
    <row r="135" spans="1:9">
      <c r="A135">
        <v>134</v>
      </c>
      <c r="B135">
        <v>9</v>
      </c>
      <c r="C135">
        <v>6000</v>
      </c>
      <c r="D135">
        <v>6773</v>
      </c>
      <c r="E135" s="5">
        <f t="shared" si="9"/>
        <v>773</v>
      </c>
      <c r="F135" s="5">
        <f t="shared" si="10"/>
        <v>597529</v>
      </c>
      <c r="G135" s="6">
        <f>SQRT(SUM($F$2:F135)/A135)</f>
        <v>823.50854783554553</v>
      </c>
      <c r="H135" s="5">
        <f t="shared" si="11"/>
        <v>1</v>
      </c>
      <c r="I135" s="5">
        <f t="shared" si="12"/>
        <v>0</v>
      </c>
    </row>
    <row r="136" spans="1:9">
      <c r="A136">
        <v>135</v>
      </c>
      <c r="B136">
        <v>8</v>
      </c>
      <c r="C136">
        <v>6000</v>
      </c>
      <c r="D136">
        <v>5580</v>
      </c>
      <c r="E136" s="5">
        <f t="shared" si="9"/>
        <v>420</v>
      </c>
      <c r="F136" s="5">
        <f t="shared" si="10"/>
        <v>176400</v>
      </c>
      <c r="G136" s="6">
        <f>SQRT(SUM($F$2:F136)/A136)</f>
        <v>821.24876909541888</v>
      </c>
      <c r="H136" s="5">
        <f t="shared" si="11"/>
        <v>1</v>
      </c>
      <c r="I136" s="5">
        <f t="shared" si="12"/>
        <v>1</v>
      </c>
    </row>
    <row r="137" spans="1:9">
      <c r="A137">
        <v>136</v>
      </c>
      <c r="B137">
        <v>9</v>
      </c>
      <c r="C137">
        <v>6000</v>
      </c>
      <c r="D137">
        <v>6666</v>
      </c>
      <c r="E137" s="5">
        <f t="shared" si="9"/>
        <v>666</v>
      </c>
      <c r="F137" s="5">
        <f t="shared" si="10"/>
        <v>443556</v>
      </c>
      <c r="G137" s="6">
        <f>SQRT(SUM($F$2:F137)/A137)</f>
        <v>820.21448055837629</v>
      </c>
      <c r="H137" s="5">
        <f t="shared" si="11"/>
        <v>1</v>
      </c>
      <c r="I137" s="5">
        <f t="shared" si="12"/>
        <v>0</v>
      </c>
    </row>
    <row r="138" spans="1:9">
      <c r="A138">
        <v>137</v>
      </c>
      <c r="B138">
        <v>8</v>
      </c>
      <c r="C138">
        <v>6000</v>
      </c>
      <c r="D138">
        <v>5900</v>
      </c>
      <c r="E138" s="5">
        <f t="shared" si="9"/>
        <v>100</v>
      </c>
      <c r="F138" s="5">
        <f t="shared" si="10"/>
        <v>10000</v>
      </c>
      <c r="G138" s="6">
        <f>SQRT(SUM($F$2:F138)/A138)</f>
        <v>817.26017263844562</v>
      </c>
      <c r="H138" s="5">
        <f t="shared" si="11"/>
        <v>1</v>
      </c>
      <c r="I138" s="5">
        <f t="shared" si="12"/>
        <v>1</v>
      </c>
    </row>
    <row r="139" spans="1:9">
      <c r="A139">
        <v>138</v>
      </c>
      <c r="B139">
        <v>9</v>
      </c>
      <c r="C139">
        <v>6000</v>
      </c>
      <c r="D139">
        <v>6836</v>
      </c>
      <c r="E139" s="5">
        <f t="shared" si="9"/>
        <v>836</v>
      </c>
      <c r="F139" s="5">
        <f t="shared" si="10"/>
        <v>698896</v>
      </c>
      <c r="G139" s="6">
        <f>SQRT(SUM($F$2:F139)/A139)</f>
        <v>817.39751385245472</v>
      </c>
      <c r="H139" s="5">
        <f t="shared" si="11"/>
        <v>1</v>
      </c>
      <c r="I139" s="5">
        <f t="shared" si="12"/>
        <v>0</v>
      </c>
    </row>
    <row r="140" spans="1:9">
      <c r="A140">
        <v>139</v>
      </c>
      <c r="B140">
        <v>8</v>
      </c>
      <c r="C140">
        <v>6000</v>
      </c>
      <c r="D140">
        <v>6042</v>
      </c>
      <c r="E140" s="5">
        <f t="shared" si="9"/>
        <v>42</v>
      </c>
      <c r="F140" s="5">
        <f t="shared" si="10"/>
        <v>1764</v>
      </c>
      <c r="G140" s="6">
        <f>SQRT(SUM($F$2:F140)/A140)</f>
        <v>814.45971852113428</v>
      </c>
      <c r="H140" s="5">
        <f t="shared" si="11"/>
        <v>1</v>
      </c>
      <c r="I140" s="5">
        <f t="shared" si="12"/>
        <v>1</v>
      </c>
    </row>
    <row r="141" spans="1:9">
      <c r="A141">
        <v>140</v>
      </c>
      <c r="B141">
        <v>8</v>
      </c>
      <c r="C141">
        <v>6000</v>
      </c>
      <c r="D141">
        <v>5091</v>
      </c>
      <c r="E141" s="5">
        <f t="shared" si="9"/>
        <v>909</v>
      </c>
      <c r="F141" s="5">
        <f t="shared" si="10"/>
        <v>826281</v>
      </c>
      <c r="G141" s="6">
        <f>SQRT(SUM($F$2:F141)/A141)</f>
        <v>815.17388591987799</v>
      </c>
      <c r="H141" s="5">
        <f t="shared" si="11"/>
        <v>1</v>
      </c>
      <c r="I141" s="5">
        <f t="shared" si="12"/>
        <v>0</v>
      </c>
    </row>
    <row r="142" spans="1:9">
      <c r="A142">
        <v>141</v>
      </c>
      <c r="B142">
        <v>10</v>
      </c>
      <c r="C142">
        <v>6000</v>
      </c>
      <c r="D142">
        <v>6608</v>
      </c>
      <c r="E142" s="5">
        <f t="shared" si="9"/>
        <v>608</v>
      </c>
      <c r="F142" s="5">
        <f t="shared" si="10"/>
        <v>369664</v>
      </c>
      <c r="G142" s="6">
        <f>SQRT(SUM($F$2:F142)/A142)</f>
        <v>813.8902682759674</v>
      </c>
      <c r="H142" s="5">
        <f t="shared" si="11"/>
        <v>1</v>
      </c>
      <c r="I142" s="5">
        <f t="shared" si="12"/>
        <v>0</v>
      </c>
    </row>
    <row r="143" spans="1:9">
      <c r="A143">
        <v>142</v>
      </c>
      <c r="B143">
        <v>8</v>
      </c>
      <c r="C143">
        <v>6000</v>
      </c>
      <c r="D143">
        <v>5110</v>
      </c>
      <c r="E143" s="5">
        <f t="shared" si="9"/>
        <v>890</v>
      </c>
      <c r="F143" s="5">
        <f t="shared" si="10"/>
        <v>792100</v>
      </c>
      <c r="G143" s="6">
        <f>SQRT(SUM($F$2:F143)/A143)</f>
        <v>814.45111993327339</v>
      </c>
      <c r="H143" s="5">
        <f t="shared" si="11"/>
        <v>1</v>
      </c>
      <c r="I143" s="5">
        <f t="shared" si="12"/>
        <v>0</v>
      </c>
    </row>
    <row r="144" spans="1:9">
      <c r="A144">
        <v>143</v>
      </c>
      <c r="B144">
        <v>10</v>
      </c>
      <c r="C144">
        <v>6000</v>
      </c>
      <c r="D144">
        <v>6191</v>
      </c>
      <c r="E144" s="5">
        <f t="shared" si="9"/>
        <v>191</v>
      </c>
      <c r="F144" s="5">
        <f t="shared" si="10"/>
        <v>36481</v>
      </c>
      <c r="G144" s="6">
        <f>SQRT(SUM($F$2:F144)/A144)</f>
        <v>811.75554382896757</v>
      </c>
      <c r="H144" s="5">
        <f t="shared" si="11"/>
        <v>1</v>
      </c>
      <c r="I144" s="5">
        <f t="shared" si="12"/>
        <v>1</v>
      </c>
    </row>
    <row r="145" spans="1:9">
      <c r="A145">
        <v>144</v>
      </c>
      <c r="B145">
        <v>9</v>
      </c>
      <c r="C145">
        <v>6000</v>
      </c>
      <c r="D145">
        <v>5535</v>
      </c>
      <c r="E145" s="5">
        <f t="shared" si="9"/>
        <v>465</v>
      </c>
      <c r="F145" s="5">
        <f t="shared" si="10"/>
        <v>216225</v>
      </c>
      <c r="G145" s="6">
        <f>SQRT(SUM($F$2:F145)/A145)</f>
        <v>809.85962003711893</v>
      </c>
      <c r="H145" s="5">
        <f t="shared" si="11"/>
        <v>1</v>
      </c>
      <c r="I145" s="5">
        <f t="shared" si="12"/>
        <v>1</v>
      </c>
    </row>
    <row r="146" spans="1:9">
      <c r="A146">
        <v>145</v>
      </c>
      <c r="B146">
        <v>9</v>
      </c>
      <c r="C146">
        <v>6000</v>
      </c>
      <c r="D146">
        <v>5574</v>
      </c>
      <c r="E146" s="5">
        <f t="shared" si="9"/>
        <v>426</v>
      </c>
      <c r="F146" s="5">
        <f t="shared" si="10"/>
        <v>181476</v>
      </c>
      <c r="G146" s="6">
        <f>SQRT(SUM($F$2:F146)/A146)</f>
        <v>807.83717632223136</v>
      </c>
      <c r="H146" s="5">
        <f t="shared" si="11"/>
        <v>1</v>
      </c>
      <c r="I146" s="5">
        <f t="shared" si="12"/>
        <v>1</v>
      </c>
    </row>
    <row r="147" spans="1:9">
      <c r="A147">
        <v>146</v>
      </c>
      <c r="B147">
        <v>9</v>
      </c>
      <c r="C147">
        <v>6000</v>
      </c>
      <c r="D147">
        <v>5512</v>
      </c>
      <c r="E147" s="5">
        <f t="shared" si="9"/>
        <v>488</v>
      </c>
      <c r="F147" s="5">
        <f t="shared" si="10"/>
        <v>238144</v>
      </c>
      <c r="G147" s="6">
        <f>SQRT(SUM($F$2:F147)/A147)</f>
        <v>806.07825769849831</v>
      </c>
      <c r="H147" s="5">
        <f t="shared" si="11"/>
        <v>1</v>
      </c>
      <c r="I147" s="5">
        <f t="shared" si="12"/>
        <v>1</v>
      </c>
    </row>
    <row r="148" spans="1:9">
      <c r="A148">
        <v>147</v>
      </c>
      <c r="B148">
        <v>10</v>
      </c>
      <c r="C148">
        <v>6000</v>
      </c>
      <c r="D148">
        <v>6587</v>
      </c>
      <c r="E148" s="5">
        <f t="shared" si="9"/>
        <v>587</v>
      </c>
      <c r="F148" s="5">
        <f t="shared" si="10"/>
        <v>344569</v>
      </c>
      <c r="G148" s="6">
        <f>SQRT(SUM($F$2:F148)/A148)</f>
        <v>804.78942190205396</v>
      </c>
      <c r="H148" s="5">
        <f t="shared" si="11"/>
        <v>1</v>
      </c>
      <c r="I148" s="5">
        <f t="shared" si="12"/>
        <v>1</v>
      </c>
    </row>
    <row r="149" spans="1:9">
      <c r="A149">
        <v>148</v>
      </c>
      <c r="B149">
        <v>8</v>
      </c>
      <c r="C149">
        <v>6000</v>
      </c>
      <c r="D149">
        <v>4933</v>
      </c>
      <c r="E149" s="5">
        <f t="shared" si="9"/>
        <v>1067</v>
      </c>
      <c r="F149" s="5">
        <f t="shared" si="10"/>
        <v>1138489</v>
      </c>
      <c r="G149" s="6">
        <f>SQRT(SUM($F$2:F149)/A149)</f>
        <v>806.84710447519114</v>
      </c>
      <c r="H149" s="5">
        <f t="shared" si="11"/>
        <v>1</v>
      </c>
      <c r="I149" s="5">
        <f t="shared" si="12"/>
        <v>0</v>
      </c>
    </row>
    <row r="150" spans="1:9">
      <c r="A150">
        <v>149</v>
      </c>
      <c r="B150">
        <v>10</v>
      </c>
      <c r="C150">
        <v>6000</v>
      </c>
      <c r="D150">
        <v>6252</v>
      </c>
      <c r="E150" s="5">
        <f t="shared" si="9"/>
        <v>252</v>
      </c>
      <c r="F150" s="5">
        <f t="shared" si="10"/>
        <v>63504</v>
      </c>
      <c r="G150" s="6">
        <f>SQRT(SUM($F$2:F150)/A150)</f>
        <v>804.39996812831384</v>
      </c>
      <c r="H150" s="5">
        <f t="shared" si="11"/>
        <v>1</v>
      </c>
      <c r="I150" s="5">
        <f t="shared" si="12"/>
        <v>1</v>
      </c>
    </row>
    <row r="151" spans="1:9">
      <c r="A151">
        <v>150</v>
      </c>
      <c r="B151">
        <v>9</v>
      </c>
      <c r="C151">
        <v>6000</v>
      </c>
      <c r="D151">
        <v>5281</v>
      </c>
      <c r="E151" s="5">
        <f t="shared" si="9"/>
        <v>719</v>
      </c>
      <c r="F151" s="5">
        <f t="shared" si="10"/>
        <v>516961</v>
      </c>
      <c r="G151" s="6">
        <f>SQRT(SUM($F$2:F151)/A151)</f>
        <v>803.86067615393824</v>
      </c>
      <c r="H151" s="5">
        <f t="shared" si="11"/>
        <v>1</v>
      </c>
      <c r="I151" s="5">
        <f t="shared" si="12"/>
        <v>0</v>
      </c>
    </row>
    <row r="152" spans="1:9">
      <c r="A152">
        <v>151</v>
      </c>
      <c r="B152">
        <v>10</v>
      </c>
      <c r="C152">
        <v>6000</v>
      </c>
      <c r="D152">
        <v>6632</v>
      </c>
      <c r="E152" s="5">
        <f t="shared" si="9"/>
        <v>632</v>
      </c>
      <c r="F152" s="5">
        <f t="shared" si="10"/>
        <v>399424</v>
      </c>
      <c r="G152" s="6">
        <f>SQRT(SUM($F$2:F152)/A152)</f>
        <v>802.8435473922699</v>
      </c>
      <c r="H152" s="5">
        <f t="shared" si="11"/>
        <v>1</v>
      </c>
      <c r="I152" s="5">
        <f t="shared" si="12"/>
        <v>0</v>
      </c>
    </row>
    <row r="153" spans="1:9">
      <c r="A153">
        <v>152</v>
      </c>
      <c r="B153">
        <v>9</v>
      </c>
      <c r="C153">
        <v>6000</v>
      </c>
      <c r="D153">
        <v>5403</v>
      </c>
      <c r="E153" s="5">
        <f t="shared" si="9"/>
        <v>597</v>
      </c>
      <c r="F153" s="5">
        <f t="shared" si="10"/>
        <v>356409</v>
      </c>
      <c r="G153" s="6">
        <f>SQRT(SUM($F$2:F153)/A153)</f>
        <v>801.66205227179842</v>
      </c>
      <c r="H153" s="5">
        <f t="shared" si="11"/>
        <v>1</v>
      </c>
      <c r="I153" s="5">
        <f t="shared" si="12"/>
        <v>1</v>
      </c>
    </row>
    <row r="154" spans="1:9">
      <c r="A154">
        <v>153</v>
      </c>
      <c r="B154">
        <v>10</v>
      </c>
      <c r="C154">
        <v>6000</v>
      </c>
      <c r="D154">
        <v>6377</v>
      </c>
      <c r="E154" s="5">
        <f t="shared" si="9"/>
        <v>377</v>
      </c>
      <c r="F154" s="5">
        <f t="shared" si="10"/>
        <v>142129</v>
      </c>
      <c r="G154" s="6">
        <f>SQRT(SUM($F$2:F154)/A154)</f>
        <v>799.61902693426077</v>
      </c>
      <c r="H154" s="5">
        <f t="shared" si="11"/>
        <v>1</v>
      </c>
      <c r="I154" s="5">
        <f t="shared" si="12"/>
        <v>1</v>
      </c>
    </row>
    <row r="155" spans="1:9">
      <c r="A155">
        <v>154</v>
      </c>
      <c r="B155">
        <v>9</v>
      </c>
      <c r="C155">
        <v>6000</v>
      </c>
      <c r="D155">
        <v>5599</v>
      </c>
      <c r="E155" s="5">
        <f t="shared" si="9"/>
        <v>401</v>
      </c>
      <c r="F155" s="5">
        <f t="shared" si="10"/>
        <v>160801</v>
      </c>
      <c r="G155" s="6">
        <f>SQRT(SUM($F$2:F155)/A155)</f>
        <v>797.67340662476875</v>
      </c>
      <c r="H155" s="5">
        <f t="shared" si="11"/>
        <v>1</v>
      </c>
      <c r="I155" s="5">
        <f t="shared" si="12"/>
        <v>1</v>
      </c>
    </row>
    <row r="156" spans="1:9">
      <c r="A156">
        <v>155</v>
      </c>
      <c r="B156">
        <v>10</v>
      </c>
      <c r="C156">
        <v>6000</v>
      </c>
      <c r="D156">
        <v>6651</v>
      </c>
      <c r="E156" s="5">
        <f t="shared" si="9"/>
        <v>651</v>
      </c>
      <c r="F156" s="5">
        <f t="shared" si="10"/>
        <v>423801</v>
      </c>
      <c r="G156" s="6">
        <f>SQRT(SUM($F$2:F156)/A156)</f>
        <v>796.81366259824244</v>
      </c>
      <c r="H156" s="5">
        <f t="shared" si="11"/>
        <v>1</v>
      </c>
      <c r="I156" s="5">
        <f t="shared" si="12"/>
        <v>0</v>
      </c>
    </row>
    <row r="157" spans="1:9">
      <c r="A157">
        <v>156</v>
      </c>
      <c r="B157">
        <v>9</v>
      </c>
      <c r="C157">
        <v>6000</v>
      </c>
      <c r="D157">
        <v>5775</v>
      </c>
      <c r="E157" s="5">
        <f t="shared" si="9"/>
        <v>225</v>
      </c>
      <c r="F157" s="5">
        <f t="shared" si="10"/>
        <v>50625</v>
      </c>
      <c r="G157" s="6">
        <f>SQRT(SUM($F$2:F157)/A157)</f>
        <v>794.45993186147109</v>
      </c>
      <c r="H157" s="5">
        <f t="shared" si="11"/>
        <v>1</v>
      </c>
      <c r="I157" s="5">
        <f t="shared" si="12"/>
        <v>1</v>
      </c>
    </row>
    <row r="158" spans="1:9">
      <c r="A158">
        <v>157</v>
      </c>
      <c r="B158">
        <v>10</v>
      </c>
      <c r="C158">
        <v>6000</v>
      </c>
      <c r="D158">
        <v>6532</v>
      </c>
      <c r="E158" s="5">
        <f t="shared" si="9"/>
        <v>532</v>
      </c>
      <c r="F158" s="5">
        <f t="shared" si="10"/>
        <v>283024</v>
      </c>
      <c r="G158" s="6">
        <f>SQRT(SUM($F$2:F158)/A158)</f>
        <v>793.06312147878964</v>
      </c>
      <c r="H158" s="5">
        <f t="shared" si="11"/>
        <v>1</v>
      </c>
      <c r="I158" s="5">
        <f t="shared" si="12"/>
        <v>1</v>
      </c>
    </row>
    <row r="159" spans="1:9">
      <c r="A159">
        <v>158</v>
      </c>
      <c r="B159">
        <v>9</v>
      </c>
      <c r="C159">
        <v>6000</v>
      </c>
      <c r="D159">
        <v>6601</v>
      </c>
      <c r="E159" s="5">
        <f t="shared" si="9"/>
        <v>601</v>
      </c>
      <c r="F159" s="5">
        <f t="shared" si="10"/>
        <v>361201</v>
      </c>
      <c r="G159" s="6">
        <f>SQRT(SUM($F$2:F159)/A159)</f>
        <v>791.99400649822724</v>
      </c>
      <c r="H159" s="5">
        <f t="shared" si="11"/>
        <v>1</v>
      </c>
      <c r="I159" s="5">
        <f t="shared" si="12"/>
        <v>0</v>
      </c>
    </row>
    <row r="160" spans="1:9">
      <c r="A160">
        <v>159</v>
      </c>
      <c r="B160">
        <v>8</v>
      </c>
      <c r="C160">
        <v>6000</v>
      </c>
      <c r="D160">
        <v>4766</v>
      </c>
      <c r="E160" s="5">
        <f t="shared" si="9"/>
        <v>1234</v>
      </c>
      <c r="F160" s="5">
        <f t="shared" si="10"/>
        <v>1522756</v>
      </c>
      <c r="G160" s="6">
        <f>SQRT(SUM($F$2:F160)/A160)</f>
        <v>795.54169670418196</v>
      </c>
      <c r="H160" s="5">
        <f t="shared" si="11"/>
        <v>0</v>
      </c>
      <c r="I160" s="5">
        <f t="shared" si="12"/>
        <v>0</v>
      </c>
    </row>
    <row r="161" spans="1:9">
      <c r="A161">
        <v>160</v>
      </c>
      <c r="B161">
        <v>11</v>
      </c>
      <c r="C161">
        <v>6000</v>
      </c>
      <c r="D161">
        <v>7222</v>
      </c>
      <c r="E161" s="5">
        <f t="shared" si="9"/>
        <v>1222</v>
      </c>
      <c r="F161" s="5">
        <f t="shared" si="10"/>
        <v>1493284</v>
      </c>
      <c r="G161" s="6">
        <f>SQRT(SUM($F$2:F161)/A161)</f>
        <v>798.91431017350033</v>
      </c>
      <c r="H161" s="5">
        <f t="shared" si="11"/>
        <v>0</v>
      </c>
      <c r="I161" s="5">
        <f t="shared" si="12"/>
        <v>0</v>
      </c>
    </row>
    <row r="162" spans="1:9">
      <c r="A162">
        <v>161</v>
      </c>
      <c r="B162">
        <v>8</v>
      </c>
      <c r="C162">
        <v>6000</v>
      </c>
      <c r="D162">
        <v>5077</v>
      </c>
      <c r="E162" s="5">
        <f t="shared" si="9"/>
        <v>923</v>
      </c>
      <c r="F162" s="5">
        <f t="shared" si="10"/>
        <v>851929</v>
      </c>
      <c r="G162" s="6">
        <f>SQRT(SUM($F$2:F162)/A162)</f>
        <v>799.74445064370639</v>
      </c>
      <c r="H162" s="5">
        <f t="shared" si="11"/>
        <v>1</v>
      </c>
      <c r="I162" s="5">
        <f t="shared" si="12"/>
        <v>0</v>
      </c>
    </row>
    <row r="163" spans="1:9">
      <c r="A163">
        <v>162</v>
      </c>
      <c r="B163">
        <v>10</v>
      </c>
      <c r="C163">
        <v>6000</v>
      </c>
      <c r="D163">
        <v>6609</v>
      </c>
      <c r="E163" s="5">
        <f t="shared" si="9"/>
        <v>609</v>
      </c>
      <c r="F163" s="5">
        <f t="shared" si="10"/>
        <v>370881</v>
      </c>
      <c r="G163" s="6">
        <f>SQRT(SUM($F$2:F163)/A163)</f>
        <v>798.706755625293</v>
      </c>
      <c r="H163" s="5">
        <f t="shared" si="11"/>
        <v>1</v>
      </c>
      <c r="I163" s="5">
        <f t="shared" si="12"/>
        <v>0</v>
      </c>
    </row>
    <row r="164" spans="1:9">
      <c r="A164">
        <v>163</v>
      </c>
      <c r="B164">
        <v>8</v>
      </c>
      <c r="C164">
        <v>6000</v>
      </c>
      <c r="D164">
        <v>4895</v>
      </c>
      <c r="E164" s="5">
        <f t="shared" si="9"/>
        <v>1105</v>
      </c>
      <c r="F164" s="5">
        <f t="shared" si="10"/>
        <v>1221025</v>
      </c>
      <c r="G164" s="6">
        <f>SQRT(SUM($F$2:F164)/A164)</f>
        <v>800.94302930752758</v>
      </c>
      <c r="H164" s="5">
        <f t="shared" si="11"/>
        <v>1</v>
      </c>
      <c r="I164" s="5">
        <f t="shared" si="12"/>
        <v>0</v>
      </c>
    </row>
    <row r="165" spans="1:9">
      <c r="A165">
        <v>164</v>
      </c>
      <c r="B165">
        <v>10</v>
      </c>
      <c r="C165">
        <v>6000</v>
      </c>
      <c r="D165">
        <v>6526</v>
      </c>
      <c r="E165" s="5">
        <f t="shared" si="9"/>
        <v>526</v>
      </c>
      <c r="F165" s="5">
        <f t="shared" si="10"/>
        <v>276676</v>
      </c>
      <c r="G165" s="6">
        <f>SQRT(SUM($F$2:F165)/A165)</f>
        <v>799.55308782087911</v>
      </c>
      <c r="H165" s="5">
        <f t="shared" si="11"/>
        <v>1</v>
      </c>
      <c r="I165" s="5">
        <f t="shared" si="12"/>
        <v>1</v>
      </c>
    </row>
    <row r="166" spans="1:9">
      <c r="A166">
        <v>165</v>
      </c>
      <c r="B166">
        <v>9</v>
      </c>
      <c r="C166">
        <v>6000</v>
      </c>
      <c r="D166">
        <v>5923</v>
      </c>
      <c r="E166" s="5">
        <f t="shared" si="9"/>
        <v>77</v>
      </c>
      <c r="F166" s="5">
        <f t="shared" si="10"/>
        <v>5929</v>
      </c>
      <c r="G166" s="6">
        <f>SQRT(SUM($F$2:F166)/A166)</f>
        <v>797.14905643914437</v>
      </c>
      <c r="H166" s="5">
        <f t="shared" si="11"/>
        <v>1</v>
      </c>
      <c r="I166" s="5">
        <f t="shared" si="12"/>
        <v>1</v>
      </c>
    </row>
    <row r="167" spans="1:9">
      <c r="A167">
        <v>166</v>
      </c>
      <c r="B167">
        <v>9</v>
      </c>
      <c r="C167">
        <v>6000</v>
      </c>
      <c r="D167">
        <v>5868</v>
      </c>
      <c r="E167" s="5">
        <f t="shared" si="9"/>
        <v>132</v>
      </c>
      <c r="F167" s="5">
        <f t="shared" si="10"/>
        <v>17424</v>
      </c>
      <c r="G167" s="6">
        <f>SQRT(SUM($F$2:F167)/A167)</f>
        <v>794.81041158344533</v>
      </c>
      <c r="H167" s="5">
        <f t="shared" si="11"/>
        <v>1</v>
      </c>
      <c r="I167" s="5">
        <f t="shared" si="12"/>
        <v>1</v>
      </c>
    </row>
    <row r="168" spans="1:9">
      <c r="A168">
        <v>167</v>
      </c>
      <c r="B168">
        <v>9</v>
      </c>
      <c r="C168">
        <v>6000</v>
      </c>
      <c r="D168">
        <v>4585</v>
      </c>
      <c r="E168" s="5">
        <f t="shared" si="9"/>
        <v>1415</v>
      </c>
      <c r="F168" s="5">
        <f t="shared" si="10"/>
        <v>2002225</v>
      </c>
      <c r="G168" s="6">
        <f>SQRT(SUM($F$2:F168)/A168)</f>
        <v>799.95636482794646</v>
      </c>
      <c r="H168" s="5">
        <f t="shared" si="11"/>
        <v>0</v>
      </c>
      <c r="I168" s="5">
        <f t="shared" si="12"/>
        <v>0</v>
      </c>
    </row>
    <row r="169" spans="1:9">
      <c r="A169">
        <v>168</v>
      </c>
      <c r="B169">
        <v>11</v>
      </c>
      <c r="C169">
        <v>6000</v>
      </c>
      <c r="D169">
        <v>5100</v>
      </c>
      <c r="E169" s="5">
        <f t="shared" si="9"/>
        <v>900</v>
      </c>
      <c r="F169" s="5">
        <f t="shared" si="10"/>
        <v>810000</v>
      </c>
      <c r="G169" s="6">
        <f>SQRT(SUM($F$2:F169)/A169)</f>
        <v>800.58884950540062</v>
      </c>
      <c r="H169" s="5">
        <f t="shared" si="11"/>
        <v>1</v>
      </c>
      <c r="I169" s="5">
        <f t="shared" si="12"/>
        <v>0</v>
      </c>
    </row>
    <row r="170" spans="1:9">
      <c r="A170">
        <v>169</v>
      </c>
      <c r="B170">
        <v>11</v>
      </c>
      <c r="C170">
        <v>6000</v>
      </c>
      <c r="D170">
        <v>1614</v>
      </c>
      <c r="E170" s="5">
        <f t="shared" si="9"/>
        <v>4386</v>
      </c>
      <c r="F170" s="5">
        <f t="shared" si="10"/>
        <v>19236996</v>
      </c>
      <c r="G170" s="6">
        <f>SQRT(SUM($F$2:F170)/A170)</f>
        <v>866.59005616484376</v>
      </c>
      <c r="H170" s="5">
        <f t="shared" si="11"/>
        <v>0</v>
      </c>
      <c r="I170" s="5">
        <f t="shared" si="12"/>
        <v>0</v>
      </c>
    </row>
    <row r="171" spans="1:9">
      <c r="A171">
        <v>170</v>
      </c>
      <c r="B171">
        <v>15</v>
      </c>
      <c r="C171">
        <v>6000</v>
      </c>
      <c r="D171">
        <v>2413</v>
      </c>
      <c r="E171" s="5">
        <f t="shared" si="9"/>
        <v>3587</v>
      </c>
      <c r="F171" s="5">
        <f t="shared" si="10"/>
        <v>12866569</v>
      </c>
      <c r="G171" s="6">
        <f>SQRT(SUM($F$2:F171)/A171)</f>
        <v>906.77809076000119</v>
      </c>
      <c r="H171" s="5">
        <f t="shared" si="11"/>
        <v>0</v>
      </c>
      <c r="I171" s="5">
        <f t="shared" si="12"/>
        <v>0</v>
      </c>
    </row>
    <row r="172" spans="1:9">
      <c r="A172">
        <v>171</v>
      </c>
      <c r="B172">
        <v>16</v>
      </c>
      <c r="C172">
        <v>6000</v>
      </c>
      <c r="D172">
        <v>2602</v>
      </c>
      <c r="E172" s="5">
        <f t="shared" si="9"/>
        <v>3398</v>
      </c>
      <c r="F172" s="5">
        <f t="shared" si="10"/>
        <v>11546404</v>
      </c>
      <c r="G172" s="6">
        <f>SQRT(SUM($F$2:F172)/A172)</f>
        <v>940.7235923442031</v>
      </c>
      <c r="H172" s="5">
        <f t="shared" si="11"/>
        <v>0</v>
      </c>
      <c r="I172" s="5">
        <f t="shared" si="12"/>
        <v>0</v>
      </c>
    </row>
    <row r="173" spans="1:9">
      <c r="A173">
        <v>172</v>
      </c>
      <c r="B173">
        <v>16</v>
      </c>
      <c r="C173">
        <v>6000</v>
      </c>
      <c r="D173">
        <v>8906</v>
      </c>
      <c r="E173" s="5">
        <f t="shared" si="9"/>
        <v>2906</v>
      </c>
      <c r="F173" s="5">
        <f t="shared" si="10"/>
        <v>8444836</v>
      </c>
      <c r="G173" s="6">
        <f>SQRT(SUM($F$2:F173)/A173)</f>
        <v>963.80165985273322</v>
      </c>
      <c r="H173" s="5">
        <f t="shared" si="11"/>
        <v>0</v>
      </c>
      <c r="I173" s="5">
        <f t="shared" si="12"/>
        <v>0</v>
      </c>
    </row>
    <row r="174" spans="1:9">
      <c r="A174">
        <v>173</v>
      </c>
      <c r="B174">
        <v>9</v>
      </c>
      <c r="C174">
        <v>6000</v>
      </c>
      <c r="D174">
        <v>5910</v>
      </c>
      <c r="E174" s="5">
        <f t="shared" si="9"/>
        <v>90</v>
      </c>
      <c r="F174" s="5">
        <f t="shared" si="10"/>
        <v>8100</v>
      </c>
      <c r="G174" s="6">
        <f>SQRT(SUM($F$2:F174)/A174)</f>
        <v>961.03642872736123</v>
      </c>
      <c r="H174" s="5">
        <f t="shared" si="11"/>
        <v>1</v>
      </c>
      <c r="I174" s="5">
        <f t="shared" si="12"/>
        <v>1</v>
      </c>
    </row>
    <row r="175" spans="1:9">
      <c r="A175">
        <v>174</v>
      </c>
      <c r="B175">
        <v>12</v>
      </c>
      <c r="C175">
        <v>6000</v>
      </c>
      <c r="D175">
        <v>7036</v>
      </c>
      <c r="E175" s="5">
        <f t="shared" si="9"/>
        <v>1036</v>
      </c>
      <c r="F175" s="5">
        <f t="shared" si="10"/>
        <v>1073296</v>
      </c>
      <c r="G175" s="6">
        <f>SQRT(SUM($F$2:F175)/A175)</f>
        <v>961.48395244257597</v>
      </c>
      <c r="H175" s="5">
        <f t="shared" si="11"/>
        <v>1</v>
      </c>
      <c r="I175" s="5">
        <f t="shared" si="12"/>
        <v>0</v>
      </c>
    </row>
    <row r="176" spans="1:9">
      <c r="A176">
        <v>175</v>
      </c>
      <c r="B176">
        <v>11</v>
      </c>
      <c r="C176">
        <v>6000</v>
      </c>
      <c r="D176">
        <v>6298</v>
      </c>
      <c r="E176" s="5">
        <f t="shared" si="9"/>
        <v>298</v>
      </c>
      <c r="F176" s="5">
        <f t="shared" si="10"/>
        <v>88804</v>
      </c>
      <c r="G176" s="6">
        <f>SQRT(SUM($F$2:F176)/A176)</f>
        <v>958.99753016217039</v>
      </c>
      <c r="H176" s="5">
        <f t="shared" si="11"/>
        <v>1</v>
      </c>
      <c r="I176" s="5">
        <f t="shared" si="12"/>
        <v>1</v>
      </c>
    </row>
    <row r="177" spans="1:9">
      <c r="A177">
        <v>176</v>
      </c>
      <c r="B177">
        <v>12</v>
      </c>
      <c r="C177">
        <v>6000</v>
      </c>
      <c r="D177">
        <v>7395</v>
      </c>
      <c r="E177" s="5">
        <f t="shared" si="9"/>
        <v>1395</v>
      </c>
      <c r="F177" s="5">
        <f t="shared" si="10"/>
        <v>1946025</v>
      </c>
      <c r="G177" s="6">
        <f>SQRT(SUM($F$2:F177)/A177)</f>
        <v>962.03315419621958</v>
      </c>
      <c r="H177" s="5">
        <f t="shared" si="11"/>
        <v>0</v>
      </c>
      <c r="I177" s="5">
        <f t="shared" si="12"/>
        <v>0</v>
      </c>
    </row>
    <row r="178" spans="1:9">
      <c r="A178">
        <v>177</v>
      </c>
      <c r="B178">
        <v>10</v>
      </c>
      <c r="C178">
        <v>6000</v>
      </c>
      <c r="D178">
        <v>5873</v>
      </c>
      <c r="E178" s="5">
        <f t="shared" si="9"/>
        <v>127</v>
      </c>
      <c r="F178" s="5">
        <f t="shared" si="10"/>
        <v>16129</v>
      </c>
      <c r="G178" s="6">
        <f>SQRT(SUM($F$2:F178)/A178)</f>
        <v>959.35919055230568</v>
      </c>
      <c r="H178" s="5">
        <f t="shared" si="11"/>
        <v>1</v>
      </c>
      <c r="I178" s="5">
        <f t="shared" si="12"/>
        <v>1</v>
      </c>
    </row>
    <row r="179" spans="1:9">
      <c r="A179">
        <v>178</v>
      </c>
      <c r="B179">
        <v>12</v>
      </c>
      <c r="C179">
        <v>6000</v>
      </c>
      <c r="D179">
        <v>7303</v>
      </c>
      <c r="E179" s="5">
        <f t="shared" si="9"/>
        <v>1303</v>
      </c>
      <c r="F179" s="5">
        <f t="shared" si="10"/>
        <v>1697809</v>
      </c>
      <c r="G179" s="6">
        <f>SQRT(SUM($F$2:F179)/A179)</f>
        <v>961.63282546470714</v>
      </c>
      <c r="H179" s="5">
        <f t="shared" si="11"/>
        <v>0</v>
      </c>
      <c r="I179" s="5">
        <f t="shared" si="12"/>
        <v>0</v>
      </c>
    </row>
    <row r="180" spans="1:9">
      <c r="A180">
        <v>179</v>
      </c>
      <c r="B180">
        <v>10</v>
      </c>
      <c r="C180">
        <v>6000</v>
      </c>
      <c r="D180">
        <v>6589</v>
      </c>
      <c r="E180" s="5">
        <f t="shared" si="9"/>
        <v>589</v>
      </c>
      <c r="F180" s="5">
        <f t="shared" si="10"/>
        <v>346921</v>
      </c>
      <c r="G180" s="6">
        <f>SQRT(SUM($F$2:F180)/A180)</f>
        <v>959.95294926598842</v>
      </c>
      <c r="H180" s="5">
        <f t="shared" si="11"/>
        <v>1</v>
      </c>
      <c r="I180" s="5">
        <f t="shared" si="12"/>
        <v>1</v>
      </c>
    </row>
    <row r="181" spans="1:9">
      <c r="A181">
        <v>180</v>
      </c>
      <c r="B181">
        <v>10</v>
      </c>
      <c r="C181">
        <v>6000</v>
      </c>
      <c r="D181">
        <v>6054</v>
      </c>
      <c r="E181" s="5">
        <f t="shared" si="9"/>
        <v>54</v>
      </c>
      <c r="F181" s="5">
        <f t="shared" si="10"/>
        <v>2916</v>
      </c>
      <c r="G181" s="6">
        <f>SQRT(SUM($F$2:F181)/A181)</f>
        <v>957.29116086312354</v>
      </c>
      <c r="H181" s="5">
        <f t="shared" si="11"/>
        <v>1</v>
      </c>
      <c r="I181" s="5">
        <f t="shared" si="12"/>
        <v>1</v>
      </c>
    </row>
    <row r="182" spans="1:9">
      <c r="A182">
        <v>181</v>
      </c>
      <c r="B182">
        <v>11</v>
      </c>
      <c r="C182">
        <v>6000</v>
      </c>
      <c r="D182">
        <v>6788</v>
      </c>
      <c r="E182" s="5">
        <f t="shared" si="9"/>
        <v>788</v>
      </c>
      <c r="F182" s="5">
        <f t="shared" si="10"/>
        <v>620944</v>
      </c>
      <c r="G182" s="6">
        <f>SQRT(SUM($F$2:F182)/A182)</f>
        <v>956.43817254465148</v>
      </c>
      <c r="H182" s="5">
        <f t="shared" si="11"/>
        <v>1</v>
      </c>
      <c r="I182" s="5">
        <f t="shared" si="12"/>
        <v>0</v>
      </c>
    </row>
    <row r="183" spans="1:9">
      <c r="A183">
        <v>182</v>
      </c>
      <c r="B183">
        <v>10</v>
      </c>
      <c r="C183">
        <v>6000</v>
      </c>
      <c r="D183">
        <v>6801</v>
      </c>
      <c r="E183" s="5">
        <f t="shared" si="9"/>
        <v>801</v>
      </c>
      <c r="F183" s="5">
        <f t="shared" si="10"/>
        <v>641601</v>
      </c>
      <c r="G183" s="6">
        <f>SQRT(SUM($F$2:F183)/A183)</f>
        <v>955.65319414133046</v>
      </c>
      <c r="H183" s="5">
        <f t="shared" si="11"/>
        <v>1</v>
      </c>
      <c r="I183" s="5">
        <f t="shared" si="12"/>
        <v>0</v>
      </c>
    </row>
    <row r="184" spans="1:9">
      <c r="A184">
        <v>183</v>
      </c>
      <c r="B184">
        <v>10</v>
      </c>
      <c r="C184">
        <v>6000</v>
      </c>
      <c r="D184">
        <v>5983</v>
      </c>
      <c r="E184" s="5">
        <f t="shared" si="9"/>
        <v>17</v>
      </c>
      <c r="F184" s="5">
        <f t="shared" si="10"/>
        <v>289</v>
      </c>
      <c r="G184" s="6">
        <f>SQRT(SUM($F$2:F184)/A184)</f>
        <v>953.03937154550283</v>
      </c>
      <c r="H184" s="5">
        <f t="shared" si="11"/>
        <v>1</v>
      </c>
      <c r="I184" s="5">
        <f t="shared" si="12"/>
        <v>1</v>
      </c>
    </row>
    <row r="185" spans="1:9">
      <c r="A185">
        <v>184</v>
      </c>
      <c r="B185">
        <v>11</v>
      </c>
      <c r="C185">
        <v>6000</v>
      </c>
      <c r="D185">
        <v>7209</v>
      </c>
      <c r="E185" s="5">
        <f t="shared" si="9"/>
        <v>1209</v>
      </c>
      <c r="F185" s="5">
        <f t="shared" si="10"/>
        <v>1461681</v>
      </c>
      <c r="G185" s="6">
        <f>SQRT(SUM($F$2:F185)/A185)</f>
        <v>954.615962505114</v>
      </c>
      <c r="H185" s="5">
        <f t="shared" si="11"/>
        <v>0</v>
      </c>
      <c r="I185" s="5">
        <f t="shared" si="12"/>
        <v>0</v>
      </c>
    </row>
    <row r="186" spans="1:9">
      <c r="A186">
        <v>185</v>
      </c>
      <c r="B186">
        <v>9</v>
      </c>
      <c r="C186">
        <v>6000</v>
      </c>
      <c r="D186">
        <v>5354</v>
      </c>
      <c r="E186" s="5">
        <f t="shared" si="9"/>
        <v>646</v>
      </c>
      <c r="F186" s="5">
        <f t="shared" si="10"/>
        <v>417316</v>
      </c>
      <c r="G186" s="6">
        <f>SQRT(SUM($F$2:F186)/A186)</f>
        <v>953.21639583952674</v>
      </c>
      <c r="H186" s="5">
        <f t="shared" si="11"/>
        <v>1</v>
      </c>
      <c r="I186" s="5">
        <f t="shared" si="12"/>
        <v>0</v>
      </c>
    </row>
    <row r="187" spans="1:9">
      <c r="A187">
        <v>186</v>
      </c>
      <c r="B187">
        <v>11</v>
      </c>
      <c r="C187">
        <v>6000</v>
      </c>
      <c r="D187">
        <v>6437</v>
      </c>
      <c r="E187" s="5">
        <f t="shared" si="9"/>
        <v>437</v>
      </c>
      <c r="F187" s="5">
        <f t="shared" si="10"/>
        <v>190969</v>
      </c>
      <c r="G187" s="6">
        <f>SQRT(SUM($F$2:F187)/A187)</f>
        <v>951.1903860624509</v>
      </c>
      <c r="H187" s="5">
        <f t="shared" si="11"/>
        <v>1</v>
      </c>
      <c r="I187" s="5">
        <f t="shared" si="12"/>
        <v>1</v>
      </c>
    </row>
    <row r="188" spans="1:9">
      <c r="A188">
        <v>187</v>
      </c>
      <c r="B188">
        <v>10</v>
      </c>
      <c r="C188">
        <v>6000</v>
      </c>
      <c r="D188">
        <v>5835</v>
      </c>
      <c r="E188" s="5">
        <f t="shared" si="9"/>
        <v>165</v>
      </c>
      <c r="F188" s="5">
        <f t="shared" si="10"/>
        <v>27225</v>
      </c>
      <c r="G188" s="6">
        <f>SQRT(SUM($F$2:F188)/A188)</f>
        <v>948.72041885640908</v>
      </c>
      <c r="H188" s="5">
        <f t="shared" si="11"/>
        <v>1</v>
      </c>
      <c r="I188" s="5">
        <f t="shared" si="12"/>
        <v>1</v>
      </c>
    </row>
    <row r="189" spans="1:9">
      <c r="A189">
        <v>188</v>
      </c>
      <c r="B189">
        <v>11</v>
      </c>
      <c r="C189">
        <v>6000</v>
      </c>
      <c r="D189">
        <v>6941</v>
      </c>
      <c r="E189" s="5">
        <f t="shared" si="9"/>
        <v>941</v>
      </c>
      <c r="F189" s="5">
        <f t="shared" si="10"/>
        <v>885481</v>
      </c>
      <c r="G189" s="6">
        <f>SQRT(SUM($F$2:F189)/A189)</f>
        <v>948.67951900904563</v>
      </c>
      <c r="H189" s="5">
        <f t="shared" si="11"/>
        <v>1</v>
      </c>
      <c r="I189" s="5">
        <f t="shared" si="12"/>
        <v>0</v>
      </c>
    </row>
    <row r="190" spans="1:9">
      <c r="A190">
        <v>189</v>
      </c>
      <c r="B190">
        <v>9</v>
      </c>
      <c r="C190">
        <v>6000</v>
      </c>
      <c r="D190">
        <v>5702</v>
      </c>
      <c r="E190" s="5">
        <f t="shared" si="9"/>
        <v>298</v>
      </c>
      <c r="F190" s="5">
        <f t="shared" si="10"/>
        <v>88804</v>
      </c>
      <c r="G190" s="6">
        <f>SQRT(SUM($F$2:F190)/A190)</f>
        <v>946.41472167164932</v>
      </c>
      <c r="H190" s="5">
        <f t="shared" si="11"/>
        <v>1</v>
      </c>
      <c r="I190" s="5">
        <f t="shared" si="12"/>
        <v>1</v>
      </c>
    </row>
    <row r="191" spans="1:9">
      <c r="A191">
        <v>190</v>
      </c>
      <c r="B191">
        <v>11</v>
      </c>
      <c r="C191">
        <v>6000</v>
      </c>
      <c r="D191">
        <v>7122</v>
      </c>
      <c r="E191" s="5">
        <f t="shared" si="9"/>
        <v>1122</v>
      </c>
      <c r="F191" s="5">
        <f t="shared" si="10"/>
        <v>1258884</v>
      </c>
      <c r="G191" s="6">
        <f>SQRT(SUM($F$2:F191)/A191)</f>
        <v>947.42404222685514</v>
      </c>
      <c r="H191" s="5">
        <f t="shared" si="11"/>
        <v>1</v>
      </c>
      <c r="I191" s="5">
        <f t="shared" si="12"/>
        <v>0</v>
      </c>
    </row>
    <row r="192" spans="1:9">
      <c r="A192">
        <v>191</v>
      </c>
      <c r="B192">
        <v>9</v>
      </c>
      <c r="C192">
        <v>6000</v>
      </c>
      <c r="D192">
        <v>6733</v>
      </c>
      <c r="E192" s="5">
        <f t="shared" si="9"/>
        <v>733</v>
      </c>
      <c r="F192" s="5">
        <f t="shared" si="10"/>
        <v>537289</v>
      </c>
      <c r="G192" s="6">
        <f>SQRT(SUM($F$2:F192)/A192)</f>
        <v>946.42791922191441</v>
      </c>
      <c r="H192" s="5">
        <f t="shared" si="11"/>
        <v>1</v>
      </c>
      <c r="I192" s="5">
        <f t="shared" si="12"/>
        <v>0</v>
      </c>
    </row>
    <row r="193" spans="1:9">
      <c r="A193">
        <v>192</v>
      </c>
      <c r="B193">
        <v>9</v>
      </c>
      <c r="C193">
        <v>6000</v>
      </c>
      <c r="D193">
        <v>7191</v>
      </c>
      <c r="E193" s="5">
        <f t="shared" si="9"/>
        <v>1191</v>
      </c>
      <c r="F193" s="5">
        <f t="shared" si="10"/>
        <v>1418481</v>
      </c>
      <c r="G193" s="6">
        <f>SQRT(SUM($F$2:F193)/A193)</f>
        <v>947.86522754204532</v>
      </c>
      <c r="H193" s="5">
        <f t="shared" si="11"/>
        <v>1</v>
      </c>
      <c r="I193" s="5">
        <f t="shared" si="12"/>
        <v>0</v>
      </c>
    </row>
    <row r="194" spans="1:9">
      <c r="A194">
        <v>193</v>
      </c>
      <c r="B194">
        <v>8</v>
      </c>
      <c r="C194">
        <v>6000</v>
      </c>
      <c r="D194">
        <v>5935</v>
      </c>
      <c r="E194" s="5">
        <f t="shared" si="9"/>
        <v>65</v>
      </c>
      <c r="F194" s="5">
        <f t="shared" si="10"/>
        <v>4225</v>
      </c>
      <c r="G194" s="6">
        <f>SQRT(SUM($F$2:F194)/A194)</f>
        <v>945.4180066266382</v>
      </c>
      <c r="H194" s="5">
        <f t="shared" si="11"/>
        <v>1</v>
      </c>
      <c r="I194" s="5">
        <f t="shared" si="12"/>
        <v>1</v>
      </c>
    </row>
    <row r="195" spans="1:9">
      <c r="A195">
        <v>194</v>
      </c>
      <c r="B195">
        <v>9</v>
      </c>
      <c r="C195">
        <v>6000</v>
      </c>
      <c r="D195">
        <v>6215</v>
      </c>
      <c r="E195" s="5">
        <f t="shared" ref="E195:E258" si="13">ABS(C195-D195)</f>
        <v>215</v>
      </c>
      <c r="F195" s="5">
        <f t="shared" ref="F195:F258" si="14">POWER(E195,2)</f>
        <v>46225</v>
      </c>
      <c r="G195" s="6">
        <f>SQRT(SUM($F$2:F195)/A195)</f>
        <v>943.10454646715084</v>
      </c>
      <c r="H195" s="5">
        <f t="shared" ref="H195:H258" si="15">IF(ABS(E195)/C195&gt;0.2,0,1)</f>
        <v>1</v>
      </c>
      <c r="I195" s="5">
        <f t="shared" ref="I195:I258" si="16">IF(ABS(E195)/C195&gt;0.1,0,1)</f>
        <v>1</v>
      </c>
    </row>
    <row r="196" spans="1:9">
      <c r="A196">
        <v>195</v>
      </c>
      <c r="B196">
        <v>9</v>
      </c>
      <c r="C196">
        <v>6000</v>
      </c>
      <c r="D196">
        <v>6587</v>
      </c>
      <c r="E196" s="5">
        <f t="shared" si="13"/>
        <v>587</v>
      </c>
      <c r="F196" s="5">
        <f t="shared" si="14"/>
        <v>344569</v>
      </c>
      <c r="G196" s="6">
        <f>SQRT(SUM($F$2:F196)/A196)</f>
        <v>941.62197488681386</v>
      </c>
      <c r="H196" s="5">
        <f t="shared" si="15"/>
        <v>1</v>
      </c>
      <c r="I196" s="5">
        <f t="shared" si="16"/>
        <v>1</v>
      </c>
    </row>
    <row r="197" spans="1:9">
      <c r="A197">
        <v>196</v>
      </c>
      <c r="B197">
        <v>9</v>
      </c>
      <c r="C197">
        <v>6000</v>
      </c>
      <c r="D197">
        <v>6466</v>
      </c>
      <c r="E197" s="5">
        <f t="shared" si="13"/>
        <v>466</v>
      </c>
      <c r="F197" s="5">
        <f t="shared" si="14"/>
        <v>217156</v>
      </c>
      <c r="G197" s="6">
        <f>SQRT(SUM($F$2:F197)/A197)</f>
        <v>939.80644175233431</v>
      </c>
      <c r="H197" s="5">
        <f t="shared" si="15"/>
        <v>1</v>
      </c>
      <c r="I197" s="5">
        <f t="shared" si="16"/>
        <v>1</v>
      </c>
    </row>
    <row r="198" spans="1:9">
      <c r="A198">
        <v>197</v>
      </c>
      <c r="B198">
        <v>9</v>
      </c>
      <c r="C198">
        <v>6000</v>
      </c>
      <c r="D198">
        <v>5355</v>
      </c>
      <c r="E198" s="5">
        <f t="shared" si="13"/>
        <v>645</v>
      </c>
      <c r="F198" s="5">
        <f t="shared" si="14"/>
        <v>416025</v>
      </c>
      <c r="G198" s="6">
        <f>SQRT(SUM($F$2:F198)/A198)</f>
        <v>938.54382836737966</v>
      </c>
      <c r="H198" s="5">
        <f t="shared" si="15"/>
        <v>1</v>
      </c>
      <c r="I198" s="5">
        <f t="shared" si="16"/>
        <v>0</v>
      </c>
    </row>
    <row r="199" spans="1:9">
      <c r="A199">
        <v>198</v>
      </c>
      <c r="B199">
        <v>10</v>
      </c>
      <c r="C199">
        <v>6000</v>
      </c>
      <c r="D199">
        <v>6390</v>
      </c>
      <c r="E199" s="5">
        <f t="shared" si="13"/>
        <v>390</v>
      </c>
      <c r="F199" s="5">
        <f t="shared" si="14"/>
        <v>152100</v>
      </c>
      <c r="G199" s="6">
        <f>SQRT(SUM($F$2:F199)/A199)</f>
        <v>936.58095693265557</v>
      </c>
      <c r="H199" s="5">
        <f t="shared" si="15"/>
        <v>1</v>
      </c>
      <c r="I199" s="5">
        <f t="shared" si="16"/>
        <v>1</v>
      </c>
    </row>
    <row r="200" spans="1:9">
      <c r="A200">
        <v>199</v>
      </c>
      <c r="B200">
        <v>9</v>
      </c>
      <c r="C200">
        <v>6000</v>
      </c>
      <c r="D200">
        <v>5415</v>
      </c>
      <c r="E200" s="5">
        <f t="shared" si="13"/>
        <v>585</v>
      </c>
      <c r="F200" s="5">
        <f t="shared" si="14"/>
        <v>342225</v>
      </c>
      <c r="G200" s="6">
        <f>SQRT(SUM($F$2:F200)/A200)</f>
        <v>935.14472316659715</v>
      </c>
      <c r="H200" s="5">
        <f t="shared" si="15"/>
        <v>1</v>
      </c>
      <c r="I200" s="5">
        <f t="shared" si="16"/>
        <v>1</v>
      </c>
    </row>
    <row r="201" spans="1:9">
      <c r="A201">
        <v>200</v>
      </c>
      <c r="B201">
        <v>10</v>
      </c>
      <c r="C201">
        <v>6000</v>
      </c>
      <c r="D201">
        <v>6564</v>
      </c>
      <c r="E201" s="5">
        <f t="shared" si="13"/>
        <v>564</v>
      </c>
      <c r="F201" s="5">
        <f t="shared" si="14"/>
        <v>318096</v>
      </c>
      <c r="G201" s="6">
        <f>SQRT(SUM($F$2:F201)/A201)</f>
        <v>933.65606890331946</v>
      </c>
      <c r="H201" s="5">
        <f t="shared" si="15"/>
        <v>1</v>
      </c>
      <c r="I201" s="5">
        <f t="shared" si="16"/>
        <v>1</v>
      </c>
    </row>
    <row r="202" spans="1:9">
      <c r="A202">
        <v>201</v>
      </c>
      <c r="B202">
        <v>1</v>
      </c>
      <c r="C202">
        <v>9000</v>
      </c>
      <c r="D202">
        <v>955</v>
      </c>
      <c r="E202" s="5">
        <f t="shared" si="13"/>
        <v>8045</v>
      </c>
      <c r="F202" s="5">
        <f t="shared" si="14"/>
        <v>64722025</v>
      </c>
      <c r="G202" s="6">
        <f>SQRT(SUM($F$2:F202)/A202)</f>
        <v>1090.5855745985218</v>
      </c>
      <c r="H202" s="5">
        <f t="shared" si="15"/>
        <v>0</v>
      </c>
      <c r="I202" s="5">
        <f t="shared" si="16"/>
        <v>0</v>
      </c>
    </row>
    <row r="203" spans="1:9">
      <c r="A203">
        <v>202</v>
      </c>
      <c r="B203">
        <v>11</v>
      </c>
      <c r="C203">
        <v>9000</v>
      </c>
      <c r="D203">
        <v>7796</v>
      </c>
      <c r="E203" s="5">
        <f t="shared" si="13"/>
        <v>1204</v>
      </c>
      <c r="F203" s="5">
        <f t="shared" si="14"/>
        <v>1449616</v>
      </c>
      <c r="G203" s="6">
        <f>SQRT(SUM($F$2:F203)/A203)</f>
        <v>1091.1760664167778</v>
      </c>
      <c r="H203" s="5">
        <f t="shared" si="15"/>
        <v>1</v>
      </c>
      <c r="I203" s="5">
        <f t="shared" si="16"/>
        <v>0</v>
      </c>
    </row>
    <row r="204" spans="1:9">
      <c r="A204">
        <v>203</v>
      </c>
      <c r="B204">
        <v>4</v>
      </c>
      <c r="C204">
        <v>9000</v>
      </c>
      <c r="D204">
        <v>3038</v>
      </c>
      <c r="E204" s="5">
        <f t="shared" si="13"/>
        <v>5962</v>
      </c>
      <c r="F204" s="5">
        <f t="shared" si="14"/>
        <v>35545444</v>
      </c>
      <c r="G204" s="6">
        <f>SQRT(SUM($F$2:F204)/A204)</f>
        <v>1166.1477485415694</v>
      </c>
      <c r="H204" s="5">
        <f t="shared" si="15"/>
        <v>0</v>
      </c>
      <c r="I204" s="5">
        <f t="shared" si="16"/>
        <v>0</v>
      </c>
    </row>
    <row r="205" spans="1:9">
      <c r="A205">
        <v>204</v>
      </c>
      <c r="B205">
        <v>11</v>
      </c>
      <c r="C205">
        <v>9000</v>
      </c>
      <c r="D205">
        <v>7034</v>
      </c>
      <c r="E205" s="5">
        <f t="shared" si="13"/>
        <v>1966</v>
      </c>
      <c r="F205" s="5">
        <f t="shared" si="14"/>
        <v>3865156</v>
      </c>
      <c r="G205" s="6">
        <f>SQRT(SUM($F$2:F205)/A205)</f>
        <v>1171.4013980246557</v>
      </c>
      <c r="H205" s="5">
        <f t="shared" si="15"/>
        <v>0</v>
      </c>
      <c r="I205" s="5">
        <f t="shared" si="16"/>
        <v>0</v>
      </c>
    </row>
    <row r="206" spans="1:9">
      <c r="A206">
        <v>205</v>
      </c>
      <c r="B206">
        <v>7</v>
      </c>
      <c r="C206">
        <v>9000</v>
      </c>
      <c r="D206">
        <v>5115</v>
      </c>
      <c r="E206" s="5">
        <f t="shared" si="13"/>
        <v>3885</v>
      </c>
      <c r="F206" s="5">
        <f t="shared" si="14"/>
        <v>15093225</v>
      </c>
      <c r="G206" s="6">
        <f>SQRT(SUM($F$2:F206)/A206)</f>
        <v>1199.6304247965541</v>
      </c>
      <c r="H206" s="5">
        <f t="shared" si="15"/>
        <v>0</v>
      </c>
      <c r="I206" s="5">
        <f t="shared" si="16"/>
        <v>0</v>
      </c>
    </row>
    <row r="207" spans="1:9">
      <c r="A207">
        <v>206</v>
      </c>
      <c r="B207">
        <v>10</v>
      </c>
      <c r="C207">
        <v>9000</v>
      </c>
      <c r="D207">
        <v>6893</v>
      </c>
      <c r="E207" s="5">
        <f t="shared" si="13"/>
        <v>2107</v>
      </c>
      <c r="F207" s="5">
        <f t="shared" si="14"/>
        <v>4439449</v>
      </c>
      <c r="G207" s="6">
        <f>SQRT(SUM($F$2:F207)/A207)</f>
        <v>1205.6856527320392</v>
      </c>
      <c r="H207" s="5">
        <f t="shared" si="15"/>
        <v>0</v>
      </c>
      <c r="I207" s="5">
        <f t="shared" si="16"/>
        <v>0</v>
      </c>
    </row>
    <row r="208" spans="1:9">
      <c r="A208">
        <v>207</v>
      </c>
      <c r="B208">
        <v>9</v>
      </c>
      <c r="C208">
        <v>9000</v>
      </c>
      <c r="D208">
        <v>5892</v>
      </c>
      <c r="E208" s="5">
        <f t="shared" si="13"/>
        <v>3108</v>
      </c>
      <c r="F208" s="5">
        <f t="shared" si="14"/>
        <v>9659664</v>
      </c>
      <c r="G208" s="6">
        <f>SQRT(SUM($F$2:F208)/A208)</f>
        <v>1222.0148682255267</v>
      </c>
      <c r="H208" s="5">
        <f t="shared" si="15"/>
        <v>0</v>
      </c>
      <c r="I208" s="5">
        <f t="shared" si="16"/>
        <v>0</v>
      </c>
    </row>
    <row r="209" spans="1:9">
      <c r="A209">
        <v>208</v>
      </c>
      <c r="B209">
        <v>11</v>
      </c>
      <c r="C209">
        <v>9000</v>
      </c>
      <c r="D209">
        <v>8013</v>
      </c>
      <c r="E209" s="5">
        <f t="shared" si="13"/>
        <v>987</v>
      </c>
      <c r="F209" s="5">
        <f t="shared" si="14"/>
        <v>974169</v>
      </c>
      <c r="G209" s="6">
        <f>SQRT(SUM($F$2:F209)/A209)</f>
        <v>1220.9932097555788</v>
      </c>
      <c r="H209" s="5">
        <f t="shared" si="15"/>
        <v>1</v>
      </c>
      <c r="I209" s="5">
        <f t="shared" si="16"/>
        <v>0</v>
      </c>
    </row>
    <row r="210" spans="1:9">
      <c r="A210">
        <v>209</v>
      </c>
      <c r="B210">
        <v>9</v>
      </c>
      <c r="C210">
        <v>9000</v>
      </c>
      <c r="D210">
        <v>5953</v>
      </c>
      <c r="E210" s="5">
        <f t="shared" si="13"/>
        <v>3047</v>
      </c>
      <c r="F210" s="5">
        <f t="shared" si="14"/>
        <v>9284209</v>
      </c>
      <c r="G210" s="6">
        <f>SQRT(SUM($F$2:F210)/A210)</f>
        <v>1236.1688152161576</v>
      </c>
      <c r="H210" s="5">
        <f t="shared" si="15"/>
        <v>0</v>
      </c>
      <c r="I210" s="5">
        <f t="shared" si="16"/>
        <v>0</v>
      </c>
    </row>
    <row r="211" spans="1:9">
      <c r="A211">
        <v>210</v>
      </c>
      <c r="B211">
        <v>12</v>
      </c>
      <c r="C211">
        <v>9000</v>
      </c>
      <c r="D211">
        <v>7477</v>
      </c>
      <c r="E211" s="5">
        <f t="shared" si="13"/>
        <v>1523</v>
      </c>
      <c r="F211" s="5">
        <f t="shared" si="14"/>
        <v>2319529</v>
      </c>
      <c r="G211" s="6">
        <f>SQRT(SUM($F$2:F211)/A211)</f>
        <v>1237.6922015243877</v>
      </c>
      <c r="H211" s="5">
        <f t="shared" si="15"/>
        <v>1</v>
      </c>
      <c r="I211" s="5">
        <f t="shared" si="16"/>
        <v>0</v>
      </c>
    </row>
    <row r="212" spans="1:9">
      <c r="A212">
        <v>211</v>
      </c>
      <c r="B212">
        <v>11</v>
      </c>
      <c r="C212">
        <v>9000</v>
      </c>
      <c r="D212">
        <v>6981</v>
      </c>
      <c r="E212" s="5">
        <f t="shared" si="13"/>
        <v>2019</v>
      </c>
      <c r="F212" s="5">
        <f t="shared" si="14"/>
        <v>4076361</v>
      </c>
      <c r="G212" s="6">
        <f>SQRT(SUM($F$2:F212)/A212)</f>
        <v>1242.554275660458</v>
      </c>
      <c r="H212" s="5">
        <f t="shared" si="15"/>
        <v>0</v>
      </c>
      <c r="I212" s="5">
        <f t="shared" si="16"/>
        <v>0</v>
      </c>
    </row>
    <row r="213" spans="1:9">
      <c r="A213">
        <v>212</v>
      </c>
      <c r="B213">
        <v>12</v>
      </c>
      <c r="C213">
        <v>9000</v>
      </c>
      <c r="D213">
        <v>7267</v>
      </c>
      <c r="E213" s="5">
        <f t="shared" si="13"/>
        <v>1733</v>
      </c>
      <c r="F213" s="5">
        <f t="shared" si="14"/>
        <v>3003289</v>
      </c>
      <c r="G213" s="6">
        <f>SQRT(SUM($F$2:F213)/A213)</f>
        <v>1245.3211811976951</v>
      </c>
      <c r="H213" s="5">
        <f t="shared" si="15"/>
        <v>1</v>
      </c>
      <c r="I213" s="5">
        <f t="shared" si="16"/>
        <v>0</v>
      </c>
    </row>
    <row r="214" spans="1:9">
      <c r="A214">
        <v>213</v>
      </c>
      <c r="B214">
        <v>12</v>
      </c>
      <c r="C214">
        <v>9000</v>
      </c>
      <c r="D214">
        <v>7326</v>
      </c>
      <c r="E214" s="5">
        <f t="shared" si="13"/>
        <v>1674</v>
      </c>
      <c r="F214" s="5">
        <f t="shared" si="14"/>
        <v>2802276</v>
      </c>
      <c r="G214" s="6">
        <f>SQRT(SUM($F$2:F214)/A214)</f>
        <v>1247.6779239362754</v>
      </c>
      <c r="H214" s="5">
        <f t="shared" si="15"/>
        <v>1</v>
      </c>
      <c r="I214" s="5">
        <f t="shared" si="16"/>
        <v>0</v>
      </c>
    </row>
    <row r="215" spans="1:9">
      <c r="A215">
        <v>214</v>
      </c>
      <c r="B215">
        <v>13</v>
      </c>
      <c r="C215">
        <v>9000</v>
      </c>
      <c r="D215">
        <v>7564</v>
      </c>
      <c r="E215" s="5">
        <f t="shared" si="13"/>
        <v>1436</v>
      </c>
      <c r="F215" s="5">
        <f t="shared" si="14"/>
        <v>2062096</v>
      </c>
      <c r="G215" s="6">
        <f>SQRT(SUM($F$2:F215)/A215)</f>
        <v>1248.6239884312577</v>
      </c>
      <c r="H215" s="5">
        <f t="shared" si="15"/>
        <v>1</v>
      </c>
      <c r="I215" s="5">
        <f t="shared" si="16"/>
        <v>0</v>
      </c>
    </row>
    <row r="216" spans="1:9">
      <c r="A216">
        <v>215</v>
      </c>
      <c r="B216">
        <v>13</v>
      </c>
      <c r="C216">
        <v>9000</v>
      </c>
      <c r="D216">
        <v>6832</v>
      </c>
      <c r="E216" s="5">
        <f t="shared" si="13"/>
        <v>2168</v>
      </c>
      <c r="F216" s="5">
        <f t="shared" si="14"/>
        <v>4700224</v>
      </c>
      <c r="G216" s="6">
        <f>SQRT(SUM($F$2:F216)/A216)</f>
        <v>1254.4608088458692</v>
      </c>
      <c r="H216" s="5">
        <f t="shared" si="15"/>
        <v>0</v>
      </c>
      <c r="I216" s="5">
        <f t="shared" si="16"/>
        <v>0</v>
      </c>
    </row>
    <row r="217" spans="1:9">
      <c r="A217">
        <v>216</v>
      </c>
      <c r="B217">
        <v>14</v>
      </c>
      <c r="C217">
        <v>9000</v>
      </c>
      <c r="D217">
        <v>7282</v>
      </c>
      <c r="E217" s="5">
        <f t="shared" si="13"/>
        <v>1718</v>
      </c>
      <c r="F217" s="5">
        <f t="shared" si="14"/>
        <v>2951524</v>
      </c>
      <c r="G217" s="6">
        <f>SQRT(SUM($F$2:F217)/A217)</f>
        <v>1257.0007421400915</v>
      </c>
      <c r="H217" s="5">
        <f t="shared" si="15"/>
        <v>1</v>
      </c>
      <c r="I217" s="5">
        <f t="shared" si="16"/>
        <v>0</v>
      </c>
    </row>
    <row r="218" spans="1:9">
      <c r="A218">
        <v>217</v>
      </c>
      <c r="B218">
        <v>14</v>
      </c>
      <c r="C218">
        <v>9000</v>
      </c>
      <c r="D218">
        <v>2875</v>
      </c>
      <c r="E218" s="5">
        <f t="shared" si="13"/>
        <v>6125</v>
      </c>
      <c r="F218" s="5">
        <f t="shared" si="14"/>
        <v>37515625</v>
      </c>
      <c r="G218" s="6">
        <f>SQRT(SUM($F$2:F218)/A218)</f>
        <v>1321.2314671781592</v>
      </c>
      <c r="H218" s="5">
        <f t="shared" si="15"/>
        <v>0</v>
      </c>
      <c r="I218" s="5">
        <f t="shared" si="16"/>
        <v>0</v>
      </c>
    </row>
    <row r="219" spans="1:9">
      <c r="A219">
        <v>218</v>
      </c>
      <c r="B219">
        <v>21</v>
      </c>
      <c r="C219">
        <v>9000</v>
      </c>
      <c r="D219">
        <v>4605</v>
      </c>
      <c r="E219" s="5">
        <f t="shared" si="13"/>
        <v>4395</v>
      </c>
      <c r="F219" s="5">
        <f t="shared" si="14"/>
        <v>19316025</v>
      </c>
      <c r="G219" s="6">
        <f>SQRT(SUM($F$2:F219)/A219)</f>
        <v>1351.3884076905376</v>
      </c>
      <c r="H219" s="5">
        <f t="shared" si="15"/>
        <v>0</v>
      </c>
      <c r="I219" s="5">
        <f t="shared" si="16"/>
        <v>0</v>
      </c>
    </row>
    <row r="220" spans="1:9">
      <c r="A220">
        <v>219</v>
      </c>
      <c r="B220">
        <v>20</v>
      </c>
      <c r="C220">
        <v>9000</v>
      </c>
      <c r="D220">
        <v>10565</v>
      </c>
      <c r="E220" s="5">
        <f t="shared" si="13"/>
        <v>1565</v>
      </c>
      <c r="F220" s="5">
        <f t="shared" si="14"/>
        <v>2449225</v>
      </c>
      <c r="G220" s="6">
        <f>SQRT(SUM($F$2:F220)/A220)</f>
        <v>1352.4404830801141</v>
      </c>
      <c r="H220" s="5">
        <f t="shared" si="15"/>
        <v>1</v>
      </c>
      <c r="I220" s="5">
        <f t="shared" si="16"/>
        <v>0</v>
      </c>
    </row>
    <row r="221" spans="1:9">
      <c r="A221">
        <v>220</v>
      </c>
      <c r="B221">
        <v>14</v>
      </c>
      <c r="C221">
        <v>9000</v>
      </c>
      <c r="D221">
        <v>7752</v>
      </c>
      <c r="E221" s="5">
        <f t="shared" si="13"/>
        <v>1248</v>
      </c>
      <c r="F221" s="5">
        <f t="shared" si="14"/>
        <v>1557504</v>
      </c>
      <c r="G221" s="6">
        <f>SQRT(SUM($F$2:F221)/A221)</f>
        <v>1351.9840067639316</v>
      </c>
      <c r="H221" s="5">
        <f t="shared" si="15"/>
        <v>1</v>
      </c>
      <c r="I221" s="5">
        <f t="shared" si="16"/>
        <v>0</v>
      </c>
    </row>
    <row r="222" spans="1:9">
      <c r="A222">
        <v>221</v>
      </c>
      <c r="B222">
        <v>17</v>
      </c>
      <c r="C222">
        <v>9000</v>
      </c>
      <c r="D222">
        <v>9383</v>
      </c>
      <c r="E222" s="5">
        <f t="shared" si="13"/>
        <v>383</v>
      </c>
      <c r="F222" s="5">
        <f t="shared" si="14"/>
        <v>146689</v>
      </c>
      <c r="G222" s="6">
        <f>SQRT(SUM($F$2:F222)/A222)</f>
        <v>1349.1677592256408</v>
      </c>
      <c r="H222" s="5">
        <f t="shared" si="15"/>
        <v>1</v>
      </c>
      <c r="I222" s="5">
        <f t="shared" si="16"/>
        <v>1</v>
      </c>
    </row>
    <row r="223" spans="1:9">
      <c r="A223">
        <v>222</v>
      </c>
      <c r="B223">
        <v>15</v>
      </c>
      <c r="C223">
        <v>9000</v>
      </c>
      <c r="D223">
        <v>8898</v>
      </c>
      <c r="E223" s="5">
        <f t="shared" si="13"/>
        <v>102</v>
      </c>
      <c r="F223" s="5">
        <f t="shared" si="14"/>
        <v>10404</v>
      </c>
      <c r="G223" s="6">
        <f>SQRT(SUM($F$2:F223)/A223)</f>
        <v>1346.1430706528436</v>
      </c>
      <c r="H223" s="5">
        <f t="shared" si="15"/>
        <v>1</v>
      </c>
      <c r="I223" s="5">
        <f t="shared" si="16"/>
        <v>1</v>
      </c>
    </row>
    <row r="224" spans="1:9">
      <c r="A224">
        <v>223</v>
      </c>
      <c r="B224">
        <v>15</v>
      </c>
      <c r="C224">
        <v>9000</v>
      </c>
      <c r="D224">
        <v>8836</v>
      </c>
      <c r="E224" s="5">
        <f t="shared" si="13"/>
        <v>164</v>
      </c>
      <c r="F224" s="5">
        <f t="shared" si="14"/>
        <v>26896</v>
      </c>
      <c r="G224" s="6">
        <f>SQRT(SUM($F$2:F224)/A224)</f>
        <v>1343.1663196833958</v>
      </c>
      <c r="H224" s="5">
        <f t="shared" si="15"/>
        <v>1</v>
      </c>
      <c r="I224" s="5">
        <f t="shared" si="16"/>
        <v>1</v>
      </c>
    </row>
    <row r="225" spans="1:9">
      <c r="A225">
        <v>224</v>
      </c>
      <c r="B225">
        <v>16</v>
      </c>
      <c r="C225">
        <v>9000</v>
      </c>
      <c r="D225">
        <v>9130</v>
      </c>
      <c r="E225" s="5">
        <f t="shared" si="13"/>
        <v>130</v>
      </c>
      <c r="F225" s="5">
        <f t="shared" si="14"/>
        <v>16900</v>
      </c>
      <c r="G225" s="6">
        <f>SQRT(SUM($F$2:F225)/A225)</f>
        <v>1340.1929748440814</v>
      </c>
      <c r="H225" s="5">
        <f t="shared" si="15"/>
        <v>1</v>
      </c>
      <c r="I225" s="5">
        <f t="shared" si="16"/>
        <v>1</v>
      </c>
    </row>
    <row r="226" spans="1:9">
      <c r="A226">
        <v>225</v>
      </c>
      <c r="B226">
        <v>15</v>
      </c>
      <c r="C226">
        <v>9000</v>
      </c>
      <c r="D226">
        <v>9399</v>
      </c>
      <c r="E226" s="5">
        <f t="shared" si="13"/>
        <v>399</v>
      </c>
      <c r="F226" s="5">
        <f t="shared" si="14"/>
        <v>159201</v>
      </c>
      <c r="G226" s="6">
        <f>SQRT(SUM($F$2:F226)/A226)</f>
        <v>1337.4759910617711</v>
      </c>
      <c r="H226" s="5">
        <f t="shared" si="15"/>
        <v>1</v>
      </c>
      <c r="I226" s="5">
        <f t="shared" si="16"/>
        <v>1</v>
      </c>
    </row>
    <row r="227" spans="1:9">
      <c r="A227">
        <v>226</v>
      </c>
      <c r="B227">
        <v>15</v>
      </c>
      <c r="C227">
        <v>9000</v>
      </c>
      <c r="D227">
        <v>8689</v>
      </c>
      <c r="E227" s="5">
        <f t="shared" si="13"/>
        <v>311</v>
      </c>
      <c r="F227" s="5">
        <f t="shared" si="14"/>
        <v>96721</v>
      </c>
      <c r="G227" s="6">
        <f>SQRT(SUM($F$2:F227)/A227)</f>
        <v>1334.6740296741843</v>
      </c>
      <c r="H227" s="5">
        <f t="shared" si="15"/>
        <v>1</v>
      </c>
      <c r="I227" s="5">
        <f t="shared" si="16"/>
        <v>1</v>
      </c>
    </row>
    <row r="228" spans="1:9">
      <c r="A228">
        <v>227</v>
      </c>
      <c r="B228">
        <v>16</v>
      </c>
      <c r="C228">
        <v>9000</v>
      </c>
      <c r="D228">
        <v>10051</v>
      </c>
      <c r="E228" s="5">
        <f t="shared" si="13"/>
        <v>1051</v>
      </c>
      <c r="F228" s="5">
        <f t="shared" si="14"/>
        <v>1104601</v>
      </c>
      <c r="G228" s="6">
        <f>SQRT(SUM($F$2:F228)/A228)</f>
        <v>1333.5566997190779</v>
      </c>
      <c r="H228" s="5">
        <f t="shared" si="15"/>
        <v>1</v>
      </c>
      <c r="I228" s="5">
        <f t="shared" si="16"/>
        <v>0</v>
      </c>
    </row>
    <row r="229" spans="1:9">
      <c r="A229">
        <v>228</v>
      </c>
      <c r="B229">
        <v>14</v>
      </c>
      <c r="C229">
        <v>9000</v>
      </c>
      <c r="D229">
        <v>9104</v>
      </c>
      <c r="E229" s="5">
        <f t="shared" si="13"/>
        <v>104</v>
      </c>
      <c r="F229" s="5">
        <f t="shared" si="14"/>
        <v>10816</v>
      </c>
      <c r="G229" s="6">
        <f>SQRT(SUM($F$2:F229)/A229)</f>
        <v>1330.6468450779078</v>
      </c>
      <c r="H229" s="5">
        <f t="shared" si="15"/>
        <v>1</v>
      </c>
      <c r="I229" s="5">
        <f t="shared" si="16"/>
        <v>1</v>
      </c>
    </row>
    <row r="230" spans="1:9">
      <c r="A230">
        <v>229</v>
      </c>
      <c r="B230">
        <v>15</v>
      </c>
      <c r="C230">
        <v>9000</v>
      </c>
      <c r="D230">
        <v>9119</v>
      </c>
      <c r="E230" s="5">
        <f t="shared" si="13"/>
        <v>119</v>
      </c>
      <c r="F230" s="5">
        <f t="shared" si="14"/>
        <v>14161</v>
      </c>
      <c r="G230" s="6">
        <f>SQRT(SUM($F$2:F230)/A230)</f>
        <v>1327.7616108309905</v>
      </c>
      <c r="H230" s="5">
        <f t="shared" si="15"/>
        <v>1</v>
      </c>
      <c r="I230" s="5">
        <f t="shared" si="16"/>
        <v>1</v>
      </c>
    </row>
    <row r="231" spans="1:9">
      <c r="A231">
        <v>230</v>
      </c>
      <c r="B231">
        <v>15</v>
      </c>
      <c r="C231">
        <v>9000</v>
      </c>
      <c r="D231">
        <v>8709</v>
      </c>
      <c r="E231" s="5">
        <f t="shared" si="13"/>
        <v>291</v>
      </c>
      <c r="F231" s="5">
        <f t="shared" si="14"/>
        <v>84681</v>
      </c>
      <c r="G231" s="6">
        <f>SQRT(SUM($F$2:F231)/A231)</f>
        <v>1325.0109696018435</v>
      </c>
      <c r="H231" s="5">
        <f t="shared" si="15"/>
        <v>1</v>
      </c>
      <c r="I231" s="5">
        <f t="shared" si="16"/>
        <v>1</v>
      </c>
    </row>
    <row r="232" spans="1:9">
      <c r="A232">
        <v>231</v>
      </c>
      <c r="B232">
        <v>15</v>
      </c>
      <c r="C232">
        <v>9000</v>
      </c>
      <c r="D232">
        <v>8775</v>
      </c>
      <c r="E232" s="5">
        <f t="shared" si="13"/>
        <v>225</v>
      </c>
      <c r="F232" s="5">
        <f t="shared" si="14"/>
        <v>50625</v>
      </c>
      <c r="G232" s="6">
        <f>SQRT(SUM($F$2:F232)/A232)</f>
        <v>1322.2227464924324</v>
      </c>
      <c r="H232" s="5">
        <f t="shared" si="15"/>
        <v>1</v>
      </c>
      <c r="I232" s="5">
        <f t="shared" si="16"/>
        <v>1</v>
      </c>
    </row>
    <row r="233" spans="1:9">
      <c r="A233">
        <v>232</v>
      </c>
      <c r="B233">
        <v>15</v>
      </c>
      <c r="C233">
        <v>9000</v>
      </c>
      <c r="D233">
        <v>8655</v>
      </c>
      <c r="E233" s="5">
        <f t="shared" si="13"/>
        <v>345</v>
      </c>
      <c r="F233" s="5">
        <f t="shared" si="14"/>
        <v>119025</v>
      </c>
      <c r="G233" s="6">
        <f>SQRT(SUM($F$2:F233)/A233)</f>
        <v>1319.5644624987651</v>
      </c>
      <c r="H233" s="5">
        <f t="shared" si="15"/>
        <v>1</v>
      </c>
      <c r="I233" s="5">
        <f t="shared" si="16"/>
        <v>1</v>
      </c>
    </row>
    <row r="234" spans="1:9">
      <c r="A234">
        <v>233</v>
      </c>
      <c r="B234">
        <v>16</v>
      </c>
      <c r="C234">
        <v>9000</v>
      </c>
      <c r="D234">
        <v>8857</v>
      </c>
      <c r="E234" s="5">
        <f t="shared" si="13"/>
        <v>143</v>
      </c>
      <c r="F234" s="5">
        <f t="shared" si="14"/>
        <v>20449</v>
      </c>
      <c r="G234" s="6">
        <f>SQRT(SUM($F$2:F234)/A234)</f>
        <v>1316.7630603421198</v>
      </c>
      <c r="H234" s="5">
        <f t="shared" si="15"/>
        <v>1</v>
      </c>
      <c r="I234" s="5">
        <f t="shared" si="16"/>
        <v>1</v>
      </c>
    </row>
    <row r="235" spans="1:9">
      <c r="A235">
        <v>234</v>
      </c>
      <c r="B235">
        <v>15</v>
      </c>
      <c r="C235">
        <v>9000</v>
      </c>
      <c r="D235">
        <v>8376</v>
      </c>
      <c r="E235" s="5">
        <f t="shared" si="13"/>
        <v>624</v>
      </c>
      <c r="F235" s="5">
        <f t="shared" si="14"/>
        <v>389376</v>
      </c>
      <c r="G235" s="6">
        <f>SQRT(SUM($F$2:F235)/A235)</f>
        <v>1314.5795060694418</v>
      </c>
      <c r="H235" s="5">
        <f t="shared" si="15"/>
        <v>1</v>
      </c>
      <c r="I235" s="5">
        <f t="shared" si="16"/>
        <v>1</v>
      </c>
    </row>
    <row r="236" spans="1:9">
      <c r="A236">
        <v>235</v>
      </c>
      <c r="B236">
        <v>16</v>
      </c>
      <c r="C236">
        <v>9000</v>
      </c>
      <c r="D236">
        <v>9596</v>
      </c>
      <c r="E236" s="5">
        <f t="shared" si="13"/>
        <v>596</v>
      </c>
      <c r="F236" s="5">
        <f t="shared" si="14"/>
        <v>355216</v>
      </c>
      <c r="G236" s="6">
        <f>SQRT(SUM($F$2:F236)/A236)</f>
        <v>1312.3555677369654</v>
      </c>
      <c r="H236" s="5">
        <f t="shared" si="15"/>
        <v>1</v>
      </c>
      <c r="I236" s="5">
        <f t="shared" si="16"/>
        <v>1</v>
      </c>
    </row>
    <row r="237" spans="1:9">
      <c r="A237">
        <v>236</v>
      </c>
      <c r="B237">
        <v>15</v>
      </c>
      <c r="C237">
        <v>9000</v>
      </c>
      <c r="D237">
        <v>9447</v>
      </c>
      <c r="E237" s="5">
        <f t="shared" si="13"/>
        <v>447</v>
      </c>
      <c r="F237" s="5">
        <f t="shared" si="14"/>
        <v>199809</v>
      </c>
      <c r="G237" s="6">
        <f>SQRT(SUM($F$2:F237)/A237)</f>
        <v>1309.8954156725642</v>
      </c>
      <c r="H237" s="5">
        <f t="shared" si="15"/>
        <v>1</v>
      </c>
      <c r="I237" s="5">
        <f t="shared" si="16"/>
        <v>1</v>
      </c>
    </row>
    <row r="238" spans="1:9">
      <c r="A238">
        <v>237</v>
      </c>
      <c r="B238">
        <v>15</v>
      </c>
      <c r="C238">
        <v>9000</v>
      </c>
      <c r="D238">
        <v>8786</v>
      </c>
      <c r="E238" s="5">
        <f t="shared" si="13"/>
        <v>214</v>
      </c>
      <c r="F238" s="5">
        <f t="shared" si="14"/>
        <v>45796</v>
      </c>
      <c r="G238" s="6">
        <f>SQRT(SUM($F$2:F238)/A238)</f>
        <v>1307.2029145911556</v>
      </c>
      <c r="H238" s="5">
        <f t="shared" si="15"/>
        <v>1</v>
      </c>
      <c r="I238" s="5">
        <f t="shared" si="16"/>
        <v>1</v>
      </c>
    </row>
    <row r="239" spans="1:9">
      <c r="A239">
        <v>238</v>
      </c>
      <c r="B239">
        <v>15</v>
      </c>
      <c r="C239">
        <v>9000</v>
      </c>
      <c r="D239">
        <v>9194</v>
      </c>
      <c r="E239" s="5">
        <f t="shared" si="13"/>
        <v>194</v>
      </c>
      <c r="F239" s="5">
        <f t="shared" si="14"/>
        <v>37636</v>
      </c>
      <c r="G239" s="6">
        <f>SQRT(SUM($F$2:F239)/A239)</f>
        <v>1304.5144110892359</v>
      </c>
      <c r="H239" s="5">
        <f t="shared" si="15"/>
        <v>1</v>
      </c>
      <c r="I239" s="5">
        <f t="shared" si="16"/>
        <v>1</v>
      </c>
    </row>
    <row r="240" spans="1:9">
      <c r="A240">
        <v>239</v>
      </c>
      <c r="B240">
        <v>15</v>
      </c>
      <c r="C240">
        <v>9000</v>
      </c>
      <c r="D240">
        <v>8794</v>
      </c>
      <c r="E240" s="5">
        <f t="shared" si="13"/>
        <v>206</v>
      </c>
      <c r="F240" s="5">
        <f t="shared" si="14"/>
        <v>42436</v>
      </c>
      <c r="G240" s="6">
        <f>SQRT(SUM($F$2:F240)/A240)</f>
        <v>1301.8506364010843</v>
      </c>
      <c r="H240" s="5">
        <f t="shared" si="15"/>
        <v>1</v>
      </c>
      <c r="I240" s="5">
        <f t="shared" si="16"/>
        <v>1</v>
      </c>
    </row>
    <row r="241" spans="1:9">
      <c r="A241">
        <v>240</v>
      </c>
      <c r="B241">
        <v>15</v>
      </c>
      <c r="C241">
        <v>9000</v>
      </c>
      <c r="D241">
        <v>8803</v>
      </c>
      <c r="E241" s="5">
        <f t="shared" si="13"/>
        <v>197</v>
      </c>
      <c r="F241" s="5">
        <f t="shared" si="14"/>
        <v>38809</v>
      </c>
      <c r="G241" s="6">
        <f>SQRT(SUM($F$2:F241)/A241)</f>
        <v>1299.1978502778807</v>
      </c>
      <c r="H241" s="5">
        <f t="shared" si="15"/>
        <v>1</v>
      </c>
      <c r="I241" s="5">
        <f t="shared" si="16"/>
        <v>1</v>
      </c>
    </row>
    <row r="242" spans="1:9">
      <c r="A242">
        <v>241</v>
      </c>
      <c r="B242">
        <v>16</v>
      </c>
      <c r="C242">
        <v>9000</v>
      </c>
      <c r="D242">
        <v>10000</v>
      </c>
      <c r="E242" s="5">
        <f t="shared" si="13"/>
        <v>1000</v>
      </c>
      <c r="F242" s="5">
        <f t="shared" si="14"/>
        <v>1000000</v>
      </c>
      <c r="G242" s="6">
        <f>SQRT(SUM($F$2:F242)/A242)</f>
        <v>1298.0988540380013</v>
      </c>
      <c r="H242" s="5">
        <f t="shared" si="15"/>
        <v>1</v>
      </c>
      <c r="I242" s="5">
        <f t="shared" si="16"/>
        <v>0</v>
      </c>
    </row>
    <row r="243" spans="1:9">
      <c r="A243">
        <v>242</v>
      </c>
      <c r="B243">
        <v>14</v>
      </c>
      <c r="C243">
        <v>9000</v>
      </c>
      <c r="D243">
        <v>7926</v>
      </c>
      <c r="E243" s="5">
        <f t="shared" si="13"/>
        <v>1074</v>
      </c>
      <c r="F243" s="5">
        <f t="shared" si="14"/>
        <v>1153476</v>
      </c>
      <c r="G243" s="6">
        <f>SQRT(SUM($F$2:F243)/A243)</f>
        <v>1297.2524828005655</v>
      </c>
      <c r="H243" s="5">
        <f t="shared" si="15"/>
        <v>1</v>
      </c>
      <c r="I243" s="5">
        <f t="shared" si="16"/>
        <v>0</v>
      </c>
    </row>
    <row r="244" spans="1:9">
      <c r="A244">
        <v>243</v>
      </c>
      <c r="B244">
        <v>16</v>
      </c>
      <c r="C244">
        <v>9000</v>
      </c>
      <c r="D244">
        <v>9836</v>
      </c>
      <c r="E244" s="5">
        <f t="shared" si="13"/>
        <v>836</v>
      </c>
      <c r="F244" s="5">
        <f t="shared" si="14"/>
        <v>698896</v>
      </c>
      <c r="G244" s="6">
        <f>SQRT(SUM($F$2:F244)/A244)</f>
        <v>1295.6908400874106</v>
      </c>
      <c r="H244" s="5">
        <f t="shared" si="15"/>
        <v>1</v>
      </c>
      <c r="I244" s="5">
        <f t="shared" si="16"/>
        <v>1</v>
      </c>
    </row>
    <row r="245" spans="1:9">
      <c r="A245">
        <v>244</v>
      </c>
      <c r="B245">
        <v>14</v>
      </c>
      <c r="C245">
        <v>9000</v>
      </c>
      <c r="D245">
        <v>8691</v>
      </c>
      <c r="E245" s="5">
        <f t="shared" si="13"/>
        <v>309</v>
      </c>
      <c r="F245" s="5">
        <f t="shared" si="14"/>
        <v>95481</v>
      </c>
      <c r="G245" s="6">
        <f>SQRT(SUM($F$2:F245)/A245)</f>
        <v>1293.1843180026074</v>
      </c>
      <c r="H245" s="5">
        <f t="shared" si="15"/>
        <v>1</v>
      </c>
      <c r="I245" s="5">
        <f t="shared" si="16"/>
        <v>1</v>
      </c>
    </row>
    <row r="246" spans="1:9">
      <c r="A246">
        <v>245</v>
      </c>
      <c r="B246">
        <v>15</v>
      </c>
      <c r="C246">
        <v>9000</v>
      </c>
      <c r="D246">
        <v>8476</v>
      </c>
      <c r="E246" s="5">
        <f t="shared" si="13"/>
        <v>524</v>
      </c>
      <c r="F246" s="5">
        <f t="shared" si="14"/>
        <v>274576</v>
      </c>
      <c r="G246" s="6">
        <f>SQRT(SUM($F$2:F246)/A246)</f>
        <v>1290.9765991650804</v>
      </c>
      <c r="H246" s="5">
        <f t="shared" si="15"/>
        <v>1</v>
      </c>
      <c r="I246" s="5">
        <f t="shared" si="16"/>
        <v>1</v>
      </c>
    </row>
    <row r="247" spans="1:9">
      <c r="A247">
        <v>246</v>
      </c>
      <c r="B247">
        <v>16</v>
      </c>
      <c r="C247">
        <v>9000</v>
      </c>
      <c r="D247">
        <v>9939</v>
      </c>
      <c r="E247" s="5">
        <f t="shared" si="13"/>
        <v>939</v>
      </c>
      <c r="F247" s="5">
        <f t="shared" si="14"/>
        <v>881721</v>
      </c>
      <c r="G247" s="6">
        <f>SQRT(SUM($F$2:F247)/A247)</f>
        <v>1289.7402571426189</v>
      </c>
      <c r="H247" s="5">
        <f t="shared" si="15"/>
        <v>1</v>
      </c>
      <c r="I247" s="5">
        <f t="shared" si="16"/>
        <v>0</v>
      </c>
    </row>
    <row r="248" spans="1:9">
      <c r="A248">
        <v>247</v>
      </c>
      <c r="B248">
        <v>14</v>
      </c>
      <c r="C248">
        <v>9000</v>
      </c>
      <c r="D248">
        <v>8663</v>
      </c>
      <c r="E248" s="5">
        <f t="shared" si="13"/>
        <v>337</v>
      </c>
      <c r="F248" s="5">
        <f t="shared" si="14"/>
        <v>113569</v>
      </c>
      <c r="G248" s="6">
        <f>SQRT(SUM($F$2:F248)/A248)</f>
        <v>1287.3053989956697</v>
      </c>
      <c r="H248" s="5">
        <f t="shared" si="15"/>
        <v>1</v>
      </c>
      <c r="I248" s="5">
        <f t="shared" si="16"/>
        <v>1</v>
      </c>
    </row>
    <row r="249" spans="1:9">
      <c r="A249">
        <v>248</v>
      </c>
      <c r="B249">
        <v>15</v>
      </c>
      <c r="C249">
        <v>9000</v>
      </c>
      <c r="D249">
        <v>9270</v>
      </c>
      <c r="E249" s="5">
        <f t="shared" si="13"/>
        <v>270</v>
      </c>
      <c r="F249" s="5">
        <f t="shared" si="14"/>
        <v>72900</v>
      </c>
      <c r="G249" s="6">
        <f>SQRT(SUM($F$2:F249)/A249)</f>
        <v>1284.821802631061</v>
      </c>
      <c r="H249" s="5">
        <f t="shared" si="15"/>
        <v>1</v>
      </c>
      <c r="I249" s="5">
        <f t="shared" si="16"/>
        <v>1</v>
      </c>
    </row>
    <row r="250" spans="1:9">
      <c r="A250">
        <v>249</v>
      </c>
      <c r="B250">
        <v>15</v>
      </c>
      <c r="C250">
        <v>9000</v>
      </c>
      <c r="D250">
        <v>8264</v>
      </c>
      <c r="E250" s="5">
        <f t="shared" si="13"/>
        <v>736</v>
      </c>
      <c r="F250" s="5">
        <f t="shared" si="14"/>
        <v>541696</v>
      </c>
      <c r="G250" s="6">
        <f>SQRT(SUM($F$2:F250)/A250)</f>
        <v>1283.0872783468089</v>
      </c>
      <c r="H250" s="5">
        <f t="shared" si="15"/>
        <v>1</v>
      </c>
      <c r="I250" s="5">
        <f t="shared" si="16"/>
        <v>1</v>
      </c>
    </row>
    <row r="251" spans="1:9">
      <c r="A251">
        <v>250</v>
      </c>
      <c r="B251">
        <v>16</v>
      </c>
      <c r="C251">
        <v>9000</v>
      </c>
      <c r="D251">
        <v>9312</v>
      </c>
      <c r="E251" s="5">
        <f t="shared" si="13"/>
        <v>312</v>
      </c>
      <c r="F251" s="5">
        <f t="shared" si="14"/>
        <v>97344</v>
      </c>
      <c r="G251" s="6">
        <f>SQRT(SUM($F$2:F251)/A251)</f>
        <v>1280.6705618542187</v>
      </c>
      <c r="H251" s="5">
        <f t="shared" si="15"/>
        <v>1</v>
      </c>
      <c r="I251" s="5">
        <f t="shared" si="16"/>
        <v>1</v>
      </c>
    </row>
    <row r="252" spans="1:9">
      <c r="A252">
        <v>251</v>
      </c>
      <c r="B252">
        <v>15</v>
      </c>
      <c r="C252">
        <v>9000</v>
      </c>
      <c r="D252">
        <v>8624</v>
      </c>
      <c r="E252" s="5">
        <f t="shared" si="13"/>
        <v>376</v>
      </c>
      <c r="F252" s="5">
        <f t="shared" si="14"/>
        <v>141376</v>
      </c>
      <c r="G252" s="6">
        <f>SQRT(SUM($F$2:F252)/A252)</f>
        <v>1278.3372043276092</v>
      </c>
      <c r="H252" s="5">
        <f t="shared" si="15"/>
        <v>1</v>
      </c>
      <c r="I252" s="5">
        <f t="shared" si="16"/>
        <v>1</v>
      </c>
    </row>
    <row r="253" spans="1:9">
      <c r="A253">
        <v>252</v>
      </c>
      <c r="B253">
        <v>16</v>
      </c>
      <c r="C253">
        <v>9000</v>
      </c>
      <c r="D253">
        <v>9210</v>
      </c>
      <c r="E253" s="5">
        <f t="shared" si="13"/>
        <v>210</v>
      </c>
      <c r="F253" s="5">
        <f t="shared" si="14"/>
        <v>44100</v>
      </c>
      <c r="G253" s="6">
        <f>SQRT(SUM($F$2:F253)/A253)</f>
        <v>1275.8668823930268</v>
      </c>
      <c r="H253" s="5">
        <f t="shared" si="15"/>
        <v>1</v>
      </c>
      <c r="I253" s="5">
        <f t="shared" si="16"/>
        <v>1</v>
      </c>
    </row>
    <row r="254" spans="1:9">
      <c r="A254">
        <v>253</v>
      </c>
      <c r="B254">
        <v>15</v>
      </c>
      <c r="C254">
        <v>9000</v>
      </c>
      <c r="D254">
        <v>8918</v>
      </c>
      <c r="E254" s="5">
        <f t="shared" si="13"/>
        <v>82</v>
      </c>
      <c r="F254" s="5">
        <f t="shared" si="14"/>
        <v>6724</v>
      </c>
      <c r="G254" s="6">
        <f>SQRT(SUM($F$2:F254)/A254)</f>
        <v>1273.3533457304786</v>
      </c>
      <c r="H254" s="5">
        <f t="shared" si="15"/>
        <v>1</v>
      </c>
      <c r="I254" s="5">
        <f t="shared" si="16"/>
        <v>1</v>
      </c>
    </row>
    <row r="255" spans="1:9">
      <c r="A255">
        <v>254</v>
      </c>
      <c r="B255">
        <v>15</v>
      </c>
      <c r="C255">
        <v>9000</v>
      </c>
      <c r="D255">
        <v>9110</v>
      </c>
      <c r="E255" s="5">
        <f t="shared" si="13"/>
        <v>110</v>
      </c>
      <c r="F255" s="5">
        <f t="shared" si="14"/>
        <v>12100</v>
      </c>
      <c r="G255" s="6">
        <f>SQRT(SUM($F$2:F255)/A255)</f>
        <v>1270.8630151002139</v>
      </c>
      <c r="H255" s="5">
        <f t="shared" si="15"/>
        <v>1</v>
      </c>
      <c r="I255" s="5">
        <f t="shared" si="16"/>
        <v>1</v>
      </c>
    </row>
    <row r="256" spans="1:9">
      <c r="A256">
        <v>255</v>
      </c>
      <c r="B256">
        <v>15</v>
      </c>
      <c r="C256">
        <v>9000</v>
      </c>
      <c r="D256">
        <v>8692</v>
      </c>
      <c r="E256" s="5">
        <f t="shared" si="13"/>
        <v>308</v>
      </c>
      <c r="F256" s="5">
        <f t="shared" si="14"/>
        <v>94864</v>
      </c>
      <c r="G256" s="6">
        <f>SQRT(SUM($F$2:F256)/A256)</f>
        <v>1268.5153217713325</v>
      </c>
      <c r="H256" s="5">
        <f t="shared" si="15"/>
        <v>1</v>
      </c>
      <c r="I256" s="5">
        <f t="shared" si="16"/>
        <v>1</v>
      </c>
    </row>
    <row r="257" spans="1:9">
      <c r="A257">
        <v>256</v>
      </c>
      <c r="B257">
        <v>16</v>
      </c>
      <c r="C257">
        <v>9000</v>
      </c>
      <c r="D257">
        <v>9418</v>
      </c>
      <c r="E257" s="5">
        <f t="shared" si="13"/>
        <v>418</v>
      </c>
      <c r="F257" s="5">
        <f t="shared" si="14"/>
        <v>174724</v>
      </c>
      <c r="G257" s="6">
        <f>SQRT(SUM($F$2:F257)/A257)</f>
        <v>1266.3048482691677</v>
      </c>
      <c r="H257" s="5">
        <f t="shared" si="15"/>
        <v>1</v>
      </c>
      <c r="I257" s="5">
        <f t="shared" si="16"/>
        <v>1</v>
      </c>
    </row>
    <row r="258" spans="1:9">
      <c r="A258">
        <v>257</v>
      </c>
      <c r="B258">
        <v>15</v>
      </c>
      <c r="C258">
        <v>9000</v>
      </c>
      <c r="D258">
        <v>9160</v>
      </c>
      <c r="E258" s="5">
        <f t="shared" si="13"/>
        <v>160</v>
      </c>
      <c r="F258" s="5">
        <f t="shared" si="14"/>
        <v>25600</v>
      </c>
      <c r="G258" s="6">
        <f>SQRT(SUM($F$2:F258)/A258)</f>
        <v>1263.8782264151184</v>
      </c>
      <c r="H258" s="5">
        <f t="shared" si="15"/>
        <v>1</v>
      </c>
      <c r="I258" s="5">
        <f t="shared" si="16"/>
        <v>1</v>
      </c>
    </row>
    <row r="259" spans="1:9">
      <c r="A259">
        <v>258</v>
      </c>
      <c r="B259">
        <v>15</v>
      </c>
      <c r="C259">
        <v>9000</v>
      </c>
      <c r="D259">
        <v>9302</v>
      </c>
      <c r="E259" s="5">
        <f t="shared" ref="E259:E322" si="17">ABS(C259-D259)</f>
        <v>302</v>
      </c>
      <c r="F259" s="5">
        <f t="shared" ref="F259:F322" si="18">POWER(E259,2)</f>
        <v>91204</v>
      </c>
      <c r="G259" s="6">
        <f>SQRT(SUM($F$2:F259)/A259)</f>
        <v>1261.5665848705789</v>
      </c>
      <c r="H259" s="5">
        <f t="shared" ref="H259:H322" si="19">IF(ABS(E259)/C259&gt;0.2,0,1)</f>
        <v>1</v>
      </c>
      <c r="I259" s="5">
        <f t="shared" ref="I259:I322" si="20">IF(ABS(E259)/C259&gt;0.1,0,1)</f>
        <v>1</v>
      </c>
    </row>
    <row r="260" spans="1:9">
      <c r="A260">
        <v>259</v>
      </c>
      <c r="B260">
        <v>15</v>
      </c>
      <c r="C260">
        <v>9000</v>
      </c>
      <c r="D260">
        <v>9655</v>
      </c>
      <c r="E260" s="5">
        <f t="shared" si="17"/>
        <v>655</v>
      </c>
      <c r="F260" s="5">
        <f t="shared" si="18"/>
        <v>429025</v>
      </c>
      <c r="G260" s="6">
        <f>SQRT(SUM($F$2:F260)/A260)</f>
        <v>1259.7863841107085</v>
      </c>
      <c r="H260" s="5">
        <f t="shared" si="19"/>
        <v>1</v>
      </c>
      <c r="I260" s="5">
        <f t="shared" si="20"/>
        <v>1</v>
      </c>
    </row>
    <row r="261" spans="1:9">
      <c r="A261">
        <v>260</v>
      </c>
      <c r="B261">
        <v>14</v>
      </c>
      <c r="C261">
        <v>9000</v>
      </c>
      <c r="D261">
        <v>8163</v>
      </c>
      <c r="E261" s="5">
        <f t="shared" si="17"/>
        <v>837</v>
      </c>
      <c r="F261" s="5">
        <f t="shared" si="18"/>
        <v>700569</v>
      </c>
      <c r="G261" s="6">
        <f>SQRT(SUM($F$2:F261)/A261)</f>
        <v>1258.4324162043213</v>
      </c>
      <c r="H261" s="5">
        <f t="shared" si="19"/>
        <v>1</v>
      </c>
      <c r="I261" s="5">
        <f t="shared" si="20"/>
        <v>1</v>
      </c>
    </row>
    <row r="262" spans="1:9">
      <c r="A262">
        <v>261</v>
      </c>
      <c r="B262">
        <v>16</v>
      </c>
      <c r="C262">
        <v>9000</v>
      </c>
      <c r="D262">
        <v>9240</v>
      </c>
      <c r="E262" s="5">
        <f t="shared" si="17"/>
        <v>240</v>
      </c>
      <c r="F262" s="5">
        <f t="shared" si="18"/>
        <v>57600</v>
      </c>
      <c r="G262" s="6">
        <f>SQRT(SUM($F$2:F262)/A262)</f>
        <v>1256.1071622537363</v>
      </c>
      <c r="H262" s="5">
        <f t="shared" si="19"/>
        <v>1</v>
      </c>
      <c r="I262" s="5">
        <f t="shared" si="20"/>
        <v>1</v>
      </c>
    </row>
    <row r="263" spans="1:9">
      <c r="A263">
        <v>262</v>
      </c>
      <c r="B263">
        <v>15</v>
      </c>
      <c r="C263">
        <v>9000</v>
      </c>
      <c r="D263">
        <v>8560</v>
      </c>
      <c r="E263" s="5">
        <f t="shared" si="17"/>
        <v>440</v>
      </c>
      <c r="F263" s="5">
        <f t="shared" si="18"/>
        <v>193600</v>
      </c>
      <c r="G263" s="6">
        <f>SQRT(SUM($F$2:F263)/A263)</f>
        <v>1254.0023832111472</v>
      </c>
      <c r="H263" s="5">
        <f t="shared" si="19"/>
        <v>1</v>
      </c>
      <c r="I263" s="5">
        <f t="shared" si="20"/>
        <v>1</v>
      </c>
    </row>
    <row r="264" spans="1:9">
      <c r="A264">
        <v>263</v>
      </c>
      <c r="B264">
        <v>16</v>
      </c>
      <c r="C264">
        <v>9000</v>
      </c>
      <c r="D264">
        <v>8848</v>
      </c>
      <c r="E264" s="5">
        <f t="shared" si="17"/>
        <v>152</v>
      </c>
      <c r="F264" s="5">
        <f t="shared" si="18"/>
        <v>23104</v>
      </c>
      <c r="G264" s="6">
        <f>SQRT(SUM($F$2:F264)/A264)</f>
        <v>1251.6511710506227</v>
      </c>
      <c r="H264" s="5">
        <f t="shared" si="19"/>
        <v>1</v>
      </c>
      <c r="I264" s="5">
        <f t="shared" si="20"/>
        <v>1</v>
      </c>
    </row>
    <row r="265" spans="1:9">
      <c r="A265">
        <v>264</v>
      </c>
      <c r="B265">
        <v>15</v>
      </c>
      <c r="C265">
        <v>9000</v>
      </c>
      <c r="D265">
        <v>9275</v>
      </c>
      <c r="E265" s="5">
        <f t="shared" si="17"/>
        <v>275</v>
      </c>
      <c r="F265" s="5">
        <f t="shared" si="18"/>
        <v>75625</v>
      </c>
      <c r="G265" s="6">
        <f>SQRT(SUM($F$2:F265)/A265)</f>
        <v>1249.393014748774</v>
      </c>
      <c r="H265" s="5">
        <f t="shared" si="19"/>
        <v>1</v>
      </c>
      <c r="I265" s="5">
        <f t="shared" si="20"/>
        <v>1</v>
      </c>
    </row>
    <row r="266" spans="1:9">
      <c r="A266">
        <v>265</v>
      </c>
      <c r="B266">
        <v>15</v>
      </c>
      <c r="C266">
        <v>9000</v>
      </c>
      <c r="D266">
        <v>8927</v>
      </c>
      <c r="E266" s="5">
        <f t="shared" si="17"/>
        <v>73</v>
      </c>
      <c r="F266" s="5">
        <f t="shared" si="18"/>
        <v>5329</v>
      </c>
      <c r="G266" s="6">
        <f>SQRT(SUM($F$2:F266)/A266)</f>
        <v>1247.041504204069</v>
      </c>
      <c r="H266" s="5">
        <f t="shared" si="19"/>
        <v>1</v>
      </c>
      <c r="I266" s="5">
        <f t="shared" si="20"/>
        <v>1</v>
      </c>
    </row>
    <row r="267" spans="1:9">
      <c r="A267">
        <v>266</v>
      </c>
      <c r="B267">
        <v>15</v>
      </c>
      <c r="C267">
        <v>9000</v>
      </c>
      <c r="D267">
        <v>9217</v>
      </c>
      <c r="E267" s="5">
        <f t="shared" si="17"/>
        <v>217</v>
      </c>
      <c r="F267" s="5">
        <f t="shared" si="18"/>
        <v>47089</v>
      </c>
      <c r="G267" s="6">
        <f>SQRT(SUM($F$2:F267)/A267)</f>
        <v>1244.7663442910477</v>
      </c>
      <c r="H267" s="5">
        <f t="shared" si="19"/>
        <v>1</v>
      </c>
      <c r="I267" s="5">
        <f t="shared" si="20"/>
        <v>1</v>
      </c>
    </row>
    <row r="268" spans="1:9">
      <c r="A268">
        <v>267</v>
      </c>
      <c r="B268">
        <v>15</v>
      </c>
      <c r="C268">
        <v>9000</v>
      </c>
      <c r="D268">
        <v>9193</v>
      </c>
      <c r="E268" s="5">
        <f t="shared" si="17"/>
        <v>193</v>
      </c>
      <c r="F268" s="5">
        <f t="shared" si="18"/>
        <v>37249</v>
      </c>
      <c r="G268" s="6">
        <f>SQRT(SUM($F$2:F268)/A268)</f>
        <v>1242.4892768133875</v>
      </c>
      <c r="H268" s="5">
        <f t="shared" si="19"/>
        <v>1</v>
      </c>
      <c r="I268" s="5">
        <f t="shared" si="20"/>
        <v>1</v>
      </c>
    </row>
    <row r="269" spans="1:9">
      <c r="A269">
        <v>268</v>
      </c>
      <c r="B269">
        <v>15</v>
      </c>
      <c r="C269">
        <v>9000</v>
      </c>
      <c r="D269">
        <v>8453</v>
      </c>
      <c r="E269" s="5">
        <f t="shared" si="17"/>
        <v>547</v>
      </c>
      <c r="F269" s="5">
        <f t="shared" si="18"/>
        <v>299209</v>
      </c>
      <c r="G269" s="6">
        <f>SQRT(SUM($F$2:F269)/A269)</f>
        <v>1240.6190724133742</v>
      </c>
      <c r="H269" s="5">
        <f t="shared" si="19"/>
        <v>1</v>
      </c>
      <c r="I269" s="5">
        <f t="shared" si="20"/>
        <v>1</v>
      </c>
    </row>
    <row r="270" spans="1:9">
      <c r="A270">
        <v>269</v>
      </c>
      <c r="B270">
        <v>16</v>
      </c>
      <c r="C270">
        <v>9000</v>
      </c>
      <c r="D270">
        <v>9077</v>
      </c>
      <c r="E270" s="5">
        <f t="shared" si="17"/>
        <v>77</v>
      </c>
      <c r="F270" s="5">
        <f t="shared" si="18"/>
        <v>5929</v>
      </c>
      <c r="G270" s="6">
        <f>SQRT(SUM($F$2:F270)/A270)</f>
        <v>1238.3198414544511</v>
      </c>
      <c r="H270" s="5">
        <f t="shared" si="19"/>
        <v>1</v>
      </c>
      <c r="I270" s="5">
        <f t="shared" si="20"/>
        <v>1</v>
      </c>
    </row>
    <row r="271" spans="1:9">
      <c r="A271">
        <v>270</v>
      </c>
      <c r="B271">
        <v>15</v>
      </c>
      <c r="C271">
        <v>9000</v>
      </c>
      <c r="D271">
        <v>9022</v>
      </c>
      <c r="E271" s="5">
        <f t="shared" si="17"/>
        <v>22</v>
      </c>
      <c r="F271" s="5">
        <f t="shared" si="18"/>
        <v>484</v>
      </c>
      <c r="G271" s="6">
        <f>SQRT(SUM($F$2:F271)/A271)</f>
        <v>1236.0252544465384</v>
      </c>
      <c r="H271" s="5">
        <f t="shared" si="19"/>
        <v>1</v>
      </c>
      <c r="I271" s="5">
        <f t="shared" si="20"/>
        <v>1</v>
      </c>
    </row>
    <row r="272" spans="1:9">
      <c r="A272">
        <v>271</v>
      </c>
      <c r="B272">
        <v>15</v>
      </c>
      <c r="C272">
        <v>9000</v>
      </c>
      <c r="D272">
        <v>8408</v>
      </c>
      <c r="E272" s="5">
        <f t="shared" si="17"/>
        <v>592</v>
      </c>
      <c r="F272" s="5">
        <f t="shared" si="18"/>
        <v>350464</v>
      </c>
      <c r="G272" s="6">
        <f>SQRT(SUM($F$2:F272)/A272)</f>
        <v>1234.2666526086239</v>
      </c>
      <c r="H272" s="5">
        <f t="shared" si="19"/>
        <v>1</v>
      </c>
      <c r="I272" s="5">
        <f t="shared" si="20"/>
        <v>1</v>
      </c>
    </row>
    <row r="273" spans="1:9">
      <c r="A273">
        <v>272</v>
      </c>
      <c r="B273">
        <v>16</v>
      </c>
      <c r="C273">
        <v>9000</v>
      </c>
      <c r="D273">
        <v>9110</v>
      </c>
      <c r="E273" s="5">
        <f t="shared" si="17"/>
        <v>110</v>
      </c>
      <c r="F273" s="5">
        <f t="shared" si="18"/>
        <v>12100</v>
      </c>
      <c r="G273" s="6">
        <f>SQRT(SUM($F$2:F273)/A273)</f>
        <v>1232.0137449099579</v>
      </c>
      <c r="H273" s="5">
        <f t="shared" si="19"/>
        <v>1</v>
      </c>
      <c r="I273" s="5">
        <f t="shared" si="20"/>
        <v>1</v>
      </c>
    </row>
    <row r="274" spans="1:9">
      <c r="A274">
        <v>273</v>
      </c>
      <c r="B274">
        <v>15</v>
      </c>
      <c r="C274">
        <v>9000</v>
      </c>
      <c r="D274">
        <v>9196</v>
      </c>
      <c r="E274" s="5">
        <f t="shared" si="17"/>
        <v>196</v>
      </c>
      <c r="F274" s="5">
        <f t="shared" si="18"/>
        <v>38416</v>
      </c>
      <c r="G274" s="6">
        <f>SQRT(SUM($F$2:F274)/A274)</f>
        <v>1229.8124518261582</v>
      </c>
      <c r="H274" s="5">
        <f t="shared" si="19"/>
        <v>1</v>
      </c>
      <c r="I274" s="5">
        <f t="shared" si="20"/>
        <v>1</v>
      </c>
    </row>
    <row r="275" spans="1:9">
      <c r="A275">
        <v>274</v>
      </c>
      <c r="B275">
        <v>15</v>
      </c>
      <c r="C275">
        <v>9000</v>
      </c>
      <c r="D275">
        <v>9763</v>
      </c>
      <c r="E275" s="5">
        <f t="shared" si="17"/>
        <v>763</v>
      </c>
      <c r="F275" s="5">
        <f t="shared" si="18"/>
        <v>582169</v>
      </c>
      <c r="G275" s="6">
        <f>SQRT(SUM($F$2:F275)/A275)</f>
        <v>1228.4313256742562</v>
      </c>
      <c r="H275" s="5">
        <f t="shared" si="19"/>
        <v>1</v>
      </c>
      <c r="I275" s="5">
        <f t="shared" si="20"/>
        <v>1</v>
      </c>
    </row>
    <row r="276" spans="1:9">
      <c r="A276">
        <v>275</v>
      </c>
      <c r="B276">
        <v>14</v>
      </c>
      <c r="C276">
        <v>9000</v>
      </c>
      <c r="D276">
        <v>7807</v>
      </c>
      <c r="E276" s="5">
        <f t="shared" si="17"/>
        <v>1193</v>
      </c>
      <c r="F276" s="5">
        <f t="shared" si="18"/>
        <v>1423249</v>
      </c>
      <c r="G276" s="6">
        <f>SQRT(SUM($F$2:F276)/A276)</f>
        <v>1228.3043359925837</v>
      </c>
      <c r="H276" s="5">
        <f t="shared" si="19"/>
        <v>1</v>
      </c>
      <c r="I276" s="5">
        <f t="shared" si="20"/>
        <v>0</v>
      </c>
    </row>
    <row r="277" spans="1:9">
      <c r="A277">
        <v>276</v>
      </c>
      <c r="B277">
        <v>17</v>
      </c>
      <c r="C277">
        <v>9000</v>
      </c>
      <c r="D277">
        <v>8887</v>
      </c>
      <c r="E277" s="5">
        <f t="shared" si="17"/>
        <v>113</v>
      </c>
      <c r="F277" s="5">
        <f t="shared" si="18"/>
        <v>12769</v>
      </c>
      <c r="G277" s="6">
        <f>SQRT(SUM($F$2:F277)/A277)</f>
        <v>1226.0959944805136</v>
      </c>
      <c r="H277" s="5">
        <f t="shared" si="19"/>
        <v>1</v>
      </c>
      <c r="I277" s="5">
        <f t="shared" si="20"/>
        <v>1</v>
      </c>
    </row>
    <row r="278" spans="1:9">
      <c r="A278">
        <v>277</v>
      </c>
      <c r="B278">
        <v>16</v>
      </c>
      <c r="C278">
        <v>9000</v>
      </c>
      <c r="D278">
        <v>4523</v>
      </c>
      <c r="E278" s="5">
        <f t="shared" si="17"/>
        <v>4477</v>
      </c>
      <c r="F278" s="5">
        <f t="shared" si="18"/>
        <v>20043529</v>
      </c>
      <c r="G278" s="6">
        <f>SQRT(SUM($F$2:F278)/A278)</f>
        <v>1253.0936043358599</v>
      </c>
      <c r="H278" s="5">
        <f t="shared" si="19"/>
        <v>0</v>
      </c>
      <c r="I278" s="5">
        <f t="shared" si="20"/>
        <v>0</v>
      </c>
    </row>
    <row r="279" spans="1:9">
      <c r="A279">
        <v>278</v>
      </c>
      <c r="B279">
        <v>21</v>
      </c>
      <c r="C279">
        <v>9000</v>
      </c>
      <c r="D279">
        <v>11074</v>
      </c>
      <c r="E279" s="5">
        <f t="shared" si="17"/>
        <v>2074</v>
      </c>
      <c r="F279" s="5">
        <f t="shared" si="18"/>
        <v>4301476</v>
      </c>
      <c r="G279" s="6">
        <f>SQRT(SUM($F$2:F279)/A279)</f>
        <v>1257.007620610703</v>
      </c>
      <c r="H279" s="5">
        <f t="shared" si="19"/>
        <v>0</v>
      </c>
      <c r="I279" s="5">
        <f t="shared" si="20"/>
        <v>0</v>
      </c>
    </row>
    <row r="280" spans="1:9">
      <c r="A280">
        <v>279</v>
      </c>
      <c r="B280">
        <v>14</v>
      </c>
      <c r="C280">
        <v>9000</v>
      </c>
      <c r="D280">
        <v>8054</v>
      </c>
      <c r="E280" s="5">
        <f t="shared" si="17"/>
        <v>946</v>
      </c>
      <c r="F280" s="5">
        <f t="shared" si="18"/>
        <v>894916</v>
      </c>
      <c r="G280" s="6">
        <f>SQRT(SUM($F$2:F280)/A280)</f>
        <v>1256.0304199224672</v>
      </c>
      <c r="H280" s="5">
        <f t="shared" si="19"/>
        <v>1</v>
      </c>
      <c r="I280" s="5">
        <f t="shared" si="20"/>
        <v>0</v>
      </c>
    </row>
    <row r="281" spans="1:9">
      <c r="A281">
        <v>280</v>
      </c>
      <c r="B281">
        <v>17</v>
      </c>
      <c r="C281">
        <v>9000</v>
      </c>
      <c r="D281">
        <v>9464</v>
      </c>
      <c r="E281" s="5">
        <f t="shared" si="17"/>
        <v>464</v>
      </c>
      <c r="F281" s="5">
        <f t="shared" si="18"/>
        <v>215296</v>
      </c>
      <c r="G281" s="6">
        <f>SQRT(SUM($F$2:F281)/A281)</f>
        <v>1254.0921018808785</v>
      </c>
      <c r="H281" s="5">
        <f t="shared" si="19"/>
        <v>1</v>
      </c>
      <c r="I281" s="5">
        <f t="shared" si="20"/>
        <v>1</v>
      </c>
    </row>
    <row r="282" spans="1:9">
      <c r="A282">
        <v>281</v>
      </c>
      <c r="B282">
        <v>16</v>
      </c>
      <c r="C282">
        <v>9000</v>
      </c>
      <c r="D282">
        <v>9210</v>
      </c>
      <c r="E282" s="5">
        <f t="shared" si="17"/>
        <v>210</v>
      </c>
      <c r="F282" s="5">
        <f t="shared" si="18"/>
        <v>44100</v>
      </c>
      <c r="G282" s="6">
        <f>SQRT(SUM($F$2:F282)/A282)</f>
        <v>1251.9213134574265</v>
      </c>
      <c r="H282" s="5">
        <f t="shared" si="19"/>
        <v>1</v>
      </c>
      <c r="I282" s="5">
        <f t="shared" si="20"/>
        <v>1</v>
      </c>
    </row>
    <row r="283" spans="1:9">
      <c r="A283">
        <v>282</v>
      </c>
      <c r="B283">
        <v>16</v>
      </c>
      <c r="C283">
        <v>9000</v>
      </c>
      <c r="D283">
        <v>9680</v>
      </c>
      <c r="E283" s="5">
        <f t="shared" si="17"/>
        <v>680</v>
      </c>
      <c r="F283" s="5">
        <f t="shared" si="18"/>
        <v>462400</v>
      </c>
      <c r="G283" s="6">
        <f>SQRT(SUM($F$2:F283)/A283)</f>
        <v>1250.3554955484569</v>
      </c>
      <c r="H283" s="5">
        <f t="shared" si="19"/>
        <v>1</v>
      </c>
      <c r="I283" s="5">
        <f t="shared" si="20"/>
        <v>1</v>
      </c>
    </row>
    <row r="284" spans="1:9">
      <c r="A284">
        <v>283</v>
      </c>
      <c r="B284">
        <v>15</v>
      </c>
      <c r="C284">
        <v>9000</v>
      </c>
      <c r="D284">
        <v>8919</v>
      </c>
      <c r="E284" s="5">
        <f t="shared" si="17"/>
        <v>81</v>
      </c>
      <c r="F284" s="5">
        <f t="shared" si="18"/>
        <v>6561</v>
      </c>
      <c r="G284" s="6">
        <f>SQRT(SUM($F$2:F284)/A284)</f>
        <v>1248.1537191843724</v>
      </c>
      <c r="H284" s="5">
        <f t="shared" si="19"/>
        <v>1</v>
      </c>
      <c r="I284" s="5">
        <f t="shared" si="20"/>
        <v>1</v>
      </c>
    </row>
    <row r="285" spans="1:9">
      <c r="A285">
        <v>284</v>
      </c>
      <c r="B285">
        <v>16</v>
      </c>
      <c r="C285">
        <v>9000</v>
      </c>
      <c r="D285">
        <v>8990</v>
      </c>
      <c r="E285" s="5">
        <f t="shared" si="17"/>
        <v>10</v>
      </c>
      <c r="F285" s="5">
        <f t="shared" si="18"/>
        <v>100</v>
      </c>
      <c r="G285" s="6">
        <f>SQRT(SUM($F$2:F285)/A285)</f>
        <v>1245.9544689644138</v>
      </c>
      <c r="H285" s="5">
        <f t="shared" si="19"/>
        <v>1</v>
      </c>
      <c r="I285" s="5">
        <f t="shared" si="20"/>
        <v>1</v>
      </c>
    </row>
    <row r="286" spans="1:9">
      <c r="A286">
        <v>285</v>
      </c>
      <c r="B286">
        <v>16</v>
      </c>
      <c r="C286">
        <v>9000</v>
      </c>
      <c r="D286">
        <v>9210</v>
      </c>
      <c r="E286" s="5">
        <f t="shared" si="17"/>
        <v>210</v>
      </c>
      <c r="F286" s="5">
        <f t="shared" si="18"/>
        <v>44100</v>
      </c>
      <c r="G286" s="6">
        <f>SQRT(SUM($F$2:F286)/A286)</f>
        <v>1243.8288664936215</v>
      </c>
      <c r="H286" s="5">
        <f t="shared" si="19"/>
        <v>1</v>
      </c>
      <c r="I286" s="5">
        <f t="shared" si="20"/>
        <v>1</v>
      </c>
    </row>
    <row r="287" spans="1:9">
      <c r="A287">
        <v>286</v>
      </c>
      <c r="B287">
        <v>16</v>
      </c>
      <c r="C287">
        <v>9000</v>
      </c>
      <c r="D287">
        <v>9818</v>
      </c>
      <c r="E287" s="5">
        <f t="shared" si="17"/>
        <v>818</v>
      </c>
      <c r="F287" s="5">
        <f t="shared" si="18"/>
        <v>669124</v>
      </c>
      <c r="G287" s="6">
        <f>SQRT(SUM($F$2:F287)/A287)</f>
        <v>1242.5942085543725</v>
      </c>
      <c r="H287" s="5">
        <f t="shared" si="19"/>
        <v>1</v>
      </c>
      <c r="I287" s="5">
        <f t="shared" si="20"/>
        <v>1</v>
      </c>
    </row>
    <row r="288" spans="1:9">
      <c r="A288">
        <v>287</v>
      </c>
      <c r="B288">
        <v>15</v>
      </c>
      <c r="C288">
        <v>9000</v>
      </c>
      <c r="D288">
        <v>8853</v>
      </c>
      <c r="E288" s="5">
        <f t="shared" si="17"/>
        <v>147</v>
      </c>
      <c r="F288" s="5">
        <f t="shared" si="18"/>
        <v>21609</v>
      </c>
      <c r="G288" s="6">
        <f>SQRT(SUM($F$2:F288)/A288)</f>
        <v>1240.4578703942334</v>
      </c>
      <c r="H288" s="5">
        <f t="shared" si="19"/>
        <v>1</v>
      </c>
      <c r="I288" s="5">
        <f t="shared" si="20"/>
        <v>1</v>
      </c>
    </row>
    <row r="289" spans="1:9">
      <c r="A289">
        <v>288</v>
      </c>
      <c r="B289">
        <v>16</v>
      </c>
      <c r="C289">
        <v>9000</v>
      </c>
      <c r="D289">
        <v>9339</v>
      </c>
      <c r="E289" s="5">
        <f t="shared" si="17"/>
        <v>339</v>
      </c>
      <c r="F289" s="5">
        <f t="shared" si="18"/>
        <v>114921</v>
      </c>
      <c r="G289" s="6">
        <f>SQRT(SUM($F$2:F289)/A289)</f>
        <v>1238.4635348218103</v>
      </c>
      <c r="H289" s="5">
        <f t="shared" si="19"/>
        <v>1</v>
      </c>
      <c r="I289" s="5">
        <f t="shared" si="20"/>
        <v>1</v>
      </c>
    </row>
    <row r="290" spans="1:9">
      <c r="A290">
        <v>289</v>
      </c>
      <c r="B290">
        <v>15</v>
      </c>
      <c r="C290">
        <v>9000</v>
      </c>
      <c r="D290">
        <v>9570</v>
      </c>
      <c r="E290" s="5">
        <f t="shared" si="17"/>
        <v>570</v>
      </c>
      <c r="F290" s="5">
        <f t="shared" si="18"/>
        <v>324900</v>
      </c>
      <c r="G290" s="6">
        <f>SQRT(SUM($F$2:F290)/A290)</f>
        <v>1236.7735888328964</v>
      </c>
      <c r="H290" s="5">
        <f t="shared" si="19"/>
        <v>1</v>
      </c>
      <c r="I290" s="5">
        <f t="shared" si="20"/>
        <v>1</v>
      </c>
    </row>
    <row r="291" spans="1:9">
      <c r="A291">
        <v>290</v>
      </c>
      <c r="B291">
        <v>15</v>
      </c>
      <c r="C291">
        <v>9000</v>
      </c>
      <c r="D291">
        <v>8838</v>
      </c>
      <c r="E291" s="5">
        <f t="shared" si="17"/>
        <v>162</v>
      </c>
      <c r="F291" s="5">
        <f t="shared" si="18"/>
        <v>26244</v>
      </c>
      <c r="G291" s="6">
        <f>SQRT(SUM($F$2:F291)/A291)</f>
        <v>1234.6760275892004</v>
      </c>
      <c r="H291" s="5">
        <f t="shared" si="19"/>
        <v>1</v>
      </c>
      <c r="I291" s="5">
        <f t="shared" si="20"/>
        <v>1</v>
      </c>
    </row>
    <row r="292" spans="1:9">
      <c r="A292">
        <v>291</v>
      </c>
      <c r="B292">
        <v>16</v>
      </c>
      <c r="C292">
        <v>9000</v>
      </c>
      <c r="D292">
        <v>9861</v>
      </c>
      <c r="E292" s="5">
        <f t="shared" si="17"/>
        <v>861</v>
      </c>
      <c r="F292" s="5">
        <f t="shared" si="18"/>
        <v>741321</v>
      </c>
      <c r="G292" s="6">
        <f>SQRT(SUM($F$2:F292)/A292)</f>
        <v>1233.5857547949352</v>
      </c>
      <c r="H292" s="5">
        <f t="shared" si="19"/>
        <v>1</v>
      </c>
      <c r="I292" s="5">
        <f t="shared" si="20"/>
        <v>1</v>
      </c>
    </row>
    <row r="293" spans="1:9">
      <c r="A293">
        <v>292</v>
      </c>
      <c r="B293">
        <v>14</v>
      </c>
      <c r="C293">
        <v>9000</v>
      </c>
      <c r="D293">
        <v>8411</v>
      </c>
      <c r="E293" s="5">
        <f t="shared" si="17"/>
        <v>589</v>
      </c>
      <c r="F293" s="5">
        <f t="shared" si="18"/>
        <v>346921</v>
      </c>
      <c r="G293" s="6">
        <f>SQRT(SUM($F$2:F293)/A293)</f>
        <v>1231.9539288775015</v>
      </c>
      <c r="H293" s="5">
        <f t="shared" si="19"/>
        <v>1</v>
      </c>
      <c r="I293" s="5">
        <f t="shared" si="20"/>
        <v>1</v>
      </c>
    </row>
    <row r="294" spans="1:9">
      <c r="A294">
        <v>293</v>
      </c>
      <c r="B294">
        <v>16</v>
      </c>
      <c r="C294">
        <v>9000</v>
      </c>
      <c r="D294">
        <v>9449</v>
      </c>
      <c r="E294" s="5">
        <f t="shared" si="17"/>
        <v>449</v>
      </c>
      <c r="F294" s="5">
        <f t="shared" si="18"/>
        <v>201601</v>
      </c>
      <c r="G294" s="6">
        <f>SQRT(SUM($F$2:F294)/A294)</f>
        <v>1230.1295223017066</v>
      </c>
      <c r="H294" s="5">
        <f t="shared" si="19"/>
        <v>1</v>
      </c>
      <c r="I294" s="5">
        <f t="shared" si="20"/>
        <v>1</v>
      </c>
    </row>
    <row r="295" spans="1:9">
      <c r="A295">
        <v>294</v>
      </c>
      <c r="B295">
        <v>15</v>
      </c>
      <c r="C295">
        <v>9000</v>
      </c>
      <c r="D295">
        <v>9516</v>
      </c>
      <c r="E295" s="5">
        <f t="shared" si="17"/>
        <v>516</v>
      </c>
      <c r="F295" s="5">
        <f t="shared" si="18"/>
        <v>266256</v>
      </c>
      <c r="G295" s="6">
        <f>SQRT(SUM($F$2:F295)/A295)</f>
        <v>1228.4043601798405</v>
      </c>
      <c r="H295" s="5">
        <f t="shared" si="19"/>
        <v>1</v>
      </c>
      <c r="I295" s="5">
        <f t="shared" si="20"/>
        <v>1</v>
      </c>
    </row>
    <row r="296" spans="1:9">
      <c r="A296">
        <v>295</v>
      </c>
      <c r="B296">
        <v>15</v>
      </c>
      <c r="C296">
        <v>9000</v>
      </c>
      <c r="D296">
        <v>9315</v>
      </c>
      <c r="E296" s="5">
        <f t="shared" si="17"/>
        <v>315</v>
      </c>
      <c r="F296" s="5">
        <f t="shared" si="18"/>
        <v>99225</v>
      </c>
      <c r="G296" s="6">
        <f>SQRT(SUM($F$2:F296)/A296)</f>
        <v>1226.4576840834982</v>
      </c>
      <c r="H296" s="5">
        <f t="shared" si="19"/>
        <v>1</v>
      </c>
      <c r="I296" s="5">
        <f t="shared" si="20"/>
        <v>1</v>
      </c>
    </row>
    <row r="297" spans="1:9">
      <c r="A297">
        <v>296</v>
      </c>
      <c r="B297">
        <v>15</v>
      </c>
      <c r="C297">
        <v>9000</v>
      </c>
      <c r="D297">
        <v>8895</v>
      </c>
      <c r="E297" s="5">
        <f t="shared" si="17"/>
        <v>105</v>
      </c>
      <c r="F297" s="5">
        <f t="shared" si="18"/>
        <v>11025</v>
      </c>
      <c r="G297" s="6">
        <f>SQRT(SUM($F$2:F297)/A297)</f>
        <v>1224.3994225521124</v>
      </c>
      <c r="H297" s="5">
        <f t="shared" si="19"/>
        <v>1</v>
      </c>
      <c r="I297" s="5">
        <f t="shared" si="20"/>
        <v>1</v>
      </c>
    </row>
    <row r="298" spans="1:9">
      <c r="A298">
        <v>297</v>
      </c>
      <c r="B298">
        <v>15</v>
      </c>
      <c r="C298">
        <v>9000</v>
      </c>
      <c r="D298">
        <v>8479</v>
      </c>
      <c r="E298" s="5">
        <f t="shared" si="17"/>
        <v>521</v>
      </c>
      <c r="F298" s="5">
        <f t="shared" si="18"/>
        <v>271441</v>
      </c>
      <c r="G298" s="6">
        <f>SQRT(SUM($F$2:F298)/A298)</f>
        <v>1222.7101996479919</v>
      </c>
      <c r="H298" s="5">
        <f t="shared" si="19"/>
        <v>1</v>
      </c>
      <c r="I298" s="5">
        <f t="shared" si="20"/>
        <v>1</v>
      </c>
    </row>
    <row r="299" spans="1:9">
      <c r="A299">
        <v>298</v>
      </c>
      <c r="B299">
        <v>16</v>
      </c>
      <c r="C299">
        <v>9000</v>
      </c>
      <c r="D299">
        <v>10030</v>
      </c>
      <c r="E299" s="5">
        <f t="shared" si="17"/>
        <v>1030</v>
      </c>
      <c r="F299" s="5">
        <f t="shared" si="18"/>
        <v>1060900</v>
      </c>
      <c r="G299" s="6">
        <f>SQRT(SUM($F$2:F299)/A299)</f>
        <v>1222.114337130587</v>
      </c>
      <c r="H299" s="5">
        <f t="shared" si="19"/>
        <v>1</v>
      </c>
      <c r="I299" s="5">
        <f t="shared" si="20"/>
        <v>0</v>
      </c>
    </row>
    <row r="300" spans="1:9">
      <c r="A300">
        <v>299</v>
      </c>
      <c r="B300">
        <v>14</v>
      </c>
      <c r="C300">
        <v>9000</v>
      </c>
      <c r="D300">
        <v>8274</v>
      </c>
      <c r="E300" s="5">
        <f t="shared" si="17"/>
        <v>726</v>
      </c>
      <c r="F300" s="5">
        <f t="shared" si="18"/>
        <v>527076</v>
      </c>
      <c r="G300" s="6">
        <f>SQRT(SUM($F$2:F300)/A300)</f>
        <v>1220.791158844012</v>
      </c>
      <c r="H300" s="5">
        <f t="shared" si="19"/>
        <v>1</v>
      </c>
      <c r="I300" s="5">
        <f t="shared" si="20"/>
        <v>1</v>
      </c>
    </row>
    <row r="301" spans="1:9">
      <c r="A301">
        <v>300</v>
      </c>
      <c r="B301">
        <v>16</v>
      </c>
      <c r="C301">
        <v>9000</v>
      </c>
      <c r="D301">
        <v>9331</v>
      </c>
      <c r="E301" s="5">
        <f t="shared" si="17"/>
        <v>331</v>
      </c>
      <c r="F301" s="5">
        <f t="shared" si="18"/>
        <v>109561</v>
      </c>
      <c r="G301" s="6">
        <f>SQRT(SUM($F$2:F301)/A301)</f>
        <v>1218.904625746685</v>
      </c>
      <c r="H301" s="5">
        <f t="shared" si="19"/>
        <v>1</v>
      </c>
      <c r="I301" s="5">
        <f t="shared" si="20"/>
        <v>1</v>
      </c>
    </row>
    <row r="302" spans="1:9">
      <c r="A302">
        <v>301</v>
      </c>
      <c r="B302">
        <v>15</v>
      </c>
      <c r="C302">
        <v>5000</v>
      </c>
      <c r="D302">
        <v>8985</v>
      </c>
      <c r="E302" s="5">
        <f t="shared" si="17"/>
        <v>3985</v>
      </c>
      <c r="F302" s="5">
        <f t="shared" si="18"/>
        <v>15880225</v>
      </c>
      <c r="G302" s="6">
        <f>SQRT(SUM($F$2:F302)/A302)</f>
        <v>1238.3661551493037</v>
      </c>
      <c r="H302" s="5">
        <f t="shared" si="19"/>
        <v>0</v>
      </c>
      <c r="I302" s="5">
        <f t="shared" si="20"/>
        <v>0</v>
      </c>
    </row>
    <row r="303" spans="1:9">
      <c r="A303">
        <v>302</v>
      </c>
      <c r="B303">
        <v>10</v>
      </c>
      <c r="C303">
        <v>5000</v>
      </c>
      <c r="D303">
        <v>6224</v>
      </c>
      <c r="E303" s="5">
        <f t="shared" si="17"/>
        <v>1224</v>
      </c>
      <c r="F303" s="5">
        <f t="shared" si="18"/>
        <v>1498176</v>
      </c>
      <c r="G303" s="6">
        <f>SQRT(SUM($F$2:F303)/A303)</f>
        <v>1238.3188601235743</v>
      </c>
      <c r="H303" s="5">
        <f t="shared" si="19"/>
        <v>0</v>
      </c>
      <c r="I303" s="5">
        <f t="shared" si="20"/>
        <v>0</v>
      </c>
    </row>
    <row r="304" spans="1:9">
      <c r="A304">
        <v>303</v>
      </c>
      <c r="B304">
        <v>12</v>
      </c>
      <c r="C304">
        <v>5000</v>
      </c>
      <c r="D304">
        <v>7347</v>
      </c>
      <c r="E304" s="5">
        <f t="shared" si="17"/>
        <v>2347</v>
      </c>
      <c r="F304" s="5">
        <f t="shared" si="18"/>
        <v>5508409</v>
      </c>
      <c r="G304" s="6">
        <f>SQRT(SUM($F$2:F304)/A304)</f>
        <v>1243.6045714104639</v>
      </c>
      <c r="H304" s="5">
        <f t="shared" si="19"/>
        <v>0</v>
      </c>
      <c r="I304" s="5">
        <f t="shared" si="20"/>
        <v>0</v>
      </c>
    </row>
    <row r="305" spans="1:9">
      <c r="A305">
        <v>304</v>
      </c>
      <c r="B305">
        <v>10</v>
      </c>
      <c r="C305">
        <v>5000</v>
      </c>
      <c r="D305">
        <v>6300</v>
      </c>
      <c r="E305" s="5">
        <f t="shared" si="17"/>
        <v>1300</v>
      </c>
      <c r="F305" s="5">
        <f t="shared" si="18"/>
        <v>1690000</v>
      </c>
      <c r="G305" s="6">
        <f>SQRT(SUM($F$2:F305)/A305)</f>
        <v>1243.7942745359544</v>
      </c>
      <c r="H305" s="5">
        <f t="shared" si="19"/>
        <v>0</v>
      </c>
      <c r="I305" s="5">
        <f t="shared" si="20"/>
        <v>0</v>
      </c>
    </row>
    <row r="306" spans="1:9">
      <c r="A306">
        <v>305</v>
      </c>
      <c r="B306">
        <v>11</v>
      </c>
      <c r="C306">
        <v>5000</v>
      </c>
      <c r="D306">
        <v>6900</v>
      </c>
      <c r="E306" s="5">
        <f t="shared" si="17"/>
        <v>1900</v>
      </c>
      <c r="F306" s="5">
        <f t="shared" si="18"/>
        <v>3610000</v>
      </c>
      <c r="G306" s="6">
        <f>SQRT(SUM($F$2:F306)/A306)</f>
        <v>1246.5103499205356</v>
      </c>
      <c r="H306" s="5">
        <f t="shared" si="19"/>
        <v>0</v>
      </c>
      <c r="I306" s="5">
        <f t="shared" si="20"/>
        <v>0</v>
      </c>
    </row>
    <row r="307" spans="1:9">
      <c r="A307">
        <v>306</v>
      </c>
      <c r="B307">
        <v>10</v>
      </c>
      <c r="C307">
        <v>5000</v>
      </c>
      <c r="D307">
        <v>6123</v>
      </c>
      <c r="E307" s="5">
        <f t="shared" si="17"/>
        <v>1123</v>
      </c>
      <c r="F307" s="5">
        <f t="shared" si="18"/>
        <v>1261129</v>
      </c>
      <c r="G307" s="6">
        <f>SQRT(SUM($F$2:F307)/A307)</f>
        <v>1246.126659022588</v>
      </c>
      <c r="H307" s="5">
        <f t="shared" si="19"/>
        <v>0</v>
      </c>
      <c r="I307" s="5">
        <f t="shared" si="20"/>
        <v>0</v>
      </c>
    </row>
    <row r="308" spans="1:9">
      <c r="A308">
        <v>307</v>
      </c>
      <c r="B308">
        <v>10</v>
      </c>
      <c r="C308">
        <v>5000</v>
      </c>
      <c r="D308">
        <v>5777</v>
      </c>
      <c r="E308" s="5">
        <f t="shared" si="17"/>
        <v>777</v>
      </c>
      <c r="F308" s="5">
        <f t="shared" si="18"/>
        <v>603729</v>
      </c>
      <c r="G308" s="6">
        <f>SQRT(SUM($F$2:F308)/A308)</f>
        <v>1244.8855813885812</v>
      </c>
      <c r="H308" s="5">
        <f t="shared" si="19"/>
        <v>1</v>
      </c>
      <c r="I308" s="5">
        <f t="shared" si="20"/>
        <v>0</v>
      </c>
    </row>
    <row r="309" spans="1:9">
      <c r="A309">
        <v>308</v>
      </c>
      <c r="B309">
        <v>11</v>
      </c>
      <c r="C309">
        <v>5000</v>
      </c>
      <c r="D309">
        <v>6233</v>
      </c>
      <c r="E309" s="5">
        <f t="shared" si="17"/>
        <v>1233</v>
      </c>
      <c r="F309" s="5">
        <f t="shared" si="18"/>
        <v>1520289</v>
      </c>
      <c r="G309" s="6">
        <f>SQRT(SUM($F$2:F309)/A309)</f>
        <v>1244.847175463615</v>
      </c>
      <c r="H309" s="5">
        <f t="shared" si="19"/>
        <v>0</v>
      </c>
      <c r="I309" s="5">
        <f t="shared" si="20"/>
        <v>0</v>
      </c>
    </row>
    <row r="310" spans="1:9">
      <c r="A310">
        <v>309</v>
      </c>
      <c r="B310">
        <v>10</v>
      </c>
      <c r="C310">
        <v>5000</v>
      </c>
      <c r="D310">
        <v>6586</v>
      </c>
      <c r="E310" s="5">
        <f t="shared" si="17"/>
        <v>1586</v>
      </c>
      <c r="F310" s="5">
        <f t="shared" si="18"/>
        <v>2515396</v>
      </c>
      <c r="G310" s="6">
        <f>SQRT(SUM($F$2:F310)/A310)</f>
        <v>1246.101881740163</v>
      </c>
      <c r="H310" s="5">
        <f t="shared" si="19"/>
        <v>0</v>
      </c>
      <c r="I310" s="5">
        <f t="shared" si="20"/>
        <v>0</v>
      </c>
    </row>
    <row r="311" spans="1:9">
      <c r="A311">
        <v>310</v>
      </c>
      <c r="B311">
        <v>9</v>
      </c>
      <c r="C311">
        <v>5000</v>
      </c>
      <c r="D311">
        <v>6159</v>
      </c>
      <c r="E311" s="5">
        <f t="shared" si="17"/>
        <v>1159</v>
      </c>
      <c r="F311" s="5">
        <f t="shared" si="18"/>
        <v>1343281</v>
      </c>
      <c r="G311" s="6">
        <f>SQRT(SUM($F$2:F311)/A311)</f>
        <v>1245.8306983825123</v>
      </c>
      <c r="H311" s="5">
        <f t="shared" si="19"/>
        <v>0</v>
      </c>
      <c r="I311" s="5">
        <f t="shared" si="20"/>
        <v>0</v>
      </c>
    </row>
    <row r="312" spans="1:9">
      <c r="A312">
        <v>311</v>
      </c>
      <c r="B312">
        <v>9</v>
      </c>
      <c r="C312">
        <v>5000</v>
      </c>
      <c r="D312">
        <v>5637</v>
      </c>
      <c r="E312" s="5">
        <f t="shared" si="17"/>
        <v>637</v>
      </c>
      <c r="F312" s="5">
        <f t="shared" si="18"/>
        <v>405769</v>
      </c>
      <c r="G312" s="6">
        <f>SQRT(SUM($F$2:F312)/A312)</f>
        <v>1244.3505117696859</v>
      </c>
      <c r="H312" s="5">
        <f t="shared" si="19"/>
        <v>1</v>
      </c>
      <c r="I312" s="5">
        <f t="shared" si="20"/>
        <v>0</v>
      </c>
    </row>
    <row r="313" spans="1:9">
      <c r="A313">
        <v>312</v>
      </c>
      <c r="B313">
        <v>9</v>
      </c>
      <c r="C313">
        <v>5000</v>
      </c>
      <c r="D313">
        <v>5512</v>
      </c>
      <c r="E313" s="5">
        <f t="shared" si="17"/>
        <v>512</v>
      </c>
      <c r="F313" s="5">
        <f t="shared" si="18"/>
        <v>262144</v>
      </c>
      <c r="G313" s="6">
        <f>SQRT(SUM($F$2:F313)/A313)</f>
        <v>1242.6928641008524</v>
      </c>
      <c r="H313" s="5">
        <f t="shared" si="19"/>
        <v>1</v>
      </c>
      <c r="I313" s="5">
        <f t="shared" si="20"/>
        <v>0</v>
      </c>
    </row>
    <row r="314" spans="1:9">
      <c r="A314">
        <v>313</v>
      </c>
      <c r="B314">
        <v>9</v>
      </c>
      <c r="C314">
        <v>5000</v>
      </c>
      <c r="D314">
        <v>5379</v>
      </c>
      <c r="E314" s="5">
        <f t="shared" si="17"/>
        <v>379</v>
      </c>
      <c r="F314" s="5">
        <f t="shared" si="18"/>
        <v>143641</v>
      </c>
      <c r="G314" s="6">
        <f>SQRT(SUM($F$2:F314)/A314)</f>
        <v>1240.8910716727671</v>
      </c>
      <c r="H314" s="5">
        <f t="shared" si="19"/>
        <v>1</v>
      </c>
      <c r="I314" s="5">
        <f t="shared" si="20"/>
        <v>1</v>
      </c>
    </row>
    <row r="315" spans="1:9">
      <c r="A315">
        <v>314</v>
      </c>
      <c r="B315">
        <v>9</v>
      </c>
      <c r="C315">
        <v>5000</v>
      </c>
      <c r="D315">
        <v>5899</v>
      </c>
      <c r="E315" s="5">
        <f t="shared" si="17"/>
        <v>899</v>
      </c>
      <c r="F315" s="5">
        <f t="shared" si="18"/>
        <v>808201</v>
      </c>
      <c r="G315" s="6">
        <f>SQRT(SUM($F$2:F315)/A315)</f>
        <v>1239.9518880639587</v>
      </c>
      <c r="H315" s="5">
        <f t="shared" si="19"/>
        <v>1</v>
      </c>
      <c r="I315" s="5">
        <f t="shared" si="20"/>
        <v>0</v>
      </c>
    </row>
    <row r="316" spans="1:9">
      <c r="A316">
        <v>315</v>
      </c>
      <c r="B316">
        <v>9</v>
      </c>
      <c r="C316">
        <v>5000</v>
      </c>
      <c r="D316">
        <v>5988</v>
      </c>
      <c r="E316" s="5">
        <f t="shared" si="17"/>
        <v>988</v>
      </c>
      <c r="F316" s="5">
        <f t="shared" si="18"/>
        <v>976144</v>
      </c>
      <c r="G316" s="6">
        <f>SQRT(SUM($F$2:F316)/A316)</f>
        <v>1239.2330948986407</v>
      </c>
      <c r="H316" s="5">
        <f t="shared" si="19"/>
        <v>1</v>
      </c>
      <c r="I316" s="5">
        <f t="shared" si="20"/>
        <v>0</v>
      </c>
    </row>
    <row r="317" spans="1:9">
      <c r="A317">
        <v>316</v>
      </c>
      <c r="B317">
        <v>8</v>
      </c>
      <c r="C317">
        <v>5000</v>
      </c>
      <c r="D317">
        <v>5527</v>
      </c>
      <c r="E317" s="5">
        <f t="shared" si="17"/>
        <v>527</v>
      </c>
      <c r="F317" s="5">
        <f t="shared" si="18"/>
        <v>277729</v>
      </c>
      <c r="G317" s="6">
        <f>SQRT(SUM($F$2:F317)/A317)</f>
        <v>1237.6258509078755</v>
      </c>
      <c r="H317" s="5">
        <f t="shared" si="19"/>
        <v>1</v>
      </c>
      <c r="I317" s="5">
        <f t="shared" si="20"/>
        <v>0</v>
      </c>
    </row>
    <row r="318" spans="1:9">
      <c r="A318">
        <v>317</v>
      </c>
      <c r="B318">
        <v>9</v>
      </c>
      <c r="C318">
        <v>5000</v>
      </c>
      <c r="D318">
        <v>6400</v>
      </c>
      <c r="E318" s="5">
        <f t="shared" si="17"/>
        <v>1400</v>
      </c>
      <c r="F318" s="5">
        <f t="shared" si="18"/>
        <v>1960000</v>
      </c>
      <c r="G318" s="6">
        <f>SQRT(SUM($F$2:F318)/A318)</f>
        <v>1238.1715531188242</v>
      </c>
      <c r="H318" s="5">
        <f t="shared" si="19"/>
        <v>0</v>
      </c>
      <c r="I318" s="5">
        <f t="shared" si="20"/>
        <v>0</v>
      </c>
    </row>
    <row r="319" spans="1:9">
      <c r="A319">
        <v>318</v>
      </c>
      <c r="B319">
        <v>7</v>
      </c>
      <c r="C319">
        <v>5000</v>
      </c>
      <c r="D319">
        <v>5098</v>
      </c>
      <c r="E319" s="5">
        <f t="shared" si="17"/>
        <v>98</v>
      </c>
      <c r="F319" s="5">
        <f t="shared" si="18"/>
        <v>9604</v>
      </c>
      <c r="G319" s="6">
        <f>SQRT(SUM($F$2:F319)/A319)</f>
        <v>1236.2354246490563</v>
      </c>
      <c r="H319" s="5">
        <f t="shared" si="19"/>
        <v>1</v>
      </c>
      <c r="I319" s="5">
        <f t="shared" si="20"/>
        <v>1</v>
      </c>
    </row>
    <row r="320" spans="1:9">
      <c r="A320">
        <v>319</v>
      </c>
      <c r="B320">
        <v>9</v>
      </c>
      <c r="C320">
        <v>5000</v>
      </c>
      <c r="D320">
        <v>7238</v>
      </c>
      <c r="E320" s="5">
        <f t="shared" si="17"/>
        <v>2238</v>
      </c>
      <c r="F320" s="5">
        <f t="shared" si="18"/>
        <v>5008644</v>
      </c>
      <c r="G320" s="6">
        <f>SQRT(SUM($F$2:F320)/A320)</f>
        <v>1240.6402634619287</v>
      </c>
      <c r="H320" s="5">
        <f t="shared" si="19"/>
        <v>0</v>
      </c>
      <c r="I320" s="5">
        <f t="shared" si="20"/>
        <v>0</v>
      </c>
    </row>
    <row r="321" spans="1:9">
      <c r="A321">
        <v>320</v>
      </c>
      <c r="B321">
        <v>6</v>
      </c>
      <c r="C321">
        <v>5000</v>
      </c>
      <c r="D321">
        <v>3524</v>
      </c>
      <c r="E321" s="5">
        <f t="shared" si="17"/>
        <v>1476</v>
      </c>
      <c r="F321" s="5">
        <f t="shared" si="18"/>
        <v>2178576</v>
      </c>
      <c r="G321" s="6">
        <f>SQRT(SUM($F$2:F321)/A321)</f>
        <v>1241.4452666146824</v>
      </c>
      <c r="H321" s="5">
        <f t="shared" si="19"/>
        <v>0</v>
      </c>
      <c r="I321" s="5">
        <f t="shared" si="20"/>
        <v>0</v>
      </c>
    </row>
    <row r="322" spans="1:9">
      <c r="A322">
        <v>321</v>
      </c>
      <c r="B322">
        <v>10</v>
      </c>
      <c r="C322">
        <v>5000</v>
      </c>
      <c r="D322">
        <v>6823</v>
      </c>
      <c r="E322" s="5">
        <f t="shared" si="17"/>
        <v>1823</v>
      </c>
      <c r="F322" s="5">
        <f t="shared" si="18"/>
        <v>3323329</v>
      </c>
      <c r="G322" s="6">
        <f>SQRT(SUM($F$2:F322)/A322)</f>
        <v>1243.6792979951392</v>
      </c>
      <c r="H322" s="5">
        <f t="shared" si="19"/>
        <v>0</v>
      </c>
      <c r="I322" s="5">
        <f t="shared" si="20"/>
        <v>0</v>
      </c>
    </row>
    <row r="323" spans="1:9">
      <c r="A323">
        <v>322</v>
      </c>
      <c r="B323">
        <v>6</v>
      </c>
      <c r="C323">
        <v>5000</v>
      </c>
      <c r="D323">
        <v>3677</v>
      </c>
      <c r="E323" s="5">
        <f t="shared" ref="E323:E386" si="21">ABS(C323-D323)</f>
        <v>1323</v>
      </c>
      <c r="F323" s="5">
        <f t="shared" ref="F323:F386" si="22">POWER(E323,2)</f>
        <v>1750329</v>
      </c>
      <c r="G323" s="6">
        <f>SQRT(SUM($F$2:F323)/A323)</f>
        <v>1243.9334651976003</v>
      </c>
      <c r="H323" s="5">
        <f t="shared" ref="H323:H386" si="23">IF(ABS(E323)/C323&gt;0.2,0,1)</f>
        <v>0</v>
      </c>
      <c r="I323" s="5">
        <f t="shared" ref="I323:I386" si="24">IF(ABS(E323)/C323&gt;0.1,0,1)</f>
        <v>0</v>
      </c>
    </row>
    <row r="324" spans="1:9">
      <c r="A324">
        <v>323</v>
      </c>
      <c r="B324">
        <v>10</v>
      </c>
      <c r="C324">
        <v>5000</v>
      </c>
      <c r="D324">
        <v>6461</v>
      </c>
      <c r="E324" s="5">
        <f t="shared" si="21"/>
        <v>1461</v>
      </c>
      <c r="F324" s="5">
        <f t="shared" si="22"/>
        <v>2134521</v>
      </c>
      <c r="G324" s="6">
        <f>SQRT(SUM($F$2:F324)/A324)</f>
        <v>1244.6639182324861</v>
      </c>
      <c r="H324" s="5">
        <f t="shared" si="23"/>
        <v>0</v>
      </c>
      <c r="I324" s="5">
        <f t="shared" si="24"/>
        <v>0</v>
      </c>
    </row>
    <row r="325" spans="1:9">
      <c r="A325">
        <v>324</v>
      </c>
      <c r="B325">
        <v>6</v>
      </c>
      <c r="C325">
        <v>5000</v>
      </c>
      <c r="D325">
        <v>3870</v>
      </c>
      <c r="E325" s="5">
        <f t="shared" si="21"/>
        <v>1130</v>
      </c>
      <c r="F325" s="5">
        <f t="shared" si="22"/>
        <v>1276900</v>
      </c>
      <c r="G325" s="6">
        <f>SQRT(SUM($F$2:F325)/A325)</f>
        <v>1244.3262729110843</v>
      </c>
      <c r="H325" s="5">
        <f t="shared" si="23"/>
        <v>0</v>
      </c>
      <c r="I325" s="5">
        <f t="shared" si="24"/>
        <v>0</v>
      </c>
    </row>
    <row r="326" spans="1:9">
      <c r="A326">
        <v>325</v>
      </c>
      <c r="B326">
        <v>9</v>
      </c>
      <c r="C326">
        <v>5000</v>
      </c>
      <c r="D326">
        <v>6442</v>
      </c>
      <c r="E326" s="5">
        <f t="shared" si="21"/>
        <v>1442</v>
      </c>
      <c r="F326" s="5">
        <f t="shared" si="22"/>
        <v>2079364</v>
      </c>
      <c r="G326" s="6">
        <f>SQRT(SUM($F$2:F326)/A326)</f>
        <v>1244.9826381242308</v>
      </c>
      <c r="H326" s="5">
        <f t="shared" si="23"/>
        <v>0</v>
      </c>
      <c r="I326" s="5">
        <f t="shared" si="24"/>
        <v>0</v>
      </c>
    </row>
    <row r="327" spans="1:9">
      <c r="A327">
        <v>326</v>
      </c>
      <c r="B327">
        <v>6</v>
      </c>
      <c r="C327">
        <v>5000</v>
      </c>
      <c r="D327">
        <v>4644</v>
      </c>
      <c r="E327" s="5">
        <f t="shared" si="21"/>
        <v>356</v>
      </c>
      <c r="F327" s="5">
        <f t="shared" si="22"/>
        <v>126736</v>
      </c>
      <c r="G327" s="6">
        <f>SQRT(SUM($F$2:F327)/A327)</f>
        <v>1243.2280501430848</v>
      </c>
      <c r="H327" s="5">
        <f t="shared" si="23"/>
        <v>1</v>
      </c>
      <c r="I327" s="5">
        <f t="shared" si="24"/>
        <v>1</v>
      </c>
    </row>
    <row r="328" spans="1:9">
      <c r="A328">
        <v>327</v>
      </c>
      <c r="B328">
        <v>8</v>
      </c>
      <c r="C328">
        <v>5000</v>
      </c>
      <c r="D328">
        <v>5557</v>
      </c>
      <c r="E328" s="5">
        <f t="shared" si="21"/>
        <v>557</v>
      </c>
      <c r="F328" s="5">
        <f t="shared" si="22"/>
        <v>310249</v>
      </c>
      <c r="G328" s="6">
        <f>SQRT(SUM($F$2:F328)/A328)</f>
        <v>1241.7077369395486</v>
      </c>
      <c r="H328" s="5">
        <f t="shared" si="23"/>
        <v>1</v>
      </c>
      <c r="I328" s="5">
        <f t="shared" si="24"/>
        <v>0</v>
      </c>
    </row>
    <row r="329" spans="1:9">
      <c r="A329">
        <v>328</v>
      </c>
      <c r="B329">
        <v>7</v>
      </c>
      <c r="C329">
        <v>5000</v>
      </c>
      <c r="D329">
        <v>6744</v>
      </c>
      <c r="E329" s="5">
        <f t="shared" si="21"/>
        <v>1744</v>
      </c>
      <c r="F329" s="5">
        <f t="shared" si="22"/>
        <v>3041536</v>
      </c>
      <c r="G329" s="6">
        <f>SQRT(SUM($F$2:F329)/A329)</f>
        <v>1243.5474874963709</v>
      </c>
      <c r="H329" s="5">
        <f t="shared" si="23"/>
        <v>0</v>
      </c>
      <c r="I329" s="5">
        <f t="shared" si="24"/>
        <v>0</v>
      </c>
    </row>
    <row r="330" spans="1:9">
      <c r="A330">
        <v>329</v>
      </c>
      <c r="B330">
        <v>5</v>
      </c>
      <c r="C330">
        <v>5000</v>
      </c>
      <c r="D330">
        <v>3252</v>
      </c>
      <c r="E330" s="5">
        <f t="shared" si="21"/>
        <v>1748</v>
      </c>
      <c r="F330" s="5">
        <f t="shared" si="22"/>
        <v>3055504</v>
      </c>
      <c r="G330" s="6">
        <f>SQRT(SUM($F$2:F330)/A330)</f>
        <v>1245.3904064339383</v>
      </c>
      <c r="H330" s="5">
        <f t="shared" si="23"/>
        <v>0</v>
      </c>
      <c r="I330" s="5">
        <f t="shared" si="24"/>
        <v>0</v>
      </c>
    </row>
    <row r="331" spans="1:9">
      <c r="A331">
        <v>330</v>
      </c>
      <c r="B331">
        <v>9</v>
      </c>
      <c r="C331">
        <v>5000</v>
      </c>
      <c r="D331">
        <v>6156</v>
      </c>
      <c r="E331" s="5">
        <f t="shared" si="21"/>
        <v>1156</v>
      </c>
      <c r="F331" s="5">
        <f t="shared" si="22"/>
        <v>1336336</v>
      </c>
      <c r="G331" s="6">
        <f>SQRT(SUM($F$2:F331)/A331)</f>
        <v>1245.1292205058783</v>
      </c>
      <c r="H331" s="5">
        <f t="shared" si="23"/>
        <v>0</v>
      </c>
      <c r="I331" s="5">
        <f t="shared" si="24"/>
        <v>0</v>
      </c>
    </row>
    <row r="332" spans="1:9">
      <c r="A332">
        <v>331</v>
      </c>
      <c r="B332">
        <v>6</v>
      </c>
      <c r="C332">
        <v>5000</v>
      </c>
      <c r="D332">
        <v>4402</v>
      </c>
      <c r="E332" s="5">
        <f t="shared" si="21"/>
        <v>598</v>
      </c>
      <c r="F332" s="5">
        <f t="shared" si="22"/>
        <v>357604</v>
      </c>
      <c r="G332" s="6">
        <f>SQRT(SUM($F$2:F332)/A332)</f>
        <v>1243.6813592165961</v>
      </c>
      <c r="H332" s="5">
        <f t="shared" si="23"/>
        <v>1</v>
      </c>
      <c r="I332" s="5">
        <f t="shared" si="24"/>
        <v>0</v>
      </c>
    </row>
    <row r="333" spans="1:9">
      <c r="A333">
        <v>332</v>
      </c>
      <c r="B333">
        <v>8</v>
      </c>
      <c r="C333">
        <v>5000</v>
      </c>
      <c r="D333">
        <v>5996</v>
      </c>
      <c r="E333" s="5">
        <f t="shared" si="21"/>
        <v>996</v>
      </c>
      <c r="F333" s="5">
        <f t="shared" si="22"/>
        <v>992016</v>
      </c>
      <c r="G333" s="6">
        <f>SQRT(SUM($F$2:F333)/A333)</f>
        <v>1243.009435938169</v>
      </c>
      <c r="H333" s="5">
        <f t="shared" si="23"/>
        <v>1</v>
      </c>
      <c r="I333" s="5">
        <f t="shared" si="24"/>
        <v>0</v>
      </c>
    </row>
    <row r="334" spans="1:9">
      <c r="A334">
        <v>333</v>
      </c>
      <c r="B334">
        <v>6</v>
      </c>
      <c r="C334">
        <v>5000</v>
      </c>
      <c r="D334">
        <v>4652</v>
      </c>
      <c r="E334" s="5">
        <f t="shared" si="21"/>
        <v>348</v>
      </c>
      <c r="F334" s="5">
        <f t="shared" si="22"/>
        <v>121104</v>
      </c>
      <c r="G334" s="6">
        <f>SQRT(SUM($F$2:F334)/A334)</f>
        <v>1241.2881519922262</v>
      </c>
      <c r="H334" s="5">
        <f t="shared" si="23"/>
        <v>1</v>
      </c>
      <c r="I334" s="5">
        <f t="shared" si="24"/>
        <v>1</v>
      </c>
    </row>
    <row r="335" spans="1:9">
      <c r="A335">
        <v>334</v>
      </c>
      <c r="B335">
        <v>8</v>
      </c>
      <c r="C335">
        <v>5000</v>
      </c>
      <c r="D335">
        <v>6027</v>
      </c>
      <c r="E335" s="5">
        <f t="shared" si="21"/>
        <v>1027</v>
      </c>
      <c r="F335" s="5">
        <f t="shared" si="22"/>
        <v>1054729</v>
      </c>
      <c r="G335" s="6">
        <f>SQRT(SUM($F$2:F335)/A335)</f>
        <v>1240.701811488135</v>
      </c>
      <c r="H335" s="5">
        <f t="shared" si="23"/>
        <v>0</v>
      </c>
      <c r="I335" s="5">
        <f t="shared" si="24"/>
        <v>0</v>
      </c>
    </row>
    <row r="336" spans="1:9">
      <c r="A336">
        <v>335</v>
      </c>
      <c r="B336">
        <v>6</v>
      </c>
      <c r="C336">
        <v>5000</v>
      </c>
      <c r="D336">
        <v>3888</v>
      </c>
      <c r="E336" s="5">
        <f t="shared" si="21"/>
        <v>1112</v>
      </c>
      <c r="F336" s="5">
        <f t="shared" si="22"/>
        <v>1236544</v>
      </c>
      <c r="G336" s="6">
        <f>SQRT(SUM($F$2:F336)/A336)</f>
        <v>1240.3374998091592</v>
      </c>
      <c r="H336" s="5">
        <f t="shared" si="23"/>
        <v>0</v>
      </c>
      <c r="I336" s="5">
        <f t="shared" si="24"/>
        <v>0</v>
      </c>
    </row>
    <row r="337" spans="1:9">
      <c r="A337">
        <v>336</v>
      </c>
      <c r="B337">
        <v>8</v>
      </c>
      <c r="C337">
        <v>5000</v>
      </c>
      <c r="D337">
        <v>5592</v>
      </c>
      <c r="E337" s="5">
        <f t="shared" si="21"/>
        <v>592</v>
      </c>
      <c r="F337" s="5">
        <f t="shared" si="22"/>
        <v>350464</v>
      </c>
      <c r="G337" s="6">
        <f>SQRT(SUM($F$2:F337)/A337)</f>
        <v>1238.9114089258628</v>
      </c>
      <c r="H337" s="5">
        <f t="shared" si="23"/>
        <v>1</v>
      </c>
      <c r="I337" s="5">
        <f t="shared" si="24"/>
        <v>0</v>
      </c>
    </row>
    <row r="338" spans="1:9">
      <c r="A338">
        <v>337</v>
      </c>
      <c r="B338">
        <v>7</v>
      </c>
      <c r="C338">
        <v>5000</v>
      </c>
      <c r="D338">
        <v>2024</v>
      </c>
      <c r="E338" s="5">
        <f t="shared" si="21"/>
        <v>2976</v>
      </c>
      <c r="F338" s="5">
        <f t="shared" si="22"/>
        <v>8856576</v>
      </c>
      <c r="G338" s="6">
        <f>SQRT(SUM($F$2:F338)/A338)</f>
        <v>1247.6487952627033</v>
      </c>
      <c r="H338" s="5">
        <f t="shared" si="23"/>
        <v>0</v>
      </c>
      <c r="I338" s="5">
        <f t="shared" si="24"/>
        <v>0</v>
      </c>
    </row>
    <row r="339" spans="1:9">
      <c r="A339">
        <v>338</v>
      </c>
      <c r="B339">
        <v>11</v>
      </c>
      <c r="C339">
        <v>5000</v>
      </c>
      <c r="D339">
        <v>6133</v>
      </c>
      <c r="E339" s="5">
        <f t="shared" si="21"/>
        <v>1133</v>
      </c>
      <c r="F339" s="5">
        <f t="shared" si="22"/>
        <v>1283689</v>
      </c>
      <c r="G339" s="6">
        <f>SQRT(SUM($F$2:F339)/A339)</f>
        <v>1247.3251404173491</v>
      </c>
      <c r="H339" s="5">
        <f t="shared" si="23"/>
        <v>0</v>
      </c>
      <c r="I339" s="5">
        <f t="shared" si="24"/>
        <v>0</v>
      </c>
    </row>
    <row r="340" spans="1:9">
      <c r="A340">
        <v>339</v>
      </c>
      <c r="B340">
        <v>7</v>
      </c>
      <c r="C340">
        <v>5000</v>
      </c>
      <c r="D340">
        <v>4103</v>
      </c>
      <c r="E340" s="5">
        <f t="shared" si="21"/>
        <v>897</v>
      </c>
      <c r="F340" s="5">
        <f t="shared" si="22"/>
        <v>804609</v>
      </c>
      <c r="G340" s="6">
        <f>SQRT(SUM($F$2:F340)/A340)</f>
        <v>1246.4365383956729</v>
      </c>
      <c r="H340" s="5">
        <f t="shared" si="23"/>
        <v>1</v>
      </c>
      <c r="I340" s="5">
        <f t="shared" si="24"/>
        <v>0</v>
      </c>
    </row>
    <row r="341" spans="1:9">
      <c r="A341">
        <v>340</v>
      </c>
      <c r="B341">
        <v>9</v>
      </c>
      <c r="C341">
        <v>5000</v>
      </c>
      <c r="D341">
        <v>4991</v>
      </c>
      <c r="E341" s="5">
        <f t="shared" si="21"/>
        <v>9</v>
      </c>
      <c r="F341" s="5">
        <f t="shared" si="22"/>
        <v>81</v>
      </c>
      <c r="G341" s="6">
        <f>SQRT(SUM($F$2:F341)/A341)</f>
        <v>1244.6022894175992</v>
      </c>
      <c r="H341" s="5">
        <f t="shared" si="23"/>
        <v>1</v>
      </c>
      <c r="I341" s="5">
        <f t="shared" si="24"/>
        <v>1</v>
      </c>
    </row>
    <row r="342" spans="1:9">
      <c r="A342">
        <v>341</v>
      </c>
      <c r="B342">
        <v>8</v>
      </c>
      <c r="C342">
        <v>5000</v>
      </c>
      <c r="D342">
        <v>5829</v>
      </c>
      <c r="E342" s="5">
        <f t="shared" si="21"/>
        <v>829</v>
      </c>
      <c r="F342" s="5">
        <f t="shared" si="22"/>
        <v>687241</v>
      </c>
      <c r="G342" s="6">
        <f>SQRT(SUM($F$2:F342)/A342)</f>
        <v>1243.5865889054817</v>
      </c>
      <c r="H342" s="5">
        <f t="shared" si="23"/>
        <v>1</v>
      </c>
      <c r="I342" s="5">
        <f t="shared" si="24"/>
        <v>0</v>
      </c>
    </row>
    <row r="343" spans="1:9">
      <c r="A343">
        <v>342</v>
      </c>
      <c r="B343">
        <v>7</v>
      </c>
      <c r="C343">
        <v>5000</v>
      </c>
      <c r="D343">
        <v>4728</v>
      </c>
      <c r="E343" s="5">
        <f t="shared" si="21"/>
        <v>272</v>
      </c>
      <c r="F343" s="5">
        <f t="shared" si="22"/>
        <v>73984</v>
      </c>
      <c r="G343" s="6">
        <f>SQRT(SUM($F$2:F343)/A343)</f>
        <v>1241.8542505190228</v>
      </c>
      <c r="H343" s="5">
        <f t="shared" si="23"/>
        <v>1</v>
      </c>
      <c r="I343" s="5">
        <f t="shared" si="24"/>
        <v>1</v>
      </c>
    </row>
    <row r="344" spans="1:9">
      <c r="A344">
        <v>343</v>
      </c>
      <c r="B344">
        <v>8</v>
      </c>
      <c r="C344">
        <v>5000</v>
      </c>
      <c r="D344">
        <v>5513</v>
      </c>
      <c r="E344" s="5">
        <f t="shared" si="21"/>
        <v>513</v>
      </c>
      <c r="F344" s="5">
        <f t="shared" si="22"/>
        <v>263169</v>
      </c>
      <c r="G344" s="6">
        <f>SQRT(SUM($F$2:F344)/A344)</f>
        <v>1240.3519744041057</v>
      </c>
      <c r="H344" s="5">
        <f t="shared" si="23"/>
        <v>1</v>
      </c>
      <c r="I344" s="5">
        <f t="shared" si="24"/>
        <v>0</v>
      </c>
    </row>
    <row r="345" spans="1:9">
      <c r="A345">
        <v>344</v>
      </c>
      <c r="B345">
        <v>7</v>
      </c>
      <c r="C345">
        <v>5000</v>
      </c>
      <c r="D345">
        <v>5088</v>
      </c>
      <c r="E345" s="5">
        <f t="shared" si="21"/>
        <v>88</v>
      </c>
      <c r="F345" s="5">
        <f t="shared" si="22"/>
        <v>7744</v>
      </c>
      <c r="G345" s="6">
        <f>SQRT(SUM($F$2:F345)/A345)</f>
        <v>1238.5569130016538</v>
      </c>
      <c r="H345" s="5">
        <f t="shared" si="23"/>
        <v>1</v>
      </c>
      <c r="I345" s="5">
        <f t="shared" si="24"/>
        <v>1</v>
      </c>
    </row>
    <row r="346" spans="1:9">
      <c r="A346">
        <v>345</v>
      </c>
      <c r="B346">
        <v>8</v>
      </c>
      <c r="C346">
        <v>5000</v>
      </c>
      <c r="D346">
        <v>5493</v>
      </c>
      <c r="E346" s="5">
        <f t="shared" si="21"/>
        <v>493</v>
      </c>
      <c r="F346" s="5">
        <f t="shared" si="22"/>
        <v>243049</v>
      </c>
      <c r="G346" s="6">
        <f>SQRT(SUM($F$2:F346)/A346)</f>
        <v>1237.0453801149608</v>
      </c>
      <c r="H346" s="5">
        <f t="shared" si="23"/>
        <v>1</v>
      </c>
      <c r="I346" s="5">
        <f t="shared" si="24"/>
        <v>1</v>
      </c>
    </row>
    <row r="347" spans="1:9">
      <c r="A347">
        <v>346</v>
      </c>
      <c r="B347">
        <v>7</v>
      </c>
      <c r="C347">
        <v>5000</v>
      </c>
      <c r="D347">
        <v>4092</v>
      </c>
      <c r="E347" s="5">
        <f t="shared" si="21"/>
        <v>908</v>
      </c>
      <c r="F347" s="5">
        <f t="shared" si="22"/>
        <v>824464</v>
      </c>
      <c r="G347" s="6">
        <f>SQRT(SUM($F$2:F347)/A347)</f>
        <v>1236.2205863640554</v>
      </c>
      <c r="H347" s="5">
        <f t="shared" si="23"/>
        <v>1</v>
      </c>
      <c r="I347" s="5">
        <f t="shared" si="24"/>
        <v>0</v>
      </c>
    </row>
    <row r="348" spans="1:9">
      <c r="A348">
        <v>347</v>
      </c>
      <c r="B348">
        <v>9</v>
      </c>
      <c r="C348">
        <v>5000</v>
      </c>
      <c r="D348">
        <v>6235</v>
      </c>
      <c r="E348" s="5">
        <f t="shared" si="21"/>
        <v>1235</v>
      </c>
      <c r="F348" s="5">
        <f t="shared" si="22"/>
        <v>1525225</v>
      </c>
      <c r="G348" s="6">
        <f>SQRT(SUM($F$2:F348)/A348)</f>
        <v>1236.2170705556291</v>
      </c>
      <c r="H348" s="5">
        <f t="shared" si="23"/>
        <v>0</v>
      </c>
      <c r="I348" s="5">
        <f t="shared" si="24"/>
        <v>0</v>
      </c>
    </row>
    <row r="349" spans="1:9">
      <c r="A349">
        <v>348</v>
      </c>
      <c r="B349">
        <v>6</v>
      </c>
      <c r="C349">
        <v>5000</v>
      </c>
      <c r="D349">
        <v>4516</v>
      </c>
      <c r="E349" s="5">
        <f t="shared" si="21"/>
        <v>484</v>
      </c>
      <c r="F349" s="5">
        <f t="shared" si="22"/>
        <v>234256</v>
      </c>
      <c r="G349" s="6">
        <f>SQRT(SUM($F$2:F349)/A349)</f>
        <v>1234.7122425241764</v>
      </c>
      <c r="H349" s="5">
        <f t="shared" si="23"/>
        <v>1</v>
      </c>
      <c r="I349" s="5">
        <f t="shared" si="24"/>
        <v>1</v>
      </c>
    </row>
    <row r="350" spans="1:9">
      <c r="A350">
        <v>349</v>
      </c>
      <c r="B350">
        <v>8</v>
      </c>
      <c r="C350">
        <v>5000</v>
      </c>
      <c r="D350">
        <v>7155</v>
      </c>
      <c r="E350" s="5">
        <f t="shared" si="21"/>
        <v>2155</v>
      </c>
      <c r="F350" s="5">
        <f t="shared" si="22"/>
        <v>4644025</v>
      </c>
      <c r="G350" s="6">
        <f>SQRT(SUM($F$2:F350)/A350)</f>
        <v>1238.3265917563924</v>
      </c>
      <c r="H350" s="5">
        <f t="shared" si="23"/>
        <v>0</v>
      </c>
      <c r="I350" s="5">
        <f t="shared" si="24"/>
        <v>0</v>
      </c>
    </row>
    <row r="351" spans="1:9">
      <c r="A351">
        <v>350</v>
      </c>
      <c r="B351">
        <v>5</v>
      </c>
      <c r="C351">
        <v>5000</v>
      </c>
      <c r="D351">
        <v>3414</v>
      </c>
      <c r="E351" s="5">
        <f t="shared" si="21"/>
        <v>1586</v>
      </c>
      <c r="F351" s="5">
        <f t="shared" si="22"/>
        <v>2515396</v>
      </c>
      <c r="G351" s="6">
        <f>SQRT(SUM($F$2:F351)/A351)</f>
        <v>1239.4588738639134</v>
      </c>
      <c r="H351" s="5">
        <f t="shared" si="23"/>
        <v>0</v>
      </c>
      <c r="I351" s="5">
        <f t="shared" si="24"/>
        <v>0</v>
      </c>
    </row>
    <row r="352" spans="1:9">
      <c r="A352">
        <v>351</v>
      </c>
      <c r="B352">
        <v>9</v>
      </c>
      <c r="C352">
        <v>5000</v>
      </c>
      <c r="D352">
        <v>6785</v>
      </c>
      <c r="E352" s="5">
        <f t="shared" si="21"/>
        <v>1785</v>
      </c>
      <c r="F352" s="5">
        <f t="shared" si="22"/>
        <v>3186225</v>
      </c>
      <c r="G352" s="6">
        <f>SQRT(SUM($F$2:F352)/A352)</f>
        <v>1241.3537206731446</v>
      </c>
      <c r="H352" s="5">
        <f t="shared" si="23"/>
        <v>0</v>
      </c>
      <c r="I352" s="5">
        <f t="shared" si="24"/>
        <v>0</v>
      </c>
    </row>
    <row r="353" spans="1:9">
      <c r="A353">
        <v>352</v>
      </c>
      <c r="B353">
        <v>5</v>
      </c>
      <c r="C353">
        <v>5000</v>
      </c>
      <c r="D353">
        <v>4205</v>
      </c>
      <c r="E353" s="5">
        <f t="shared" si="21"/>
        <v>795</v>
      </c>
      <c r="F353" s="5">
        <f t="shared" si="22"/>
        <v>632025</v>
      </c>
      <c r="G353" s="6">
        <f>SQRT(SUM($F$2:F353)/A353)</f>
        <v>1240.3132107639001</v>
      </c>
      <c r="H353" s="5">
        <f t="shared" si="23"/>
        <v>1</v>
      </c>
      <c r="I353" s="5">
        <f t="shared" si="24"/>
        <v>0</v>
      </c>
    </row>
    <row r="354" spans="1:9">
      <c r="A354">
        <v>353</v>
      </c>
      <c r="B354">
        <v>8</v>
      </c>
      <c r="C354">
        <v>5000</v>
      </c>
      <c r="D354">
        <v>5196</v>
      </c>
      <c r="E354" s="5">
        <f t="shared" si="21"/>
        <v>196</v>
      </c>
      <c r="F354" s="5">
        <f t="shared" si="22"/>
        <v>38416</v>
      </c>
      <c r="G354" s="6">
        <f>SQRT(SUM($F$2:F354)/A354)</f>
        <v>1238.5990795599218</v>
      </c>
      <c r="H354" s="5">
        <f t="shared" si="23"/>
        <v>1</v>
      </c>
      <c r="I354" s="5">
        <f t="shared" si="24"/>
        <v>1</v>
      </c>
    </row>
    <row r="355" spans="1:9">
      <c r="A355">
        <v>354</v>
      </c>
      <c r="B355">
        <v>7</v>
      </c>
      <c r="C355">
        <v>5000</v>
      </c>
      <c r="D355">
        <v>5733</v>
      </c>
      <c r="E355" s="5">
        <f t="shared" si="21"/>
        <v>733</v>
      </c>
      <c r="F355" s="5">
        <f t="shared" si="22"/>
        <v>537289</v>
      </c>
      <c r="G355" s="6">
        <f>SQRT(SUM($F$2:F355)/A355)</f>
        <v>1237.4618181634653</v>
      </c>
      <c r="H355" s="5">
        <f t="shared" si="23"/>
        <v>1</v>
      </c>
      <c r="I355" s="5">
        <f t="shared" si="24"/>
        <v>0</v>
      </c>
    </row>
    <row r="356" spans="1:9">
      <c r="A356">
        <v>355</v>
      </c>
      <c r="B356">
        <v>6</v>
      </c>
      <c r="C356">
        <v>5000</v>
      </c>
      <c r="D356">
        <v>5474</v>
      </c>
      <c r="E356" s="5">
        <f t="shared" si="21"/>
        <v>474</v>
      </c>
      <c r="F356" s="5">
        <f t="shared" si="22"/>
        <v>224676</v>
      </c>
      <c r="G356" s="6">
        <f>SQRT(SUM($F$2:F356)/A356)</f>
        <v>1235.9737405478902</v>
      </c>
      <c r="H356" s="5">
        <f t="shared" si="23"/>
        <v>1</v>
      </c>
      <c r="I356" s="5">
        <f t="shared" si="24"/>
        <v>1</v>
      </c>
    </row>
    <row r="357" spans="1:9">
      <c r="A357">
        <v>356</v>
      </c>
      <c r="B357">
        <v>6</v>
      </c>
      <c r="C357">
        <v>5000</v>
      </c>
      <c r="D357">
        <v>4883</v>
      </c>
      <c r="E357" s="5">
        <f t="shared" si="21"/>
        <v>117</v>
      </c>
      <c r="F357" s="5">
        <f t="shared" si="22"/>
        <v>13689</v>
      </c>
      <c r="G357" s="6">
        <f>SQRT(SUM($F$2:F357)/A357)</f>
        <v>1234.2521788561833</v>
      </c>
      <c r="H357" s="5">
        <f t="shared" si="23"/>
        <v>1</v>
      </c>
      <c r="I357" s="5">
        <f t="shared" si="24"/>
        <v>1</v>
      </c>
    </row>
    <row r="358" spans="1:9">
      <c r="A358">
        <v>357</v>
      </c>
      <c r="B358">
        <v>7</v>
      </c>
      <c r="C358">
        <v>5000</v>
      </c>
      <c r="D358">
        <v>5459</v>
      </c>
      <c r="E358" s="5">
        <f t="shared" si="21"/>
        <v>459</v>
      </c>
      <c r="F358" s="5">
        <f t="shared" si="22"/>
        <v>210681</v>
      </c>
      <c r="G358" s="6">
        <f>SQRT(SUM($F$2:F358)/A358)</f>
        <v>1232.7617033988956</v>
      </c>
      <c r="H358" s="5">
        <f t="shared" si="23"/>
        <v>1</v>
      </c>
      <c r="I358" s="5">
        <f t="shared" si="24"/>
        <v>1</v>
      </c>
    </row>
    <row r="359" spans="1:9">
      <c r="A359">
        <v>358</v>
      </c>
      <c r="B359">
        <v>6</v>
      </c>
      <c r="C359">
        <v>5000</v>
      </c>
      <c r="D359">
        <v>4320</v>
      </c>
      <c r="E359" s="5">
        <f t="shared" si="21"/>
        <v>680</v>
      </c>
      <c r="F359" s="5">
        <f t="shared" si="22"/>
        <v>462400</v>
      </c>
      <c r="G359" s="6">
        <f>SQRT(SUM($F$2:F359)/A359)</f>
        <v>1231.5632592167217</v>
      </c>
      <c r="H359" s="5">
        <f t="shared" si="23"/>
        <v>1</v>
      </c>
      <c r="I359" s="5">
        <f t="shared" si="24"/>
        <v>0</v>
      </c>
    </row>
    <row r="360" spans="1:9">
      <c r="A360">
        <v>359</v>
      </c>
      <c r="B360">
        <v>7</v>
      </c>
      <c r="C360">
        <v>5000</v>
      </c>
      <c r="D360">
        <v>5295</v>
      </c>
      <c r="E360" s="5">
        <f t="shared" si="21"/>
        <v>295</v>
      </c>
      <c r="F360" s="5">
        <f t="shared" si="22"/>
        <v>87025</v>
      </c>
      <c r="G360" s="6">
        <f>SQRT(SUM($F$2:F360)/A360)</f>
        <v>1229.9453426721868</v>
      </c>
      <c r="H360" s="5">
        <f t="shared" si="23"/>
        <v>1</v>
      </c>
      <c r="I360" s="5">
        <f t="shared" si="24"/>
        <v>1</v>
      </c>
    </row>
    <row r="361" spans="1:9">
      <c r="A361">
        <v>360</v>
      </c>
      <c r="B361">
        <v>6</v>
      </c>
      <c r="C361">
        <v>5000</v>
      </c>
      <c r="D361">
        <v>4112</v>
      </c>
      <c r="E361" s="5">
        <f t="shared" si="21"/>
        <v>888</v>
      </c>
      <c r="F361" s="5">
        <f t="shared" si="22"/>
        <v>788544</v>
      </c>
      <c r="G361" s="6">
        <f>SQRT(SUM($F$2:F361)/A361)</f>
        <v>1229.1272592552996</v>
      </c>
      <c r="H361" s="5">
        <f t="shared" si="23"/>
        <v>1</v>
      </c>
      <c r="I361" s="5">
        <f t="shared" si="24"/>
        <v>0</v>
      </c>
    </row>
    <row r="362" spans="1:9">
      <c r="A362">
        <v>361</v>
      </c>
      <c r="B362">
        <v>8</v>
      </c>
      <c r="C362">
        <v>5000</v>
      </c>
      <c r="D362">
        <v>5696</v>
      </c>
      <c r="E362" s="5">
        <f t="shared" si="21"/>
        <v>696</v>
      </c>
      <c r="F362" s="5">
        <f t="shared" si="22"/>
        <v>484416</v>
      </c>
      <c r="G362" s="6">
        <f>SQRT(SUM($F$2:F362)/A362)</f>
        <v>1227.9701862803313</v>
      </c>
      <c r="H362" s="5">
        <f t="shared" si="23"/>
        <v>1</v>
      </c>
      <c r="I362" s="5">
        <f t="shared" si="24"/>
        <v>0</v>
      </c>
    </row>
    <row r="363" spans="1:9">
      <c r="A363">
        <v>362</v>
      </c>
      <c r="B363">
        <v>6</v>
      </c>
      <c r="C363">
        <v>5000</v>
      </c>
      <c r="D363">
        <v>4504</v>
      </c>
      <c r="E363" s="5">
        <f t="shared" si="21"/>
        <v>496</v>
      </c>
      <c r="F363" s="5">
        <f t="shared" si="22"/>
        <v>246016</v>
      </c>
      <c r="G363" s="6">
        <f>SQRT(SUM($F$2:F363)/A363)</f>
        <v>1226.549991323415</v>
      </c>
      <c r="H363" s="5">
        <f t="shared" si="23"/>
        <v>1</v>
      </c>
      <c r="I363" s="5">
        <f t="shared" si="24"/>
        <v>1</v>
      </c>
    </row>
    <row r="364" spans="1:9">
      <c r="A364">
        <v>363</v>
      </c>
      <c r="B364">
        <v>7</v>
      </c>
      <c r="C364">
        <v>5000</v>
      </c>
      <c r="D364">
        <v>5549</v>
      </c>
      <c r="E364" s="5">
        <f t="shared" si="21"/>
        <v>549</v>
      </c>
      <c r="F364" s="5">
        <f t="shared" si="22"/>
        <v>301401</v>
      </c>
      <c r="G364" s="6">
        <f>SQRT(SUM($F$2:F364)/A364)</f>
        <v>1225.1982557285251</v>
      </c>
      <c r="H364" s="5">
        <f t="shared" si="23"/>
        <v>1</v>
      </c>
      <c r="I364" s="5">
        <f t="shared" si="24"/>
        <v>0</v>
      </c>
    </row>
    <row r="365" spans="1:9">
      <c r="A365">
        <v>364</v>
      </c>
      <c r="B365">
        <v>6</v>
      </c>
      <c r="C365">
        <v>5000</v>
      </c>
      <c r="D365">
        <v>4648</v>
      </c>
      <c r="E365" s="5">
        <f t="shared" si="21"/>
        <v>352</v>
      </c>
      <c r="F365" s="5">
        <f t="shared" si="22"/>
        <v>123904</v>
      </c>
      <c r="G365" s="6">
        <f>SQRT(SUM($F$2:F365)/A365)</f>
        <v>1223.6532314218889</v>
      </c>
      <c r="H365" s="5">
        <f t="shared" si="23"/>
        <v>1</v>
      </c>
      <c r="I365" s="5">
        <f t="shared" si="24"/>
        <v>1</v>
      </c>
    </row>
    <row r="366" spans="1:9">
      <c r="A366">
        <v>365</v>
      </c>
      <c r="B366">
        <v>7</v>
      </c>
      <c r="C366">
        <v>5000</v>
      </c>
      <c r="D366">
        <v>4777</v>
      </c>
      <c r="E366" s="5">
        <f t="shared" si="21"/>
        <v>223</v>
      </c>
      <c r="F366" s="5">
        <f t="shared" si="22"/>
        <v>49729</v>
      </c>
      <c r="G366" s="6">
        <f>SQRT(SUM($F$2:F366)/A366)</f>
        <v>1222.0315905160464</v>
      </c>
      <c r="H366" s="5">
        <f t="shared" si="23"/>
        <v>1</v>
      </c>
      <c r="I366" s="5">
        <f t="shared" si="24"/>
        <v>1</v>
      </c>
    </row>
    <row r="367" spans="1:9">
      <c r="A367">
        <v>366</v>
      </c>
      <c r="B367">
        <v>7</v>
      </c>
      <c r="C367">
        <v>5000</v>
      </c>
      <c r="D367">
        <v>5929</v>
      </c>
      <c r="E367" s="5">
        <f t="shared" si="21"/>
        <v>929</v>
      </c>
      <c r="F367" s="5">
        <f t="shared" si="22"/>
        <v>863041</v>
      </c>
      <c r="G367" s="6">
        <f>SQRT(SUM($F$2:F367)/A367)</f>
        <v>1221.3267465579895</v>
      </c>
      <c r="H367" s="5">
        <f t="shared" si="23"/>
        <v>1</v>
      </c>
      <c r="I367" s="5">
        <f t="shared" si="24"/>
        <v>0</v>
      </c>
    </row>
    <row r="368" spans="1:9">
      <c r="A368">
        <v>367</v>
      </c>
      <c r="B368">
        <v>6</v>
      </c>
      <c r="C368">
        <v>5000</v>
      </c>
      <c r="D368">
        <v>5177</v>
      </c>
      <c r="E368" s="5">
        <f t="shared" si="21"/>
        <v>177</v>
      </c>
      <c r="F368" s="5">
        <f t="shared" si="22"/>
        <v>31329</v>
      </c>
      <c r="G368" s="6">
        <f>SQRT(SUM($F$2:F368)/A368)</f>
        <v>1219.6966735532401</v>
      </c>
      <c r="H368" s="5">
        <f t="shared" si="23"/>
        <v>1</v>
      </c>
      <c r="I368" s="5">
        <f t="shared" si="24"/>
        <v>1</v>
      </c>
    </row>
    <row r="369" spans="1:9">
      <c r="A369">
        <v>368</v>
      </c>
      <c r="B369">
        <v>6</v>
      </c>
      <c r="C369">
        <v>5000</v>
      </c>
      <c r="D369">
        <v>4935</v>
      </c>
      <c r="E369" s="5">
        <f t="shared" si="21"/>
        <v>65</v>
      </c>
      <c r="F369" s="5">
        <f t="shared" si="22"/>
        <v>4225</v>
      </c>
      <c r="G369" s="6">
        <f>SQRT(SUM($F$2:F369)/A369)</f>
        <v>1218.0430625285435</v>
      </c>
      <c r="H369" s="5">
        <f t="shared" si="23"/>
        <v>1</v>
      </c>
      <c r="I369" s="5">
        <f t="shared" si="24"/>
        <v>1</v>
      </c>
    </row>
    <row r="370" spans="1:9">
      <c r="A370">
        <v>369</v>
      </c>
      <c r="B370">
        <v>7</v>
      </c>
      <c r="C370">
        <v>5000</v>
      </c>
      <c r="D370">
        <v>5830</v>
      </c>
      <c r="E370" s="5">
        <f t="shared" si="21"/>
        <v>830</v>
      </c>
      <c r="F370" s="5">
        <f t="shared" si="22"/>
        <v>688900</v>
      </c>
      <c r="G370" s="6">
        <f>SQRT(SUM($F$2:F370)/A370)</f>
        <v>1217.1586442660846</v>
      </c>
      <c r="H370" s="5">
        <f t="shared" si="23"/>
        <v>1</v>
      </c>
      <c r="I370" s="5">
        <f t="shared" si="24"/>
        <v>0</v>
      </c>
    </row>
    <row r="371" spans="1:9">
      <c r="A371">
        <v>370</v>
      </c>
      <c r="B371">
        <v>5</v>
      </c>
      <c r="C371">
        <v>5000</v>
      </c>
      <c r="D371">
        <v>3994</v>
      </c>
      <c r="E371" s="5">
        <f t="shared" si="21"/>
        <v>1006</v>
      </c>
      <c r="F371" s="5">
        <f t="shared" si="22"/>
        <v>1012036</v>
      </c>
      <c r="G371" s="6">
        <f>SQRT(SUM($F$2:F371)/A371)</f>
        <v>1216.6373374226237</v>
      </c>
      <c r="H371" s="5">
        <f t="shared" si="23"/>
        <v>0</v>
      </c>
      <c r="I371" s="5">
        <f t="shared" si="24"/>
        <v>0</v>
      </c>
    </row>
    <row r="372" spans="1:9">
      <c r="A372">
        <v>371</v>
      </c>
      <c r="B372">
        <v>8</v>
      </c>
      <c r="C372">
        <v>5000</v>
      </c>
      <c r="D372">
        <v>5540</v>
      </c>
      <c r="E372" s="5">
        <f t="shared" si="21"/>
        <v>540</v>
      </c>
      <c r="F372" s="5">
        <f t="shared" si="22"/>
        <v>291600</v>
      </c>
      <c r="G372" s="6">
        <f>SQRT(SUM($F$2:F372)/A372)</f>
        <v>1215.3199660772843</v>
      </c>
      <c r="H372" s="5">
        <f t="shared" si="23"/>
        <v>1</v>
      </c>
      <c r="I372" s="5">
        <f t="shared" si="24"/>
        <v>0</v>
      </c>
    </row>
    <row r="373" spans="1:9">
      <c r="A373">
        <v>372</v>
      </c>
      <c r="B373">
        <v>6</v>
      </c>
      <c r="C373">
        <v>5000</v>
      </c>
      <c r="D373">
        <v>3967</v>
      </c>
      <c r="E373" s="5">
        <f t="shared" si="21"/>
        <v>1033</v>
      </c>
      <c r="F373" s="5">
        <f t="shared" si="22"/>
        <v>1067089</v>
      </c>
      <c r="G373" s="6">
        <f>SQRT(SUM($F$2:F373)/A373)</f>
        <v>1214.8665365433783</v>
      </c>
      <c r="H373" s="5">
        <f t="shared" si="23"/>
        <v>0</v>
      </c>
      <c r="I373" s="5">
        <f t="shared" si="24"/>
        <v>0</v>
      </c>
    </row>
    <row r="374" spans="1:9">
      <c r="A374">
        <v>373</v>
      </c>
      <c r="B374">
        <v>8</v>
      </c>
      <c r="C374">
        <v>5000</v>
      </c>
      <c r="D374">
        <v>5817</v>
      </c>
      <c r="E374" s="5">
        <f t="shared" si="21"/>
        <v>817</v>
      </c>
      <c r="F374" s="5">
        <f t="shared" si="22"/>
        <v>667489</v>
      </c>
      <c r="G374" s="6">
        <f>SQRT(SUM($F$2:F374)/A374)</f>
        <v>1213.9742081346233</v>
      </c>
      <c r="H374" s="5">
        <f t="shared" si="23"/>
        <v>1</v>
      </c>
      <c r="I374" s="5">
        <f t="shared" si="24"/>
        <v>0</v>
      </c>
    </row>
    <row r="375" spans="1:9">
      <c r="A375">
        <v>374</v>
      </c>
      <c r="B375">
        <v>6</v>
      </c>
      <c r="C375">
        <v>5000</v>
      </c>
      <c r="D375">
        <v>4825</v>
      </c>
      <c r="E375" s="5">
        <f t="shared" si="21"/>
        <v>175</v>
      </c>
      <c r="F375" s="5">
        <f t="shared" si="22"/>
        <v>30625</v>
      </c>
      <c r="G375" s="6">
        <f>SQRT(SUM($F$2:F375)/A375)</f>
        <v>1212.3839323684724</v>
      </c>
      <c r="H375" s="5">
        <f t="shared" si="23"/>
        <v>1</v>
      </c>
      <c r="I375" s="5">
        <f t="shared" si="24"/>
        <v>1</v>
      </c>
    </row>
    <row r="376" spans="1:9">
      <c r="A376">
        <v>375</v>
      </c>
      <c r="B376">
        <v>7</v>
      </c>
      <c r="C376">
        <v>5000</v>
      </c>
      <c r="D376">
        <v>4811</v>
      </c>
      <c r="E376" s="5">
        <f t="shared" si="21"/>
        <v>189</v>
      </c>
      <c r="F376" s="5">
        <f t="shared" si="22"/>
        <v>35721</v>
      </c>
      <c r="G376" s="6">
        <f>SQRT(SUM($F$2:F376)/A376)</f>
        <v>1210.8056777754775</v>
      </c>
      <c r="H376" s="5">
        <f t="shared" si="23"/>
        <v>1</v>
      </c>
      <c r="I376" s="5">
        <f t="shared" si="24"/>
        <v>1</v>
      </c>
    </row>
    <row r="377" spans="1:9">
      <c r="A377">
        <v>376</v>
      </c>
      <c r="B377">
        <v>7</v>
      </c>
      <c r="C377">
        <v>5000</v>
      </c>
      <c r="D377">
        <v>5075</v>
      </c>
      <c r="E377" s="5">
        <f t="shared" si="21"/>
        <v>75</v>
      </c>
      <c r="F377" s="5">
        <f t="shared" si="22"/>
        <v>5625</v>
      </c>
      <c r="G377" s="6">
        <f>SQRT(SUM($F$2:F377)/A377)</f>
        <v>1209.2006778261907</v>
      </c>
      <c r="H377" s="5">
        <f t="shared" si="23"/>
        <v>1</v>
      </c>
      <c r="I377" s="5">
        <f t="shared" si="24"/>
        <v>1</v>
      </c>
    </row>
    <row r="378" spans="1:9">
      <c r="A378">
        <v>377</v>
      </c>
      <c r="B378">
        <v>7</v>
      </c>
      <c r="C378">
        <v>5000</v>
      </c>
      <c r="D378">
        <v>5633</v>
      </c>
      <c r="E378" s="5">
        <f t="shared" si="21"/>
        <v>633</v>
      </c>
      <c r="F378" s="5">
        <f t="shared" si="22"/>
        <v>400689</v>
      </c>
      <c r="G378" s="6">
        <f>SQRT(SUM($F$2:F378)/A378)</f>
        <v>1208.035880946908</v>
      </c>
      <c r="H378" s="5">
        <f t="shared" si="23"/>
        <v>1</v>
      </c>
      <c r="I378" s="5">
        <f t="shared" si="24"/>
        <v>0</v>
      </c>
    </row>
    <row r="379" spans="1:9">
      <c r="A379">
        <v>378</v>
      </c>
      <c r="B379">
        <v>6</v>
      </c>
      <c r="C379">
        <v>5000</v>
      </c>
      <c r="D379">
        <v>5310</v>
      </c>
      <c r="E379" s="5">
        <f t="shared" si="21"/>
        <v>310</v>
      </c>
      <c r="F379" s="5">
        <f t="shared" si="22"/>
        <v>96100</v>
      </c>
      <c r="G379" s="6">
        <f>SQRT(SUM($F$2:F379)/A379)</f>
        <v>1206.5422522022204</v>
      </c>
      <c r="H379" s="5">
        <f t="shared" si="23"/>
        <v>1</v>
      </c>
      <c r="I379" s="5">
        <f t="shared" si="24"/>
        <v>1</v>
      </c>
    </row>
    <row r="380" spans="1:9">
      <c r="A380">
        <v>379</v>
      </c>
      <c r="B380">
        <v>6</v>
      </c>
      <c r="C380">
        <v>5000</v>
      </c>
      <c r="D380">
        <v>4488</v>
      </c>
      <c r="E380" s="5">
        <f t="shared" si="21"/>
        <v>512</v>
      </c>
      <c r="F380" s="5">
        <f t="shared" si="22"/>
        <v>262144</v>
      </c>
      <c r="G380" s="6">
        <f>SQRT(SUM($F$2:F380)/A380)</f>
        <v>1205.2364354911265</v>
      </c>
      <c r="H380" s="5">
        <f t="shared" si="23"/>
        <v>1</v>
      </c>
      <c r="I380" s="5">
        <f t="shared" si="24"/>
        <v>0</v>
      </c>
    </row>
    <row r="381" spans="1:9">
      <c r="A381">
        <v>380</v>
      </c>
      <c r="B381">
        <v>7</v>
      </c>
      <c r="C381">
        <v>5000</v>
      </c>
      <c r="D381">
        <v>4745</v>
      </c>
      <c r="E381" s="5">
        <f t="shared" si="21"/>
        <v>255</v>
      </c>
      <c r="F381" s="5">
        <f t="shared" si="22"/>
        <v>65025</v>
      </c>
      <c r="G381" s="6">
        <f>SQRT(SUM($F$2:F381)/A381)</f>
        <v>1203.7206344453325</v>
      </c>
      <c r="H381" s="5">
        <f t="shared" si="23"/>
        <v>1</v>
      </c>
      <c r="I381" s="5">
        <f t="shared" si="24"/>
        <v>1</v>
      </c>
    </row>
    <row r="382" spans="1:9">
      <c r="A382">
        <v>381</v>
      </c>
      <c r="B382">
        <v>7</v>
      </c>
      <c r="C382">
        <v>5000</v>
      </c>
      <c r="D382">
        <v>5446</v>
      </c>
      <c r="E382" s="5">
        <f t="shared" si="21"/>
        <v>446</v>
      </c>
      <c r="F382" s="5">
        <f t="shared" si="22"/>
        <v>198916</v>
      </c>
      <c r="G382" s="6">
        <f>SQRT(SUM($F$2:F382)/A382)</f>
        <v>1202.357041010798</v>
      </c>
      <c r="H382" s="5">
        <f t="shared" si="23"/>
        <v>1</v>
      </c>
      <c r="I382" s="5">
        <f t="shared" si="24"/>
        <v>1</v>
      </c>
    </row>
    <row r="383" spans="1:9">
      <c r="A383">
        <v>382</v>
      </c>
      <c r="B383">
        <v>6</v>
      </c>
      <c r="C383">
        <v>5000</v>
      </c>
      <c r="D383">
        <v>4958</v>
      </c>
      <c r="E383" s="5">
        <f t="shared" si="21"/>
        <v>42</v>
      </c>
      <c r="F383" s="5">
        <f t="shared" si="22"/>
        <v>1764</v>
      </c>
      <c r="G383" s="6">
        <f>SQRT(SUM($F$2:F383)/A383)</f>
        <v>1200.7841667773798</v>
      </c>
      <c r="H383" s="5">
        <f t="shared" si="23"/>
        <v>1</v>
      </c>
      <c r="I383" s="5">
        <f t="shared" si="24"/>
        <v>1</v>
      </c>
    </row>
    <row r="384" spans="1:9">
      <c r="A384">
        <v>383</v>
      </c>
      <c r="B384">
        <v>7</v>
      </c>
      <c r="C384">
        <v>5000</v>
      </c>
      <c r="D384">
        <v>5530</v>
      </c>
      <c r="E384" s="5">
        <f t="shared" si="21"/>
        <v>530</v>
      </c>
      <c r="F384" s="5">
        <f t="shared" si="22"/>
        <v>280900</v>
      </c>
      <c r="G384" s="6">
        <f>SQRT(SUM($F$2:F384)/A384)</f>
        <v>1199.5212915916595</v>
      </c>
      <c r="H384" s="5">
        <f t="shared" si="23"/>
        <v>1</v>
      </c>
      <c r="I384" s="5">
        <f t="shared" si="24"/>
        <v>0</v>
      </c>
    </row>
    <row r="385" spans="1:9">
      <c r="A385">
        <v>384</v>
      </c>
      <c r="B385">
        <v>6</v>
      </c>
      <c r="C385">
        <v>5000</v>
      </c>
      <c r="D385">
        <v>4774</v>
      </c>
      <c r="E385" s="5">
        <f t="shared" si="21"/>
        <v>226</v>
      </c>
      <c r="F385" s="5">
        <f t="shared" si="22"/>
        <v>51076</v>
      </c>
      <c r="G385" s="6">
        <f>SQRT(SUM($F$2:F385)/A385)</f>
        <v>1198.0139109080355</v>
      </c>
      <c r="H385" s="5">
        <f t="shared" si="23"/>
        <v>1</v>
      </c>
      <c r="I385" s="5">
        <f t="shared" si="24"/>
        <v>1</v>
      </c>
    </row>
    <row r="386" spans="1:9">
      <c r="A386">
        <v>385</v>
      </c>
      <c r="B386">
        <v>7</v>
      </c>
      <c r="C386">
        <v>5000</v>
      </c>
      <c r="D386">
        <v>5472</v>
      </c>
      <c r="E386" s="5">
        <f t="shared" si="21"/>
        <v>472</v>
      </c>
      <c r="F386" s="5">
        <f t="shared" si="22"/>
        <v>222784</v>
      </c>
      <c r="G386" s="6">
        <f>SQRT(SUM($F$2:F386)/A386)</f>
        <v>1196.6988348363598</v>
      </c>
      <c r="H386" s="5">
        <f t="shared" si="23"/>
        <v>1</v>
      </c>
      <c r="I386" s="5">
        <f t="shared" si="24"/>
        <v>1</v>
      </c>
    </row>
    <row r="387" spans="1:9">
      <c r="A387">
        <v>386</v>
      </c>
      <c r="B387">
        <v>6</v>
      </c>
      <c r="C387">
        <v>5000</v>
      </c>
      <c r="D387">
        <v>4164</v>
      </c>
      <c r="E387" s="5">
        <f t="shared" ref="E387:E450" si="25">ABS(C387-D387)</f>
        <v>836</v>
      </c>
      <c r="F387" s="5">
        <f t="shared" ref="F387:F450" si="26">POWER(E387,2)</f>
        <v>698896</v>
      </c>
      <c r="G387" s="6">
        <f>SQRT(SUM($F$2:F387)/A387)</f>
        <v>1195.9049460121707</v>
      </c>
      <c r="H387" s="5">
        <f t="shared" ref="H387:H450" si="27">IF(ABS(E387)/C387&gt;0.2,0,1)</f>
        <v>1</v>
      </c>
      <c r="I387" s="5">
        <f t="shared" ref="I387:I450" si="28">IF(ABS(E387)/C387&gt;0.1,0,1)</f>
        <v>0</v>
      </c>
    </row>
    <row r="388" spans="1:9">
      <c r="A388">
        <v>387</v>
      </c>
      <c r="B388">
        <v>7</v>
      </c>
      <c r="C388">
        <v>5000</v>
      </c>
      <c r="D388">
        <v>5377</v>
      </c>
      <c r="E388" s="5">
        <f t="shared" si="25"/>
        <v>377</v>
      </c>
      <c r="F388" s="5">
        <f t="shared" si="26"/>
        <v>142129</v>
      </c>
      <c r="G388" s="6">
        <f>SQRT(SUM($F$2:F388)/A388)</f>
        <v>1194.5125869631665</v>
      </c>
      <c r="H388" s="5">
        <f t="shared" si="27"/>
        <v>1</v>
      </c>
      <c r="I388" s="5">
        <f t="shared" si="28"/>
        <v>1</v>
      </c>
    </row>
    <row r="389" spans="1:9">
      <c r="A389">
        <v>388</v>
      </c>
      <c r="B389">
        <v>6</v>
      </c>
      <c r="C389">
        <v>5000</v>
      </c>
      <c r="D389">
        <v>4712</v>
      </c>
      <c r="E389" s="5">
        <f t="shared" si="25"/>
        <v>288</v>
      </c>
      <c r="F389" s="5">
        <f t="shared" si="26"/>
        <v>82944</v>
      </c>
      <c r="G389" s="6">
        <f>SQRT(SUM($F$2:F389)/A389)</f>
        <v>1193.0618670281526</v>
      </c>
      <c r="H389" s="5">
        <f t="shared" si="27"/>
        <v>1</v>
      </c>
      <c r="I389" s="5">
        <f t="shared" si="28"/>
        <v>1</v>
      </c>
    </row>
    <row r="390" spans="1:9">
      <c r="A390">
        <v>389</v>
      </c>
      <c r="B390">
        <v>7</v>
      </c>
      <c r="C390">
        <v>5000</v>
      </c>
      <c r="D390">
        <v>4642</v>
      </c>
      <c r="E390" s="5">
        <f t="shared" si="25"/>
        <v>358</v>
      </c>
      <c r="F390" s="5">
        <f t="shared" si="26"/>
        <v>128164</v>
      </c>
      <c r="G390" s="6">
        <f>SQRT(SUM($F$2:F390)/A390)</f>
        <v>1191.6656291604475</v>
      </c>
      <c r="H390" s="5">
        <f t="shared" si="27"/>
        <v>1</v>
      </c>
      <c r="I390" s="5">
        <f t="shared" si="28"/>
        <v>1</v>
      </c>
    </row>
    <row r="391" spans="1:9">
      <c r="A391">
        <v>390</v>
      </c>
      <c r="B391">
        <v>7</v>
      </c>
      <c r="C391">
        <v>5000</v>
      </c>
      <c r="D391">
        <v>5410</v>
      </c>
      <c r="E391" s="5">
        <f t="shared" si="25"/>
        <v>410</v>
      </c>
      <c r="F391" s="5">
        <f t="shared" si="26"/>
        <v>168100</v>
      </c>
      <c r="G391" s="6">
        <f>SQRT(SUM($F$2:F391)/A391)</f>
        <v>1190.3179407200414</v>
      </c>
      <c r="H391" s="5">
        <f t="shared" si="27"/>
        <v>1</v>
      </c>
      <c r="I391" s="5">
        <f t="shared" si="28"/>
        <v>1</v>
      </c>
    </row>
    <row r="392" spans="1:9">
      <c r="A392">
        <v>391</v>
      </c>
      <c r="B392">
        <v>6</v>
      </c>
      <c r="C392">
        <v>5000</v>
      </c>
      <c r="D392">
        <v>4587</v>
      </c>
      <c r="E392" s="5">
        <f t="shared" si="25"/>
        <v>413</v>
      </c>
      <c r="F392" s="5">
        <f t="shared" si="26"/>
        <v>170569</v>
      </c>
      <c r="G392" s="6">
        <f>SQRT(SUM($F$2:F392)/A392)</f>
        <v>1188.9782854078351</v>
      </c>
      <c r="H392" s="5">
        <f t="shared" si="27"/>
        <v>1</v>
      </c>
      <c r="I392" s="5">
        <f t="shared" si="28"/>
        <v>1</v>
      </c>
    </row>
    <row r="393" spans="1:9">
      <c r="A393">
        <v>392</v>
      </c>
      <c r="B393">
        <v>7</v>
      </c>
      <c r="C393">
        <v>5000</v>
      </c>
      <c r="D393">
        <v>5228</v>
      </c>
      <c r="E393" s="5">
        <f t="shared" si="25"/>
        <v>228</v>
      </c>
      <c r="F393" s="5">
        <f t="shared" si="26"/>
        <v>51984</v>
      </c>
      <c r="G393" s="6">
        <f>SQRT(SUM($F$2:F393)/A393)</f>
        <v>1187.5166003136158</v>
      </c>
      <c r="H393" s="5">
        <f t="shared" si="27"/>
        <v>1</v>
      </c>
      <c r="I393" s="5">
        <f t="shared" si="28"/>
        <v>1</v>
      </c>
    </row>
    <row r="394" spans="1:9">
      <c r="A394">
        <v>393</v>
      </c>
      <c r="B394">
        <v>6</v>
      </c>
      <c r="C394">
        <v>5000</v>
      </c>
      <c r="D394">
        <v>4824</v>
      </c>
      <c r="E394" s="5">
        <f t="shared" si="25"/>
        <v>176</v>
      </c>
      <c r="F394" s="5">
        <f t="shared" si="26"/>
        <v>30976</v>
      </c>
      <c r="G394" s="6">
        <f>SQRT(SUM($F$2:F394)/A394)</f>
        <v>1186.0380310917221</v>
      </c>
      <c r="H394" s="5">
        <f t="shared" si="27"/>
        <v>1</v>
      </c>
      <c r="I394" s="5">
        <f t="shared" si="28"/>
        <v>1</v>
      </c>
    </row>
    <row r="395" spans="1:9">
      <c r="A395">
        <v>394</v>
      </c>
      <c r="B395">
        <v>7</v>
      </c>
      <c r="C395">
        <v>5000</v>
      </c>
      <c r="D395">
        <v>4737</v>
      </c>
      <c r="E395" s="5">
        <f t="shared" si="25"/>
        <v>263</v>
      </c>
      <c r="F395" s="5">
        <f t="shared" si="26"/>
        <v>69169</v>
      </c>
      <c r="G395" s="6">
        <f>SQRT(SUM($F$2:F395)/A395)</f>
        <v>1184.6060515892736</v>
      </c>
      <c r="H395" s="5">
        <f t="shared" si="27"/>
        <v>1</v>
      </c>
      <c r="I395" s="5">
        <f t="shared" si="28"/>
        <v>1</v>
      </c>
    </row>
    <row r="396" spans="1:9">
      <c r="A396">
        <v>395</v>
      </c>
      <c r="B396">
        <v>7</v>
      </c>
      <c r="C396">
        <v>5000</v>
      </c>
      <c r="D396">
        <v>4802</v>
      </c>
      <c r="E396" s="5">
        <f t="shared" si="25"/>
        <v>198</v>
      </c>
      <c r="F396" s="5">
        <f t="shared" si="26"/>
        <v>39204</v>
      </c>
      <c r="G396" s="6">
        <f>SQRT(SUM($F$2:F396)/A396)</f>
        <v>1183.1475442194035</v>
      </c>
      <c r="H396" s="5">
        <f t="shared" si="27"/>
        <v>1</v>
      </c>
      <c r="I396" s="5">
        <f t="shared" si="28"/>
        <v>1</v>
      </c>
    </row>
    <row r="397" spans="1:9">
      <c r="A397">
        <v>396</v>
      </c>
      <c r="B397">
        <v>7</v>
      </c>
      <c r="C397">
        <v>5000</v>
      </c>
      <c r="D397">
        <v>4040</v>
      </c>
      <c r="E397" s="5">
        <f t="shared" si="25"/>
        <v>960</v>
      </c>
      <c r="F397" s="5">
        <f t="shared" si="26"/>
        <v>921600</v>
      </c>
      <c r="G397" s="6">
        <f>SQRT(SUM($F$2:F397)/A397)</f>
        <v>1182.6370700235721</v>
      </c>
      <c r="H397" s="5">
        <f t="shared" si="27"/>
        <v>1</v>
      </c>
      <c r="I397" s="5">
        <f t="shared" si="28"/>
        <v>0</v>
      </c>
    </row>
    <row r="398" spans="1:9">
      <c r="A398">
        <v>397</v>
      </c>
      <c r="B398">
        <v>8</v>
      </c>
      <c r="C398">
        <v>5000</v>
      </c>
      <c r="D398">
        <v>2229</v>
      </c>
      <c r="E398" s="5">
        <f t="shared" si="25"/>
        <v>2771</v>
      </c>
      <c r="F398" s="5">
        <f t="shared" si="26"/>
        <v>7678441</v>
      </c>
      <c r="G398" s="6">
        <f>SQRT(SUM($F$2:F398)/A398)</f>
        <v>1189.3059328932625</v>
      </c>
      <c r="H398" s="5">
        <f t="shared" si="27"/>
        <v>0</v>
      </c>
      <c r="I398" s="5">
        <f t="shared" si="28"/>
        <v>0</v>
      </c>
    </row>
    <row r="399" spans="1:9">
      <c r="A399">
        <v>398</v>
      </c>
      <c r="B399">
        <v>11</v>
      </c>
      <c r="C399">
        <v>5000</v>
      </c>
      <c r="D399">
        <v>6120</v>
      </c>
      <c r="E399" s="5">
        <f t="shared" si="25"/>
        <v>1120</v>
      </c>
      <c r="F399" s="5">
        <f t="shared" si="26"/>
        <v>1254400</v>
      </c>
      <c r="G399" s="6">
        <f>SQRT(SUM($F$2:F399)/A399)</f>
        <v>1189.1368591752787</v>
      </c>
      <c r="H399" s="5">
        <f t="shared" si="27"/>
        <v>0</v>
      </c>
      <c r="I399" s="5">
        <f t="shared" si="28"/>
        <v>0</v>
      </c>
    </row>
    <row r="400" spans="1:9">
      <c r="A400">
        <v>399</v>
      </c>
      <c r="B400">
        <v>6</v>
      </c>
      <c r="C400">
        <v>5000</v>
      </c>
      <c r="D400">
        <v>3174</v>
      </c>
      <c r="E400" s="5">
        <f t="shared" si="25"/>
        <v>1826</v>
      </c>
      <c r="F400" s="5">
        <f t="shared" si="26"/>
        <v>3334276</v>
      </c>
      <c r="G400" s="6">
        <f>SQRT(SUM($F$2:F400)/A400)</f>
        <v>1191.1587111665556</v>
      </c>
      <c r="H400" s="5">
        <f t="shared" si="27"/>
        <v>0</v>
      </c>
      <c r="I400" s="5">
        <f t="shared" si="28"/>
        <v>0</v>
      </c>
    </row>
    <row r="401" spans="1:9">
      <c r="A401">
        <v>400</v>
      </c>
      <c r="B401">
        <v>10</v>
      </c>
      <c r="C401">
        <v>5000</v>
      </c>
      <c r="D401">
        <v>6148</v>
      </c>
      <c r="E401" s="5">
        <f t="shared" si="25"/>
        <v>1148</v>
      </c>
      <c r="F401" s="5">
        <f t="shared" si="26"/>
        <v>1317904</v>
      </c>
      <c r="G401" s="6">
        <f>SQRT(SUM($F$2:F401)/A401)</f>
        <v>1191.0527643643668</v>
      </c>
      <c r="H401" s="5">
        <f t="shared" si="27"/>
        <v>0</v>
      </c>
      <c r="I401" s="5">
        <f t="shared" si="28"/>
        <v>0</v>
      </c>
    </row>
    <row r="402" spans="1:9">
      <c r="A402">
        <v>401</v>
      </c>
      <c r="B402">
        <v>1</v>
      </c>
      <c r="C402">
        <v>6000</v>
      </c>
      <c r="D402">
        <v>834</v>
      </c>
      <c r="E402" s="5">
        <f t="shared" si="25"/>
        <v>5166</v>
      </c>
      <c r="F402" s="5">
        <f t="shared" si="26"/>
        <v>26687556</v>
      </c>
      <c r="G402" s="6">
        <f>SQRT(SUM($F$2:F402)/A402)</f>
        <v>1217.2187657486936</v>
      </c>
      <c r="H402" s="5">
        <f t="shared" si="27"/>
        <v>0</v>
      </c>
      <c r="I402" s="5">
        <f t="shared" si="28"/>
        <v>0</v>
      </c>
    </row>
    <row r="403" spans="1:9">
      <c r="A403">
        <v>402</v>
      </c>
      <c r="B403">
        <v>7</v>
      </c>
      <c r="C403">
        <v>6000</v>
      </c>
      <c r="D403">
        <v>5058</v>
      </c>
      <c r="E403" s="5">
        <f t="shared" si="25"/>
        <v>942</v>
      </c>
      <c r="F403" s="5">
        <f t="shared" si="26"/>
        <v>887364</v>
      </c>
      <c r="G403" s="6">
        <f>SQRT(SUM($F$2:F403)/A403)</f>
        <v>1216.6113887122208</v>
      </c>
      <c r="H403" s="5">
        <f t="shared" si="27"/>
        <v>1</v>
      </c>
      <c r="I403" s="5">
        <f t="shared" si="28"/>
        <v>0</v>
      </c>
    </row>
    <row r="404" spans="1:9">
      <c r="A404">
        <v>403</v>
      </c>
      <c r="B404">
        <v>3</v>
      </c>
      <c r="C404">
        <v>6000</v>
      </c>
      <c r="D404">
        <v>2625</v>
      </c>
      <c r="E404" s="5">
        <f t="shared" si="25"/>
        <v>3375</v>
      </c>
      <c r="F404" s="5">
        <f t="shared" si="26"/>
        <v>11390625</v>
      </c>
      <c r="G404" s="6">
        <f>SQRT(SUM($F$2:F404)/A404)</f>
        <v>1226.676419118279</v>
      </c>
      <c r="H404" s="5">
        <f t="shared" si="27"/>
        <v>0</v>
      </c>
      <c r="I404" s="5">
        <f t="shared" si="28"/>
        <v>0</v>
      </c>
    </row>
    <row r="405" spans="1:9">
      <c r="A405">
        <v>404</v>
      </c>
      <c r="B405">
        <v>7</v>
      </c>
      <c r="C405">
        <v>6000</v>
      </c>
      <c r="D405">
        <v>5336</v>
      </c>
      <c r="E405" s="5">
        <f t="shared" si="25"/>
        <v>664</v>
      </c>
      <c r="F405" s="5">
        <f t="shared" si="26"/>
        <v>440896</v>
      </c>
      <c r="G405" s="6">
        <f>SQRT(SUM($F$2:F405)/A405)</f>
        <v>1225.6026159719258</v>
      </c>
      <c r="H405" s="5">
        <f t="shared" si="27"/>
        <v>1</v>
      </c>
      <c r="I405" s="5">
        <f t="shared" si="28"/>
        <v>0</v>
      </c>
    </row>
    <row r="406" spans="1:9">
      <c r="A406">
        <v>405</v>
      </c>
      <c r="B406">
        <v>4</v>
      </c>
      <c r="C406">
        <v>6000</v>
      </c>
      <c r="D406">
        <v>3166</v>
      </c>
      <c r="E406" s="5">
        <f t="shared" si="25"/>
        <v>2834</v>
      </c>
      <c r="F406" s="5">
        <f t="shared" si="26"/>
        <v>8031556</v>
      </c>
      <c r="G406" s="6">
        <f>SQRT(SUM($F$2:F406)/A406)</f>
        <v>1232.1622788746138</v>
      </c>
      <c r="H406" s="5">
        <f t="shared" si="27"/>
        <v>0</v>
      </c>
      <c r="I406" s="5">
        <f t="shared" si="28"/>
        <v>0</v>
      </c>
    </row>
    <row r="407" spans="1:9">
      <c r="A407">
        <v>406</v>
      </c>
      <c r="B407">
        <v>7</v>
      </c>
      <c r="C407">
        <v>6000</v>
      </c>
      <c r="D407">
        <v>4898</v>
      </c>
      <c r="E407" s="5">
        <f t="shared" si="25"/>
        <v>1102</v>
      </c>
      <c r="F407" s="5">
        <f t="shared" si="26"/>
        <v>1214404</v>
      </c>
      <c r="G407" s="6">
        <f>SQRT(SUM($F$2:F407)/A407)</f>
        <v>1231.858578185924</v>
      </c>
      <c r="H407" s="5">
        <f t="shared" si="27"/>
        <v>1</v>
      </c>
      <c r="I407" s="5">
        <f t="shared" si="28"/>
        <v>0</v>
      </c>
    </row>
    <row r="408" spans="1:9">
      <c r="A408">
        <v>407</v>
      </c>
      <c r="B408">
        <v>5</v>
      </c>
      <c r="C408">
        <v>6000</v>
      </c>
      <c r="D408">
        <v>3724</v>
      </c>
      <c r="E408" s="5">
        <f t="shared" si="25"/>
        <v>2276</v>
      </c>
      <c r="F408" s="5">
        <f t="shared" si="26"/>
        <v>5180176</v>
      </c>
      <c r="G408" s="6">
        <f>SQRT(SUM($F$2:F408)/A408)</f>
        <v>1235.505896642675</v>
      </c>
      <c r="H408" s="5">
        <f t="shared" si="27"/>
        <v>0</v>
      </c>
      <c r="I408" s="5">
        <f t="shared" si="28"/>
        <v>0</v>
      </c>
    </row>
    <row r="409" spans="1:9">
      <c r="A409">
        <v>408</v>
      </c>
      <c r="B409">
        <v>7</v>
      </c>
      <c r="C409">
        <v>6000</v>
      </c>
      <c r="D409">
        <v>4368</v>
      </c>
      <c r="E409" s="5">
        <f t="shared" si="25"/>
        <v>1632</v>
      </c>
      <c r="F409" s="5">
        <f t="shared" si="26"/>
        <v>2663424</v>
      </c>
      <c r="G409" s="6">
        <f>SQRT(SUM($F$2:F409)/A409)</f>
        <v>1236.6331148664563</v>
      </c>
      <c r="H409" s="5">
        <f t="shared" si="27"/>
        <v>0</v>
      </c>
      <c r="I409" s="5">
        <f t="shared" si="28"/>
        <v>0</v>
      </c>
    </row>
    <row r="410" spans="1:9">
      <c r="A410">
        <v>409</v>
      </c>
      <c r="B410">
        <v>7</v>
      </c>
      <c r="C410">
        <v>6000</v>
      </c>
      <c r="D410">
        <v>4244</v>
      </c>
      <c r="E410" s="5">
        <f t="shared" si="25"/>
        <v>1756</v>
      </c>
      <c r="F410" s="5">
        <f t="shared" si="26"/>
        <v>3083536</v>
      </c>
      <c r="G410" s="6">
        <f>SQRT(SUM($F$2:F410)/A410)</f>
        <v>1238.1686650177289</v>
      </c>
      <c r="H410" s="5">
        <f t="shared" si="27"/>
        <v>0</v>
      </c>
      <c r="I410" s="5">
        <f t="shared" si="28"/>
        <v>0</v>
      </c>
    </row>
    <row r="411" spans="1:9">
      <c r="A411">
        <v>410</v>
      </c>
      <c r="B411">
        <v>8</v>
      </c>
      <c r="C411">
        <v>6000</v>
      </c>
      <c r="D411">
        <v>5610</v>
      </c>
      <c r="E411" s="5">
        <f t="shared" si="25"/>
        <v>390</v>
      </c>
      <c r="F411" s="5">
        <f t="shared" si="26"/>
        <v>152100</v>
      </c>
      <c r="G411" s="6">
        <f>SQRT(SUM($F$2:F411)/A411)</f>
        <v>1236.8077635196341</v>
      </c>
      <c r="H411" s="5">
        <f t="shared" si="27"/>
        <v>1</v>
      </c>
      <c r="I411" s="5">
        <f t="shared" si="28"/>
        <v>1</v>
      </c>
    </row>
    <row r="412" spans="1:9">
      <c r="A412">
        <v>411</v>
      </c>
      <c r="B412">
        <v>7</v>
      </c>
      <c r="C412">
        <v>6000</v>
      </c>
      <c r="D412">
        <v>4598</v>
      </c>
      <c r="E412" s="5">
        <f t="shared" si="25"/>
        <v>1402</v>
      </c>
      <c r="F412" s="5">
        <f t="shared" si="26"/>
        <v>1965604</v>
      </c>
      <c r="G412" s="6">
        <f>SQRT(SUM($F$2:F412)/A412)</f>
        <v>1237.2364582115986</v>
      </c>
      <c r="H412" s="5">
        <f t="shared" si="27"/>
        <v>0</v>
      </c>
      <c r="I412" s="5">
        <f t="shared" si="28"/>
        <v>0</v>
      </c>
    </row>
    <row r="413" spans="1:9">
      <c r="A413">
        <v>412</v>
      </c>
      <c r="B413">
        <v>8</v>
      </c>
      <c r="C413">
        <v>6000</v>
      </c>
      <c r="D413">
        <v>5910</v>
      </c>
      <c r="E413" s="5">
        <f t="shared" si="25"/>
        <v>90</v>
      </c>
      <c r="F413" s="5">
        <f t="shared" si="26"/>
        <v>8100</v>
      </c>
      <c r="G413" s="6">
        <f>SQRT(SUM($F$2:F413)/A413)</f>
        <v>1235.7420002824763</v>
      </c>
      <c r="H413" s="5">
        <f t="shared" si="27"/>
        <v>1</v>
      </c>
      <c r="I413" s="5">
        <f t="shared" si="28"/>
        <v>1</v>
      </c>
    </row>
    <row r="414" spans="1:9">
      <c r="A414">
        <v>413</v>
      </c>
      <c r="B414">
        <v>7</v>
      </c>
      <c r="C414">
        <v>6000</v>
      </c>
      <c r="D414">
        <v>4830</v>
      </c>
      <c r="E414" s="5">
        <f t="shared" si="25"/>
        <v>1170</v>
      </c>
      <c r="F414" s="5">
        <f t="shared" si="26"/>
        <v>1368900</v>
      </c>
      <c r="G414" s="6">
        <f>SQRT(SUM($F$2:F414)/A414)</f>
        <v>1235.5870432326321</v>
      </c>
      <c r="H414" s="5">
        <f t="shared" si="27"/>
        <v>1</v>
      </c>
      <c r="I414" s="5">
        <f t="shared" si="28"/>
        <v>0</v>
      </c>
    </row>
    <row r="415" spans="1:9">
      <c r="A415">
        <v>414</v>
      </c>
      <c r="B415">
        <v>8</v>
      </c>
      <c r="C415">
        <v>6000</v>
      </c>
      <c r="D415">
        <v>5957</v>
      </c>
      <c r="E415" s="5">
        <f t="shared" si="25"/>
        <v>43</v>
      </c>
      <c r="F415" s="5">
        <f t="shared" si="26"/>
        <v>1849</v>
      </c>
      <c r="G415" s="6">
        <f>SQRT(SUM($F$2:F415)/A415)</f>
        <v>1234.0956956372299</v>
      </c>
      <c r="H415" s="5">
        <f t="shared" si="27"/>
        <v>1</v>
      </c>
      <c r="I415" s="5">
        <f t="shared" si="28"/>
        <v>1</v>
      </c>
    </row>
    <row r="416" spans="1:9">
      <c r="A416">
        <v>415</v>
      </c>
      <c r="B416">
        <v>7</v>
      </c>
      <c r="C416">
        <v>6000</v>
      </c>
      <c r="D416">
        <v>5536</v>
      </c>
      <c r="E416" s="5">
        <f t="shared" si="25"/>
        <v>464</v>
      </c>
      <c r="F416" s="5">
        <f t="shared" si="26"/>
        <v>215296</v>
      </c>
      <c r="G416" s="6">
        <f>SQRT(SUM($F$2:F416)/A416)</f>
        <v>1232.8183608477664</v>
      </c>
      <c r="H416" s="5">
        <f t="shared" si="27"/>
        <v>1</v>
      </c>
      <c r="I416" s="5">
        <f t="shared" si="28"/>
        <v>1</v>
      </c>
    </row>
    <row r="417" spans="1:9">
      <c r="A417">
        <v>416</v>
      </c>
      <c r="B417">
        <v>8</v>
      </c>
      <c r="C417">
        <v>6000</v>
      </c>
      <c r="D417">
        <v>6152</v>
      </c>
      <c r="E417" s="5">
        <f t="shared" si="25"/>
        <v>152</v>
      </c>
      <c r="F417" s="5">
        <f t="shared" si="26"/>
        <v>23104</v>
      </c>
      <c r="G417" s="6">
        <f>SQRT(SUM($F$2:F417)/A417)</f>
        <v>1231.3582683752743</v>
      </c>
      <c r="H417" s="5">
        <f t="shared" si="27"/>
        <v>1</v>
      </c>
      <c r="I417" s="5">
        <f t="shared" si="28"/>
        <v>1</v>
      </c>
    </row>
    <row r="418" spans="1:9">
      <c r="A418">
        <v>417</v>
      </c>
      <c r="B418">
        <v>7</v>
      </c>
      <c r="C418">
        <v>6000</v>
      </c>
      <c r="D418">
        <v>5067</v>
      </c>
      <c r="E418" s="5">
        <f t="shared" si="25"/>
        <v>933</v>
      </c>
      <c r="F418" s="5">
        <f t="shared" si="26"/>
        <v>870489</v>
      </c>
      <c r="G418" s="6">
        <f>SQRT(SUM($F$2:F418)/A418)</f>
        <v>1230.7293016373962</v>
      </c>
      <c r="H418" s="5">
        <f t="shared" si="27"/>
        <v>1</v>
      </c>
      <c r="I418" s="5">
        <f t="shared" si="28"/>
        <v>0</v>
      </c>
    </row>
    <row r="419" spans="1:9">
      <c r="A419">
        <v>418</v>
      </c>
      <c r="B419">
        <v>8</v>
      </c>
      <c r="C419">
        <v>6000</v>
      </c>
      <c r="D419">
        <v>5849</v>
      </c>
      <c r="E419" s="5">
        <f t="shared" si="25"/>
        <v>151</v>
      </c>
      <c r="F419" s="5">
        <f t="shared" si="26"/>
        <v>22801</v>
      </c>
      <c r="G419" s="6">
        <f>SQRT(SUM($F$2:F419)/A419)</f>
        <v>1229.2784430024883</v>
      </c>
      <c r="H419" s="5">
        <f t="shared" si="27"/>
        <v>1</v>
      </c>
      <c r="I419" s="5">
        <f t="shared" si="28"/>
        <v>1</v>
      </c>
    </row>
    <row r="420" spans="1:9">
      <c r="A420">
        <v>419</v>
      </c>
      <c r="B420">
        <v>8</v>
      </c>
      <c r="C420">
        <v>6000</v>
      </c>
      <c r="D420">
        <v>4810</v>
      </c>
      <c r="E420" s="5">
        <f t="shared" si="25"/>
        <v>1190</v>
      </c>
      <c r="F420" s="5">
        <f t="shared" si="26"/>
        <v>1416100</v>
      </c>
      <c r="G420" s="6">
        <f>SQRT(SUM($F$2:F420)/A420)</f>
        <v>1229.1861939039218</v>
      </c>
      <c r="H420" s="5">
        <f t="shared" si="27"/>
        <v>1</v>
      </c>
      <c r="I420" s="5">
        <f t="shared" si="28"/>
        <v>0</v>
      </c>
    </row>
    <row r="421" spans="1:9">
      <c r="A421">
        <v>420</v>
      </c>
      <c r="B421">
        <v>9</v>
      </c>
      <c r="C421">
        <v>6000</v>
      </c>
      <c r="D421">
        <v>5415</v>
      </c>
      <c r="E421" s="5">
        <f t="shared" si="25"/>
        <v>585</v>
      </c>
      <c r="F421" s="5">
        <f t="shared" si="26"/>
        <v>342225</v>
      </c>
      <c r="G421" s="6">
        <f>SQRT(SUM($F$2:F421)/A421)</f>
        <v>1228.0538029162822</v>
      </c>
      <c r="H421" s="5">
        <f t="shared" si="27"/>
        <v>1</v>
      </c>
      <c r="I421" s="5">
        <f t="shared" si="28"/>
        <v>1</v>
      </c>
    </row>
    <row r="422" spans="1:9">
      <c r="A422">
        <v>421</v>
      </c>
      <c r="B422">
        <v>9</v>
      </c>
      <c r="C422">
        <v>6000</v>
      </c>
      <c r="D422">
        <v>5969</v>
      </c>
      <c r="E422" s="5">
        <f t="shared" si="25"/>
        <v>31</v>
      </c>
      <c r="F422" s="5">
        <f t="shared" si="26"/>
        <v>961</v>
      </c>
      <c r="G422" s="6">
        <f>SQRT(SUM($F$2:F422)/A422)</f>
        <v>1226.5953700794071</v>
      </c>
      <c r="H422" s="5">
        <f t="shared" si="27"/>
        <v>1</v>
      </c>
      <c r="I422" s="5">
        <f t="shared" si="28"/>
        <v>1</v>
      </c>
    </row>
    <row r="423" spans="1:9">
      <c r="A423">
        <v>422</v>
      </c>
      <c r="B423">
        <v>8</v>
      </c>
      <c r="C423">
        <v>6000</v>
      </c>
      <c r="D423">
        <v>4834</v>
      </c>
      <c r="E423" s="5">
        <f t="shared" si="25"/>
        <v>1166</v>
      </c>
      <c r="F423" s="5">
        <f t="shared" si="26"/>
        <v>1359556</v>
      </c>
      <c r="G423" s="6">
        <f>SQRT(SUM($F$2:F423)/A423)</f>
        <v>1226.4553179465736</v>
      </c>
      <c r="H423" s="5">
        <f t="shared" si="27"/>
        <v>1</v>
      </c>
      <c r="I423" s="5">
        <f t="shared" si="28"/>
        <v>0</v>
      </c>
    </row>
    <row r="424" spans="1:9">
      <c r="A424">
        <v>423</v>
      </c>
      <c r="B424">
        <v>10</v>
      </c>
      <c r="C424">
        <v>6000</v>
      </c>
      <c r="D424">
        <v>6976</v>
      </c>
      <c r="E424" s="5">
        <f t="shared" si="25"/>
        <v>976</v>
      </c>
      <c r="F424" s="5">
        <f t="shared" si="26"/>
        <v>952576</v>
      </c>
      <c r="G424" s="6">
        <f>SQRT(SUM($F$2:F424)/A424)</f>
        <v>1225.9235655833043</v>
      </c>
      <c r="H424" s="5">
        <f t="shared" si="27"/>
        <v>1</v>
      </c>
      <c r="I424" s="5">
        <f t="shared" si="28"/>
        <v>0</v>
      </c>
    </row>
    <row r="425" spans="1:9">
      <c r="A425">
        <v>424</v>
      </c>
      <c r="B425">
        <v>7</v>
      </c>
      <c r="C425">
        <v>6000</v>
      </c>
      <c r="D425">
        <v>4710</v>
      </c>
      <c r="E425" s="5">
        <f t="shared" si="25"/>
        <v>1290</v>
      </c>
      <c r="F425" s="5">
        <f t="shared" si="26"/>
        <v>1664100</v>
      </c>
      <c r="G425" s="6">
        <f>SQRT(SUM($F$2:F425)/A425)</f>
        <v>1226.0786288999916</v>
      </c>
      <c r="H425" s="5">
        <f t="shared" si="27"/>
        <v>0</v>
      </c>
      <c r="I425" s="5">
        <f t="shared" si="28"/>
        <v>0</v>
      </c>
    </row>
    <row r="426" spans="1:9">
      <c r="A426">
        <v>425</v>
      </c>
      <c r="B426">
        <v>10</v>
      </c>
      <c r="C426">
        <v>6000</v>
      </c>
      <c r="D426">
        <v>6655</v>
      </c>
      <c r="E426" s="5">
        <f t="shared" si="25"/>
        <v>655</v>
      </c>
      <c r="F426" s="5">
        <f t="shared" si="26"/>
        <v>429025</v>
      </c>
      <c r="G426" s="6">
        <f>SQRT(SUM($F$2:F426)/A426)</f>
        <v>1225.0474161291495</v>
      </c>
      <c r="H426" s="5">
        <f t="shared" si="27"/>
        <v>1</v>
      </c>
      <c r="I426" s="5">
        <f t="shared" si="28"/>
        <v>0</v>
      </c>
    </row>
    <row r="427" spans="1:9">
      <c r="A427">
        <v>426</v>
      </c>
      <c r="B427">
        <v>8</v>
      </c>
      <c r="C427">
        <v>6000</v>
      </c>
      <c r="D427">
        <v>5661</v>
      </c>
      <c r="E427" s="5">
        <f t="shared" si="25"/>
        <v>339</v>
      </c>
      <c r="F427" s="5">
        <f t="shared" si="26"/>
        <v>114921</v>
      </c>
      <c r="G427" s="6">
        <f>SQRT(SUM($F$2:F427)/A427)</f>
        <v>1223.7189517082559</v>
      </c>
      <c r="H427" s="5">
        <f t="shared" si="27"/>
        <v>1</v>
      </c>
      <c r="I427" s="5">
        <f t="shared" si="28"/>
        <v>1</v>
      </c>
    </row>
    <row r="428" spans="1:9">
      <c r="A428">
        <v>427</v>
      </c>
      <c r="B428">
        <v>9</v>
      </c>
      <c r="C428">
        <v>6000</v>
      </c>
      <c r="D428">
        <v>5692</v>
      </c>
      <c r="E428" s="5">
        <f t="shared" si="25"/>
        <v>308</v>
      </c>
      <c r="F428" s="5">
        <f t="shared" si="26"/>
        <v>94864</v>
      </c>
      <c r="G428" s="6">
        <f>SQRT(SUM($F$2:F428)/A428)</f>
        <v>1222.3760627875033</v>
      </c>
      <c r="H428" s="5">
        <f t="shared" si="27"/>
        <v>1</v>
      </c>
      <c r="I428" s="5">
        <f t="shared" si="28"/>
        <v>1</v>
      </c>
    </row>
    <row r="429" spans="1:9">
      <c r="A429">
        <v>428</v>
      </c>
      <c r="B429">
        <v>9</v>
      </c>
      <c r="C429">
        <v>6000</v>
      </c>
      <c r="D429">
        <v>6704</v>
      </c>
      <c r="E429" s="5">
        <f t="shared" si="25"/>
        <v>704</v>
      </c>
      <c r="F429" s="5">
        <f t="shared" si="26"/>
        <v>495616</v>
      </c>
      <c r="G429" s="6">
        <f>SQRT(SUM($F$2:F429)/A429)</f>
        <v>1221.4213405379387</v>
      </c>
      <c r="H429" s="5">
        <f t="shared" si="27"/>
        <v>1</v>
      </c>
      <c r="I429" s="5">
        <f t="shared" si="28"/>
        <v>0</v>
      </c>
    </row>
    <row r="430" spans="1:9">
      <c r="A430">
        <v>429</v>
      </c>
      <c r="B430">
        <v>7</v>
      </c>
      <c r="C430">
        <v>6000</v>
      </c>
      <c r="D430">
        <v>5320</v>
      </c>
      <c r="E430" s="5">
        <f t="shared" si="25"/>
        <v>680</v>
      </c>
      <c r="F430" s="5">
        <f t="shared" si="26"/>
        <v>462400</v>
      </c>
      <c r="G430" s="6">
        <f>SQRT(SUM($F$2:F430)/A430)</f>
        <v>1220.438607198</v>
      </c>
      <c r="H430" s="5">
        <f t="shared" si="27"/>
        <v>1</v>
      </c>
      <c r="I430" s="5">
        <f t="shared" si="28"/>
        <v>0</v>
      </c>
    </row>
    <row r="431" spans="1:9">
      <c r="A431">
        <v>430</v>
      </c>
      <c r="B431">
        <v>9</v>
      </c>
      <c r="C431">
        <v>6000</v>
      </c>
      <c r="D431">
        <v>6300</v>
      </c>
      <c r="E431" s="5">
        <f t="shared" si="25"/>
        <v>300</v>
      </c>
      <c r="F431" s="5">
        <f t="shared" si="26"/>
        <v>90000</v>
      </c>
      <c r="G431" s="6">
        <f>SQRT(SUM($F$2:F431)/A431)</f>
        <v>1219.1045121842126</v>
      </c>
      <c r="H431" s="5">
        <f t="shared" si="27"/>
        <v>1</v>
      </c>
      <c r="I431" s="5">
        <f t="shared" si="28"/>
        <v>1</v>
      </c>
    </row>
    <row r="432" spans="1:9">
      <c r="A432">
        <v>431</v>
      </c>
      <c r="B432">
        <v>8</v>
      </c>
      <c r="C432">
        <v>6000</v>
      </c>
      <c r="D432">
        <v>5528</v>
      </c>
      <c r="E432" s="5">
        <f t="shared" si="25"/>
        <v>472</v>
      </c>
      <c r="F432" s="5">
        <f t="shared" si="26"/>
        <v>222784</v>
      </c>
      <c r="G432" s="6">
        <f>SQRT(SUM($F$2:F432)/A432)</f>
        <v>1217.9016443511459</v>
      </c>
      <c r="H432" s="5">
        <f t="shared" si="27"/>
        <v>1</v>
      </c>
      <c r="I432" s="5">
        <f t="shared" si="28"/>
        <v>1</v>
      </c>
    </row>
    <row r="433" spans="1:9">
      <c r="A433">
        <v>432</v>
      </c>
      <c r="B433">
        <v>9</v>
      </c>
      <c r="C433">
        <v>6000</v>
      </c>
      <c r="D433">
        <v>6298</v>
      </c>
      <c r="E433" s="5">
        <f t="shared" si="25"/>
        <v>298</v>
      </c>
      <c r="F433" s="5">
        <f t="shared" si="26"/>
        <v>88804</v>
      </c>
      <c r="G433" s="6">
        <f>SQRT(SUM($F$2:F433)/A433)</f>
        <v>1216.5757072163199</v>
      </c>
      <c r="H433" s="5">
        <f t="shared" si="27"/>
        <v>1</v>
      </c>
      <c r="I433" s="5">
        <f t="shared" si="28"/>
        <v>1</v>
      </c>
    </row>
    <row r="434" spans="1:9">
      <c r="A434">
        <v>433</v>
      </c>
      <c r="B434">
        <v>8</v>
      </c>
      <c r="C434">
        <v>6000</v>
      </c>
      <c r="D434">
        <v>5418</v>
      </c>
      <c r="E434" s="5">
        <f t="shared" si="25"/>
        <v>582</v>
      </c>
      <c r="F434" s="5">
        <f t="shared" si="26"/>
        <v>338724</v>
      </c>
      <c r="G434" s="6">
        <f>SQRT(SUM($F$2:F434)/A434)</f>
        <v>1215.4919085196225</v>
      </c>
      <c r="H434" s="5">
        <f t="shared" si="27"/>
        <v>1</v>
      </c>
      <c r="I434" s="5">
        <f t="shared" si="28"/>
        <v>1</v>
      </c>
    </row>
    <row r="435" spans="1:9">
      <c r="A435">
        <v>434</v>
      </c>
      <c r="B435">
        <v>9</v>
      </c>
      <c r="C435">
        <v>6000</v>
      </c>
      <c r="D435">
        <v>6286</v>
      </c>
      <c r="E435" s="5">
        <f t="shared" si="25"/>
        <v>286</v>
      </c>
      <c r="F435" s="5">
        <f t="shared" si="26"/>
        <v>81796</v>
      </c>
      <c r="G435" s="6">
        <f>SQRT(SUM($F$2:F435)/A435)</f>
        <v>1214.1683799369466</v>
      </c>
      <c r="H435" s="5">
        <f t="shared" si="27"/>
        <v>1</v>
      </c>
      <c r="I435" s="5">
        <f t="shared" si="28"/>
        <v>1</v>
      </c>
    </row>
    <row r="436" spans="1:9">
      <c r="A436">
        <v>435</v>
      </c>
      <c r="B436">
        <v>8</v>
      </c>
      <c r="C436">
        <v>6000</v>
      </c>
      <c r="D436">
        <v>5415</v>
      </c>
      <c r="E436" s="5">
        <f t="shared" si="25"/>
        <v>585</v>
      </c>
      <c r="F436" s="5">
        <f t="shared" si="26"/>
        <v>342225</v>
      </c>
      <c r="G436" s="6">
        <f>SQRT(SUM($F$2:F436)/A436)</f>
        <v>1213.0962873155827</v>
      </c>
      <c r="H436" s="5">
        <f t="shared" si="27"/>
        <v>1</v>
      </c>
      <c r="I436" s="5">
        <f t="shared" si="28"/>
        <v>1</v>
      </c>
    </row>
    <row r="437" spans="1:9">
      <c r="A437">
        <v>436</v>
      </c>
      <c r="B437">
        <v>9</v>
      </c>
      <c r="C437">
        <v>6000</v>
      </c>
      <c r="D437">
        <v>6265</v>
      </c>
      <c r="E437" s="5">
        <f t="shared" si="25"/>
        <v>265</v>
      </c>
      <c r="F437" s="5">
        <f t="shared" si="26"/>
        <v>70225</v>
      </c>
      <c r="G437" s="6">
        <f>SQRT(SUM($F$2:F437)/A437)</f>
        <v>1211.7707842187972</v>
      </c>
      <c r="H437" s="5">
        <f t="shared" si="27"/>
        <v>1</v>
      </c>
      <c r="I437" s="5">
        <f t="shared" si="28"/>
        <v>1</v>
      </c>
    </row>
    <row r="438" spans="1:9">
      <c r="A438">
        <v>437</v>
      </c>
      <c r="B438">
        <v>8</v>
      </c>
      <c r="C438">
        <v>6000</v>
      </c>
      <c r="D438">
        <v>5004</v>
      </c>
      <c r="E438" s="5">
        <f t="shared" si="25"/>
        <v>996</v>
      </c>
      <c r="F438" s="5">
        <f t="shared" si="26"/>
        <v>992016</v>
      </c>
      <c r="G438" s="6">
        <f>SQRT(SUM($F$2:F438)/A438)</f>
        <v>1211.3209056168557</v>
      </c>
      <c r="H438" s="5">
        <f t="shared" si="27"/>
        <v>1</v>
      </c>
      <c r="I438" s="5">
        <f t="shared" si="28"/>
        <v>0</v>
      </c>
    </row>
    <row r="439" spans="1:9">
      <c r="A439">
        <v>438</v>
      </c>
      <c r="B439">
        <v>10</v>
      </c>
      <c r="C439">
        <v>6000</v>
      </c>
      <c r="D439">
        <v>6313</v>
      </c>
      <c r="E439" s="5">
        <f t="shared" si="25"/>
        <v>313</v>
      </c>
      <c r="F439" s="5">
        <f t="shared" si="26"/>
        <v>97969</v>
      </c>
      <c r="G439" s="6">
        <f>SQRT(SUM($F$2:F439)/A439)</f>
        <v>1210.0297573607972</v>
      </c>
      <c r="H439" s="5">
        <f t="shared" si="27"/>
        <v>1</v>
      </c>
      <c r="I439" s="5">
        <f t="shared" si="28"/>
        <v>1</v>
      </c>
    </row>
    <row r="440" spans="1:9">
      <c r="A440">
        <v>439</v>
      </c>
      <c r="B440">
        <v>8</v>
      </c>
      <c r="C440">
        <v>6000</v>
      </c>
      <c r="D440">
        <v>4718</v>
      </c>
      <c r="E440" s="5">
        <f t="shared" si="25"/>
        <v>1282</v>
      </c>
      <c r="F440" s="5">
        <f t="shared" si="26"/>
        <v>1643524</v>
      </c>
      <c r="G440" s="6">
        <f>SQRT(SUM($F$2:F440)/A440)</f>
        <v>1210.198562370847</v>
      </c>
      <c r="H440" s="5">
        <f t="shared" si="27"/>
        <v>0</v>
      </c>
      <c r="I440" s="5">
        <f t="shared" si="28"/>
        <v>0</v>
      </c>
    </row>
    <row r="441" spans="1:9">
      <c r="A441">
        <v>440</v>
      </c>
      <c r="B441">
        <v>11</v>
      </c>
      <c r="C441">
        <v>6000</v>
      </c>
      <c r="D441">
        <v>7018</v>
      </c>
      <c r="E441" s="5">
        <f t="shared" si="25"/>
        <v>1018</v>
      </c>
      <c r="F441" s="5">
        <f t="shared" si="26"/>
        <v>1036324</v>
      </c>
      <c r="G441" s="6">
        <f>SQRT(SUM($F$2:F441)/A441)</f>
        <v>1209.7963671626726</v>
      </c>
      <c r="H441" s="5">
        <f t="shared" si="27"/>
        <v>1</v>
      </c>
      <c r="I441" s="5">
        <f t="shared" si="28"/>
        <v>0</v>
      </c>
    </row>
    <row r="442" spans="1:9">
      <c r="A442">
        <v>441</v>
      </c>
      <c r="B442">
        <v>8</v>
      </c>
      <c r="C442">
        <v>6000</v>
      </c>
      <c r="D442">
        <v>5378</v>
      </c>
      <c r="E442" s="5">
        <f t="shared" si="25"/>
        <v>622</v>
      </c>
      <c r="F442" s="5">
        <f t="shared" si="26"/>
        <v>386884</v>
      </c>
      <c r="G442" s="6">
        <f>SQRT(SUM($F$2:F442)/A442)</f>
        <v>1208.78687148739</v>
      </c>
      <c r="H442" s="5">
        <f t="shared" si="27"/>
        <v>1</v>
      </c>
      <c r="I442" s="5">
        <f t="shared" si="28"/>
        <v>0</v>
      </c>
    </row>
    <row r="443" spans="1:9">
      <c r="A443">
        <v>442</v>
      </c>
      <c r="B443">
        <v>10</v>
      </c>
      <c r="C443">
        <v>6000</v>
      </c>
      <c r="D443">
        <v>6597</v>
      </c>
      <c r="E443" s="5">
        <f t="shared" si="25"/>
        <v>597</v>
      </c>
      <c r="F443" s="5">
        <f t="shared" si="26"/>
        <v>356409</v>
      </c>
      <c r="G443" s="6">
        <f>SQRT(SUM($F$2:F443)/A443)</f>
        <v>1207.7525620470535</v>
      </c>
      <c r="H443" s="5">
        <f t="shared" si="27"/>
        <v>1</v>
      </c>
      <c r="I443" s="5">
        <f t="shared" si="28"/>
        <v>1</v>
      </c>
    </row>
    <row r="444" spans="1:9">
      <c r="A444">
        <v>443</v>
      </c>
      <c r="B444">
        <v>8</v>
      </c>
      <c r="C444">
        <v>6000</v>
      </c>
      <c r="D444">
        <v>4820</v>
      </c>
      <c r="E444" s="5">
        <f t="shared" si="25"/>
        <v>1180</v>
      </c>
      <c r="F444" s="5">
        <f t="shared" si="26"/>
        <v>1392400</v>
      </c>
      <c r="G444" s="6">
        <f>SQRT(SUM($F$2:F444)/A444)</f>
        <v>1207.6906333636198</v>
      </c>
      <c r="H444" s="5">
        <f t="shared" si="27"/>
        <v>1</v>
      </c>
      <c r="I444" s="5">
        <f t="shared" si="28"/>
        <v>0</v>
      </c>
    </row>
    <row r="445" spans="1:9">
      <c r="A445">
        <v>444</v>
      </c>
      <c r="B445">
        <v>10</v>
      </c>
      <c r="C445">
        <v>6000</v>
      </c>
      <c r="D445">
        <v>5495</v>
      </c>
      <c r="E445" s="5">
        <f t="shared" si="25"/>
        <v>505</v>
      </c>
      <c r="F445" s="5">
        <f t="shared" si="26"/>
        <v>255025</v>
      </c>
      <c r="G445" s="6">
        <f>SQRT(SUM($F$2:F445)/A445)</f>
        <v>1206.5679007412302</v>
      </c>
      <c r="H445" s="5">
        <f t="shared" si="27"/>
        <v>1</v>
      </c>
      <c r="I445" s="5">
        <f t="shared" si="28"/>
        <v>1</v>
      </c>
    </row>
    <row r="446" spans="1:9">
      <c r="A446">
        <v>445</v>
      </c>
      <c r="B446">
        <v>10</v>
      </c>
      <c r="C446">
        <v>6000</v>
      </c>
      <c r="D446">
        <v>1986</v>
      </c>
      <c r="E446" s="5">
        <f t="shared" si="25"/>
        <v>4014</v>
      </c>
      <c r="F446" s="5">
        <f t="shared" si="26"/>
        <v>16112196</v>
      </c>
      <c r="G446" s="6">
        <f>SQRT(SUM($F$2:F446)/A446)</f>
        <v>1220.1400766885633</v>
      </c>
      <c r="H446" s="5">
        <f t="shared" si="27"/>
        <v>0</v>
      </c>
      <c r="I446" s="5">
        <f t="shared" si="28"/>
        <v>0</v>
      </c>
    </row>
    <row r="447" spans="1:9">
      <c r="A447">
        <v>446</v>
      </c>
      <c r="B447">
        <v>15</v>
      </c>
      <c r="C447">
        <v>6000</v>
      </c>
      <c r="D447">
        <v>5632</v>
      </c>
      <c r="E447" s="5">
        <f t="shared" si="25"/>
        <v>368</v>
      </c>
      <c r="F447" s="5">
        <f t="shared" si="26"/>
        <v>135424</v>
      </c>
      <c r="G447" s="6">
        <f>SQRT(SUM($F$2:F447)/A447)</f>
        <v>1218.8960012582731</v>
      </c>
      <c r="H447" s="5">
        <f t="shared" si="27"/>
        <v>1</v>
      </c>
      <c r="I447" s="5">
        <f t="shared" si="28"/>
        <v>1</v>
      </c>
    </row>
    <row r="448" spans="1:9">
      <c r="A448">
        <v>447</v>
      </c>
      <c r="B448">
        <v>11</v>
      </c>
      <c r="C448">
        <v>6000</v>
      </c>
      <c r="D448">
        <v>6804</v>
      </c>
      <c r="E448" s="5">
        <f t="shared" si="25"/>
        <v>804</v>
      </c>
      <c r="F448" s="5">
        <f t="shared" si="26"/>
        <v>646416</v>
      </c>
      <c r="G448" s="6">
        <f>SQRT(SUM($F$2:F448)/A448)</f>
        <v>1218.1255486808382</v>
      </c>
      <c r="H448" s="5">
        <f t="shared" si="27"/>
        <v>1</v>
      </c>
      <c r="I448" s="5">
        <f t="shared" si="28"/>
        <v>0</v>
      </c>
    </row>
    <row r="449" spans="1:9">
      <c r="A449">
        <v>448</v>
      </c>
      <c r="B449">
        <v>10</v>
      </c>
      <c r="C449">
        <v>6000</v>
      </c>
      <c r="D449">
        <v>5663</v>
      </c>
      <c r="E449" s="5">
        <f t="shared" si="25"/>
        <v>337</v>
      </c>
      <c r="F449" s="5">
        <f t="shared" si="26"/>
        <v>113569</v>
      </c>
      <c r="G449" s="6">
        <f>SQRT(SUM($F$2:F449)/A449)</f>
        <v>1216.8694401516541</v>
      </c>
      <c r="H449" s="5">
        <f t="shared" si="27"/>
        <v>1</v>
      </c>
      <c r="I449" s="5">
        <f t="shared" si="28"/>
        <v>1</v>
      </c>
    </row>
    <row r="450" spans="1:9">
      <c r="A450">
        <v>449</v>
      </c>
      <c r="B450">
        <v>11</v>
      </c>
      <c r="C450">
        <v>6000</v>
      </c>
      <c r="D450">
        <v>6759</v>
      </c>
      <c r="E450" s="5">
        <f t="shared" si="25"/>
        <v>759</v>
      </c>
      <c r="F450" s="5">
        <f t="shared" si="26"/>
        <v>576081</v>
      </c>
      <c r="G450" s="6">
        <f>SQRT(SUM($F$2:F450)/A450)</f>
        <v>1216.0412550878871</v>
      </c>
      <c r="H450" s="5">
        <f t="shared" si="27"/>
        <v>1</v>
      </c>
      <c r="I450" s="5">
        <f t="shared" si="28"/>
        <v>0</v>
      </c>
    </row>
    <row r="451" spans="1:9">
      <c r="A451">
        <v>450</v>
      </c>
      <c r="B451">
        <v>10</v>
      </c>
      <c r="C451">
        <v>6000</v>
      </c>
      <c r="D451">
        <v>6068</v>
      </c>
      <c r="E451" s="5">
        <f t="shared" ref="E451:E514" si="29">ABS(C451-D451)</f>
        <v>68</v>
      </c>
      <c r="F451" s="5">
        <f t="shared" ref="F451:F514" si="30">POWER(E451,2)</f>
        <v>4624</v>
      </c>
      <c r="G451" s="6">
        <f>SQRT(SUM($F$2:F451)/A451)</f>
        <v>1214.6935763576114</v>
      </c>
      <c r="H451" s="5">
        <f t="shared" ref="H451:H514" si="31">IF(ABS(E451)/C451&gt;0.2,0,1)</f>
        <v>1</v>
      </c>
      <c r="I451" s="5">
        <f t="shared" ref="I451:I514" si="32">IF(ABS(E451)/C451&gt;0.1,0,1)</f>
        <v>1</v>
      </c>
    </row>
    <row r="452" spans="1:9">
      <c r="A452">
        <v>451</v>
      </c>
      <c r="B452">
        <v>10</v>
      </c>
      <c r="C452">
        <v>6000</v>
      </c>
      <c r="D452">
        <v>6090</v>
      </c>
      <c r="E452" s="5">
        <f t="shared" si="29"/>
        <v>90</v>
      </c>
      <c r="F452" s="5">
        <f t="shared" si="30"/>
        <v>8100</v>
      </c>
      <c r="G452" s="6">
        <f>SQRT(SUM($F$2:F452)/A452)</f>
        <v>1213.3535631379671</v>
      </c>
      <c r="H452" s="5">
        <f t="shared" si="31"/>
        <v>1</v>
      </c>
      <c r="I452" s="5">
        <f t="shared" si="32"/>
        <v>1</v>
      </c>
    </row>
    <row r="453" spans="1:9">
      <c r="A453">
        <v>452</v>
      </c>
      <c r="B453">
        <v>10</v>
      </c>
      <c r="C453">
        <v>6000</v>
      </c>
      <c r="D453">
        <v>6261</v>
      </c>
      <c r="E453" s="5">
        <f t="shared" si="29"/>
        <v>261</v>
      </c>
      <c r="F453" s="5">
        <f t="shared" si="30"/>
        <v>68121</v>
      </c>
      <c r="G453" s="6">
        <f>SQRT(SUM($F$2:F453)/A453)</f>
        <v>1212.0727867027981</v>
      </c>
      <c r="H453" s="5">
        <f t="shared" si="31"/>
        <v>1</v>
      </c>
      <c r="I453" s="5">
        <f t="shared" si="32"/>
        <v>1</v>
      </c>
    </row>
    <row r="454" spans="1:9">
      <c r="A454">
        <v>453</v>
      </c>
      <c r="B454">
        <v>10</v>
      </c>
      <c r="C454">
        <v>6000</v>
      </c>
      <c r="D454">
        <v>6246</v>
      </c>
      <c r="E454" s="5">
        <f t="shared" si="29"/>
        <v>246</v>
      </c>
      <c r="F454" s="5">
        <f t="shared" si="30"/>
        <v>60516</v>
      </c>
      <c r="G454" s="6">
        <f>SQRT(SUM($F$2:F454)/A454)</f>
        <v>1210.7893863880065</v>
      </c>
      <c r="H454" s="5">
        <f t="shared" si="31"/>
        <v>1</v>
      </c>
      <c r="I454" s="5">
        <f t="shared" si="32"/>
        <v>1</v>
      </c>
    </row>
    <row r="455" spans="1:9">
      <c r="A455">
        <v>454</v>
      </c>
      <c r="B455">
        <v>10</v>
      </c>
      <c r="C455">
        <v>6000</v>
      </c>
      <c r="D455">
        <v>6050</v>
      </c>
      <c r="E455" s="5">
        <f t="shared" si="29"/>
        <v>50</v>
      </c>
      <c r="F455" s="5">
        <f t="shared" si="30"/>
        <v>2500</v>
      </c>
      <c r="G455" s="6">
        <f>SQRT(SUM($F$2:F455)/A455)</f>
        <v>1209.4574592828712</v>
      </c>
      <c r="H455" s="5">
        <f t="shared" si="31"/>
        <v>1</v>
      </c>
      <c r="I455" s="5">
        <f t="shared" si="32"/>
        <v>1</v>
      </c>
    </row>
    <row r="456" spans="1:9">
      <c r="A456">
        <v>455</v>
      </c>
      <c r="B456">
        <v>10</v>
      </c>
      <c r="C456">
        <v>6000</v>
      </c>
      <c r="D456">
        <v>5755</v>
      </c>
      <c r="E456" s="5">
        <f t="shared" si="29"/>
        <v>245</v>
      </c>
      <c r="F456" s="5">
        <f t="shared" si="30"/>
        <v>60025</v>
      </c>
      <c r="G456" s="6">
        <f>SQRT(SUM($F$2:F456)/A456)</f>
        <v>1208.1822510070042</v>
      </c>
      <c r="H456" s="5">
        <f t="shared" si="31"/>
        <v>1</v>
      </c>
      <c r="I456" s="5">
        <f t="shared" si="32"/>
        <v>1</v>
      </c>
    </row>
    <row r="457" spans="1:9">
      <c r="A457">
        <v>456</v>
      </c>
      <c r="B457">
        <v>10</v>
      </c>
      <c r="C457">
        <v>6000</v>
      </c>
      <c r="D457">
        <v>6527</v>
      </c>
      <c r="E457" s="5">
        <f t="shared" si="29"/>
        <v>527</v>
      </c>
      <c r="F457" s="5">
        <f t="shared" si="30"/>
        <v>277729</v>
      </c>
      <c r="G457" s="6">
        <f>SQRT(SUM($F$2:F457)/A457)</f>
        <v>1207.1090673334354</v>
      </c>
      <c r="H457" s="5">
        <f t="shared" si="31"/>
        <v>1</v>
      </c>
      <c r="I457" s="5">
        <f t="shared" si="32"/>
        <v>1</v>
      </c>
    </row>
    <row r="458" spans="1:9">
      <c r="A458">
        <v>457</v>
      </c>
      <c r="B458">
        <v>9</v>
      </c>
      <c r="C458">
        <v>6000</v>
      </c>
      <c r="D458">
        <v>5723</v>
      </c>
      <c r="E458" s="5">
        <f t="shared" si="29"/>
        <v>277</v>
      </c>
      <c r="F458" s="5">
        <f t="shared" si="30"/>
        <v>76729</v>
      </c>
      <c r="G458" s="6">
        <f>SQRT(SUM($F$2:F458)/A458)</f>
        <v>1205.8572751584313</v>
      </c>
      <c r="H458" s="5">
        <f t="shared" si="31"/>
        <v>1</v>
      </c>
      <c r="I458" s="5">
        <f t="shared" si="32"/>
        <v>1</v>
      </c>
    </row>
    <row r="459" spans="1:9">
      <c r="A459">
        <v>458</v>
      </c>
      <c r="B459">
        <v>10</v>
      </c>
      <c r="C459">
        <v>6000</v>
      </c>
      <c r="D459">
        <v>5602</v>
      </c>
      <c r="E459" s="5">
        <f t="shared" si="29"/>
        <v>398</v>
      </c>
      <c r="F459" s="5">
        <f t="shared" si="30"/>
        <v>158404</v>
      </c>
      <c r="G459" s="6">
        <f>SQRT(SUM($F$2:F459)/A459)</f>
        <v>1204.6836744384459</v>
      </c>
      <c r="H459" s="5">
        <f t="shared" si="31"/>
        <v>1</v>
      </c>
      <c r="I459" s="5">
        <f t="shared" si="32"/>
        <v>1</v>
      </c>
    </row>
    <row r="460" spans="1:9">
      <c r="A460">
        <v>459</v>
      </c>
      <c r="B460">
        <v>11</v>
      </c>
      <c r="C460">
        <v>6000</v>
      </c>
      <c r="D460">
        <v>7040</v>
      </c>
      <c r="E460" s="5">
        <f t="shared" si="29"/>
        <v>1040</v>
      </c>
      <c r="F460" s="5">
        <f t="shared" si="30"/>
        <v>1081600</v>
      </c>
      <c r="G460" s="6">
        <f>SQRT(SUM($F$2:F460)/A460)</f>
        <v>1204.3493637554734</v>
      </c>
      <c r="H460" s="5">
        <f t="shared" si="31"/>
        <v>1</v>
      </c>
      <c r="I460" s="5">
        <f t="shared" si="32"/>
        <v>0</v>
      </c>
    </row>
    <row r="461" spans="1:9">
      <c r="A461">
        <v>460</v>
      </c>
      <c r="B461">
        <v>9</v>
      </c>
      <c r="C461">
        <v>6000</v>
      </c>
      <c r="D461">
        <v>6176</v>
      </c>
      <c r="E461" s="5">
        <f t="shared" si="29"/>
        <v>176</v>
      </c>
      <c r="F461" s="5">
        <f t="shared" si="30"/>
        <v>30976</v>
      </c>
      <c r="G461" s="6">
        <f>SQRT(SUM($F$2:F461)/A461)</f>
        <v>1203.0675628864594</v>
      </c>
      <c r="H461" s="5">
        <f t="shared" si="31"/>
        <v>1</v>
      </c>
      <c r="I461" s="5">
        <f t="shared" si="32"/>
        <v>1</v>
      </c>
    </row>
    <row r="462" spans="1:9">
      <c r="A462">
        <v>461</v>
      </c>
      <c r="B462">
        <v>10</v>
      </c>
      <c r="C462">
        <v>6000</v>
      </c>
      <c r="D462">
        <v>6284</v>
      </c>
      <c r="E462" s="5">
        <f t="shared" si="29"/>
        <v>284</v>
      </c>
      <c r="F462" s="5">
        <f t="shared" si="30"/>
        <v>80656</v>
      </c>
      <c r="G462" s="6">
        <f>SQRT(SUM($F$2:F462)/A462)</f>
        <v>1201.8347993932186</v>
      </c>
      <c r="H462" s="5">
        <f t="shared" si="31"/>
        <v>1</v>
      </c>
      <c r="I462" s="5">
        <f t="shared" si="32"/>
        <v>1</v>
      </c>
    </row>
    <row r="463" spans="1:9">
      <c r="A463">
        <v>462</v>
      </c>
      <c r="B463">
        <v>9</v>
      </c>
      <c r="C463">
        <v>6000</v>
      </c>
      <c r="D463">
        <v>4618</v>
      </c>
      <c r="E463" s="5">
        <f t="shared" si="29"/>
        <v>1382</v>
      </c>
      <c r="F463" s="5">
        <f t="shared" si="30"/>
        <v>1909924</v>
      </c>
      <c r="G463" s="6">
        <f>SQRT(SUM($F$2:F463)/A463)</f>
        <v>1202.2539240258266</v>
      </c>
      <c r="H463" s="5">
        <f t="shared" si="31"/>
        <v>0</v>
      </c>
      <c r="I463" s="5">
        <f t="shared" si="32"/>
        <v>0</v>
      </c>
    </row>
    <row r="464" spans="1:9">
      <c r="A464">
        <v>463</v>
      </c>
      <c r="B464">
        <v>12</v>
      </c>
      <c r="C464">
        <v>6000</v>
      </c>
      <c r="D464">
        <v>7399</v>
      </c>
      <c r="E464" s="5">
        <f t="shared" si="29"/>
        <v>1399</v>
      </c>
      <c r="F464" s="5">
        <f t="shared" si="30"/>
        <v>1957201</v>
      </c>
      <c r="G464" s="6">
        <f>SQRT(SUM($F$2:F464)/A464)</f>
        <v>1202.7135437212553</v>
      </c>
      <c r="H464" s="5">
        <f t="shared" si="31"/>
        <v>0</v>
      </c>
      <c r="I464" s="5">
        <f t="shared" si="32"/>
        <v>0</v>
      </c>
    </row>
    <row r="465" spans="1:9">
      <c r="A465">
        <v>464</v>
      </c>
      <c r="B465">
        <v>8</v>
      </c>
      <c r="C465">
        <v>6000</v>
      </c>
      <c r="D465">
        <v>4851</v>
      </c>
      <c r="E465" s="5">
        <f t="shared" si="29"/>
        <v>1149</v>
      </c>
      <c r="F465" s="5">
        <f t="shared" si="30"/>
        <v>1320201</v>
      </c>
      <c r="G465" s="6">
        <f>SQRT(SUM($F$2:F465)/A465)</f>
        <v>1202.6003614294921</v>
      </c>
      <c r="H465" s="5">
        <f t="shared" si="31"/>
        <v>1</v>
      </c>
      <c r="I465" s="5">
        <f t="shared" si="32"/>
        <v>0</v>
      </c>
    </row>
    <row r="466" spans="1:9">
      <c r="A466">
        <v>465</v>
      </c>
      <c r="B466">
        <v>11</v>
      </c>
      <c r="C466">
        <v>6000</v>
      </c>
      <c r="D466">
        <v>6944</v>
      </c>
      <c r="E466" s="5">
        <f t="shared" si="29"/>
        <v>944</v>
      </c>
      <c r="F466" s="5">
        <f t="shared" si="30"/>
        <v>891136</v>
      </c>
      <c r="G466" s="6">
        <f>SQRT(SUM($F$2:F466)/A466)</f>
        <v>1202.1039226540338</v>
      </c>
      <c r="H466" s="5">
        <f t="shared" si="31"/>
        <v>1</v>
      </c>
      <c r="I466" s="5">
        <f t="shared" si="32"/>
        <v>0</v>
      </c>
    </row>
    <row r="467" spans="1:9">
      <c r="A467">
        <v>466</v>
      </c>
      <c r="B467">
        <v>9</v>
      </c>
      <c r="C467">
        <v>6000</v>
      </c>
      <c r="D467">
        <v>5656</v>
      </c>
      <c r="E467" s="5">
        <f t="shared" si="29"/>
        <v>344</v>
      </c>
      <c r="F467" s="5">
        <f t="shared" si="30"/>
        <v>118336</v>
      </c>
      <c r="G467" s="6">
        <f>SQRT(SUM($F$2:F467)/A467)</f>
        <v>1200.9191508452818</v>
      </c>
      <c r="H467" s="5">
        <f t="shared" si="31"/>
        <v>1</v>
      </c>
      <c r="I467" s="5">
        <f t="shared" si="32"/>
        <v>1</v>
      </c>
    </row>
    <row r="468" spans="1:9">
      <c r="A468">
        <v>467</v>
      </c>
      <c r="B468">
        <v>10</v>
      </c>
      <c r="C468">
        <v>6000</v>
      </c>
      <c r="D468">
        <v>6025</v>
      </c>
      <c r="E468" s="5">
        <f t="shared" si="29"/>
        <v>25</v>
      </c>
      <c r="F468" s="5">
        <f t="shared" si="30"/>
        <v>625</v>
      </c>
      <c r="G468" s="6">
        <f>SQRT(SUM($F$2:F468)/A468)</f>
        <v>1199.6332389205095</v>
      </c>
      <c r="H468" s="5">
        <f t="shared" si="31"/>
        <v>1</v>
      </c>
      <c r="I468" s="5">
        <f t="shared" si="32"/>
        <v>1</v>
      </c>
    </row>
    <row r="469" spans="1:9">
      <c r="A469">
        <v>468</v>
      </c>
      <c r="B469">
        <v>10</v>
      </c>
      <c r="C469">
        <v>6000</v>
      </c>
      <c r="D469">
        <v>6584</v>
      </c>
      <c r="E469" s="5">
        <f t="shared" si="29"/>
        <v>584</v>
      </c>
      <c r="F469" s="5">
        <f t="shared" si="30"/>
        <v>341056</v>
      </c>
      <c r="G469" s="6">
        <f>SQRT(SUM($F$2:F469)/A469)</f>
        <v>1198.654920117282</v>
      </c>
      <c r="H469" s="5">
        <f t="shared" si="31"/>
        <v>1</v>
      </c>
      <c r="I469" s="5">
        <f t="shared" si="32"/>
        <v>1</v>
      </c>
    </row>
    <row r="470" spans="1:9">
      <c r="A470">
        <v>469</v>
      </c>
      <c r="B470">
        <v>9</v>
      </c>
      <c r="C470">
        <v>6000</v>
      </c>
      <c r="D470">
        <v>6078</v>
      </c>
      <c r="E470" s="5">
        <f t="shared" si="29"/>
        <v>78</v>
      </c>
      <c r="F470" s="5">
        <f t="shared" si="30"/>
        <v>6084</v>
      </c>
      <c r="G470" s="6">
        <f>SQRT(SUM($F$2:F470)/A470)</f>
        <v>1197.3817714537865</v>
      </c>
      <c r="H470" s="5">
        <f t="shared" si="31"/>
        <v>1</v>
      </c>
      <c r="I470" s="5">
        <f t="shared" si="32"/>
        <v>1</v>
      </c>
    </row>
    <row r="471" spans="1:9">
      <c r="A471">
        <v>470</v>
      </c>
      <c r="B471">
        <v>10</v>
      </c>
      <c r="C471">
        <v>6000</v>
      </c>
      <c r="D471">
        <v>6084</v>
      </c>
      <c r="E471" s="5">
        <f t="shared" si="29"/>
        <v>84</v>
      </c>
      <c r="F471" s="5">
        <f t="shared" si="30"/>
        <v>7056</v>
      </c>
      <c r="G471" s="6">
        <f>SQRT(SUM($F$2:F471)/A471)</f>
        <v>1196.1135584386841</v>
      </c>
      <c r="H471" s="5">
        <f t="shared" si="31"/>
        <v>1</v>
      </c>
      <c r="I471" s="5">
        <f t="shared" si="32"/>
        <v>1</v>
      </c>
    </row>
    <row r="472" spans="1:9">
      <c r="A472">
        <v>471</v>
      </c>
      <c r="B472">
        <v>10</v>
      </c>
      <c r="C472">
        <v>6000</v>
      </c>
      <c r="D472">
        <v>5708</v>
      </c>
      <c r="E472" s="5">
        <f t="shared" si="29"/>
        <v>292</v>
      </c>
      <c r="F472" s="5">
        <f t="shared" si="30"/>
        <v>85264</v>
      </c>
      <c r="G472" s="6">
        <f>SQRT(SUM($F$2:F472)/A472)</f>
        <v>1194.9188754455115</v>
      </c>
      <c r="H472" s="5">
        <f t="shared" si="31"/>
        <v>1</v>
      </c>
      <c r="I472" s="5">
        <f t="shared" si="32"/>
        <v>1</v>
      </c>
    </row>
    <row r="473" spans="1:9">
      <c r="A473">
        <v>472</v>
      </c>
      <c r="B473">
        <v>10</v>
      </c>
      <c r="C473">
        <v>6000</v>
      </c>
      <c r="D473">
        <v>6326</v>
      </c>
      <c r="E473" s="5">
        <f t="shared" si="29"/>
        <v>326</v>
      </c>
      <c r="F473" s="5">
        <f t="shared" si="30"/>
        <v>106276</v>
      </c>
      <c r="G473" s="6">
        <f>SQRT(SUM($F$2:F473)/A473)</f>
        <v>1193.7467126585316</v>
      </c>
      <c r="H473" s="5">
        <f t="shared" si="31"/>
        <v>1</v>
      </c>
      <c r="I473" s="5">
        <f t="shared" si="32"/>
        <v>1</v>
      </c>
    </row>
    <row r="474" spans="1:9">
      <c r="A474">
        <v>473</v>
      </c>
      <c r="B474">
        <v>9</v>
      </c>
      <c r="C474">
        <v>6000</v>
      </c>
      <c r="D474">
        <v>4966</v>
      </c>
      <c r="E474" s="5">
        <f t="shared" si="29"/>
        <v>1034</v>
      </c>
      <c r="F474" s="5">
        <f t="shared" si="30"/>
        <v>1069156</v>
      </c>
      <c r="G474" s="6">
        <f>SQRT(SUM($F$2:F474)/A474)</f>
        <v>1193.4315376657084</v>
      </c>
      <c r="H474" s="5">
        <f t="shared" si="31"/>
        <v>1</v>
      </c>
      <c r="I474" s="5">
        <f t="shared" si="32"/>
        <v>0</v>
      </c>
    </row>
    <row r="475" spans="1:9">
      <c r="A475">
        <v>474</v>
      </c>
      <c r="B475">
        <v>11</v>
      </c>
      <c r="C475">
        <v>6000</v>
      </c>
      <c r="D475">
        <v>7438</v>
      </c>
      <c r="E475" s="5">
        <f t="shared" si="29"/>
        <v>1438</v>
      </c>
      <c r="F475" s="5">
        <f t="shared" si="30"/>
        <v>2067844</v>
      </c>
      <c r="G475" s="6">
        <f>SQRT(SUM($F$2:F475)/A475)</f>
        <v>1194.0002376509599</v>
      </c>
      <c r="H475" s="5">
        <f t="shared" si="31"/>
        <v>0</v>
      </c>
      <c r="I475" s="5">
        <f t="shared" si="32"/>
        <v>0</v>
      </c>
    </row>
    <row r="476" spans="1:9">
      <c r="A476">
        <v>475</v>
      </c>
      <c r="B476">
        <v>8</v>
      </c>
      <c r="C476">
        <v>6000</v>
      </c>
      <c r="D476">
        <v>4628</v>
      </c>
      <c r="E476" s="5">
        <f t="shared" si="29"/>
        <v>1372</v>
      </c>
      <c r="F476" s="5">
        <f t="shared" si="30"/>
        <v>1882384</v>
      </c>
      <c r="G476" s="6">
        <f>SQRT(SUM($F$2:F476)/A476)</f>
        <v>1194.4028386824236</v>
      </c>
      <c r="H476" s="5">
        <f t="shared" si="31"/>
        <v>0</v>
      </c>
      <c r="I476" s="5">
        <f t="shared" si="32"/>
        <v>0</v>
      </c>
    </row>
    <row r="477" spans="1:9">
      <c r="A477">
        <v>476</v>
      </c>
      <c r="B477">
        <v>11</v>
      </c>
      <c r="C477">
        <v>6000</v>
      </c>
      <c r="D477">
        <v>6590</v>
      </c>
      <c r="E477" s="5">
        <f t="shared" si="29"/>
        <v>590</v>
      </c>
      <c r="F477" s="5">
        <f t="shared" si="30"/>
        <v>348100</v>
      </c>
      <c r="G477" s="6">
        <f>SQRT(SUM($F$2:F477)/A477)</f>
        <v>1193.4539742509814</v>
      </c>
      <c r="H477" s="5">
        <f t="shared" si="31"/>
        <v>1</v>
      </c>
      <c r="I477" s="5">
        <f t="shared" si="32"/>
        <v>1</v>
      </c>
    </row>
    <row r="478" spans="1:9">
      <c r="A478">
        <v>477</v>
      </c>
      <c r="B478">
        <v>9</v>
      </c>
      <c r="C478">
        <v>6000</v>
      </c>
      <c r="D478">
        <v>6144</v>
      </c>
      <c r="E478" s="5">
        <f t="shared" si="29"/>
        <v>144</v>
      </c>
      <c r="F478" s="5">
        <f t="shared" si="30"/>
        <v>20736</v>
      </c>
      <c r="G478" s="6">
        <f>SQRT(SUM($F$2:F478)/A478)</f>
        <v>1192.2205494682698</v>
      </c>
      <c r="H478" s="5">
        <f t="shared" si="31"/>
        <v>1</v>
      </c>
      <c r="I478" s="5">
        <f t="shared" si="32"/>
        <v>1</v>
      </c>
    </row>
    <row r="479" spans="1:9">
      <c r="A479">
        <v>478</v>
      </c>
      <c r="B479">
        <v>10</v>
      </c>
      <c r="C479">
        <v>6000</v>
      </c>
      <c r="D479">
        <v>6322</v>
      </c>
      <c r="E479" s="5">
        <f t="shared" si="29"/>
        <v>322</v>
      </c>
      <c r="F479" s="5">
        <f t="shared" si="30"/>
        <v>103684</v>
      </c>
      <c r="G479" s="6">
        <f>SQRT(SUM($F$2:F479)/A479)</f>
        <v>1191.063865541711</v>
      </c>
      <c r="H479" s="5">
        <f t="shared" si="31"/>
        <v>1</v>
      </c>
      <c r="I479" s="5">
        <f t="shared" si="32"/>
        <v>1</v>
      </c>
    </row>
    <row r="480" spans="1:9">
      <c r="A480">
        <v>479</v>
      </c>
      <c r="B480">
        <v>9</v>
      </c>
      <c r="C480">
        <v>6000</v>
      </c>
      <c r="D480">
        <v>6213</v>
      </c>
      <c r="E480" s="5">
        <f t="shared" si="29"/>
        <v>213</v>
      </c>
      <c r="F480" s="5">
        <f t="shared" si="30"/>
        <v>45369</v>
      </c>
      <c r="G480" s="6">
        <f>SQRT(SUM($F$2:F480)/A480)</f>
        <v>1189.8597362995379</v>
      </c>
      <c r="H480" s="5">
        <f t="shared" si="31"/>
        <v>1</v>
      </c>
      <c r="I480" s="5">
        <f t="shared" si="32"/>
        <v>1</v>
      </c>
    </row>
    <row r="481" spans="1:9">
      <c r="A481">
        <v>480</v>
      </c>
      <c r="B481">
        <v>9</v>
      </c>
      <c r="C481">
        <v>6000</v>
      </c>
      <c r="D481">
        <v>5719</v>
      </c>
      <c r="E481" s="5">
        <f t="shared" si="29"/>
        <v>281</v>
      </c>
      <c r="F481" s="5">
        <f t="shared" si="30"/>
        <v>78961</v>
      </c>
      <c r="G481" s="6">
        <f>SQRT(SUM($F$2:F481)/A481)</f>
        <v>1188.6888496364386</v>
      </c>
      <c r="H481" s="5">
        <f t="shared" si="31"/>
        <v>1</v>
      </c>
      <c r="I481" s="5">
        <f t="shared" si="32"/>
        <v>1</v>
      </c>
    </row>
    <row r="482" spans="1:9">
      <c r="A482">
        <v>481</v>
      </c>
      <c r="B482">
        <v>10</v>
      </c>
      <c r="C482">
        <v>6000</v>
      </c>
      <c r="D482">
        <v>5728</v>
      </c>
      <c r="E482" s="5">
        <f t="shared" si="29"/>
        <v>272</v>
      </c>
      <c r="F482" s="5">
        <f t="shared" si="30"/>
        <v>73984</v>
      </c>
      <c r="G482" s="6">
        <f>SQRT(SUM($F$2:F482)/A482)</f>
        <v>1187.5173275899613</v>
      </c>
      <c r="H482" s="5">
        <f t="shared" si="31"/>
        <v>1</v>
      </c>
      <c r="I482" s="5">
        <f t="shared" si="32"/>
        <v>1</v>
      </c>
    </row>
    <row r="483" spans="1:9">
      <c r="A483">
        <v>482</v>
      </c>
      <c r="B483">
        <v>10</v>
      </c>
      <c r="C483">
        <v>6000</v>
      </c>
      <c r="D483">
        <v>5991</v>
      </c>
      <c r="E483" s="5">
        <f t="shared" si="29"/>
        <v>9</v>
      </c>
      <c r="F483" s="5">
        <f t="shared" si="30"/>
        <v>81</v>
      </c>
      <c r="G483" s="6">
        <f>SQRT(SUM($F$2:F483)/A483)</f>
        <v>1186.284894375043</v>
      </c>
      <c r="H483" s="5">
        <f t="shared" si="31"/>
        <v>1</v>
      </c>
      <c r="I483" s="5">
        <f t="shared" si="32"/>
        <v>1</v>
      </c>
    </row>
    <row r="484" spans="1:9">
      <c r="A484">
        <v>483</v>
      </c>
      <c r="B484">
        <v>10</v>
      </c>
      <c r="C484">
        <v>6000</v>
      </c>
      <c r="D484">
        <v>6285</v>
      </c>
      <c r="E484" s="5">
        <f t="shared" si="29"/>
        <v>285</v>
      </c>
      <c r="F484" s="5">
        <f t="shared" si="30"/>
        <v>81225</v>
      </c>
      <c r="G484" s="6">
        <f>SQRT(SUM($F$2:F484)/A484)</f>
        <v>1185.1271712387163</v>
      </c>
      <c r="H484" s="5">
        <f t="shared" si="31"/>
        <v>1</v>
      </c>
      <c r="I484" s="5">
        <f t="shared" si="32"/>
        <v>1</v>
      </c>
    </row>
    <row r="485" spans="1:9">
      <c r="A485">
        <v>484</v>
      </c>
      <c r="B485">
        <v>9</v>
      </c>
      <c r="C485">
        <v>6000</v>
      </c>
      <c r="D485">
        <v>6094</v>
      </c>
      <c r="E485" s="5">
        <f t="shared" si="29"/>
        <v>94</v>
      </c>
      <c r="F485" s="5">
        <f t="shared" si="30"/>
        <v>8836</v>
      </c>
      <c r="G485" s="6">
        <f>SQRT(SUM($F$2:F485)/A485)</f>
        <v>1183.9099434214713</v>
      </c>
      <c r="H485" s="5">
        <f t="shared" si="31"/>
        <v>1</v>
      </c>
      <c r="I485" s="5">
        <f t="shared" si="32"/>
        <v>1</v>
      </c>
    </row>
    <row r="486" spans="1:9">
      <c r="A486">
        <v>485</v>
      </c>
      <c r="B486">
        <v>10</v>
      </c>
      <c r="C486">
        <v>6000</v>
      </c>
      <c r="D486">
        <v>5965</v>
      </c>
      <c r="E486" s="5">
        <f t="shared" si="29"/>
        <v>35</v>
      </c>
      <c r="F486" s="5">
        <f t="shared" si="30"/>
        <v>1225</v>
      </c>
      <c r="G486" s="6">
        <f>SQRT(SUM($F$2:F486)/A486)</f>
        <v>1182.6898557294558</v>
      </c>
      <c r="H486" s="5">
        <f t="shared" si="31"/>
        <v>1</v>
      </c>
      <c r="I486" s="5">
        <f t="shared" si="32"/>
        <v>1</v>
      </c>
    </row>
    <row r="487" spans="1:9">
      <c r="A487">
        <v>486</v>
      </c>
      <c r="B487">
        <v>10</v>
      </c>
      <c r="C487">
        <v>6000</v>
      </c>
      <c r="D487">
        <v>6399</v>
      </c>
      <c r="E487" s="5">
        <f t="shared" si="29"/>
        <v>399</v>
      </c>
      <c r="F487" s="5">
        <f t="shared" si="30"/>
        <v>159201</v>
      </c>
      <c r="G487" s="6">
        <f>SQRT(SUM($F$2:F487)/A487)</f>
        <v>1181.6110915207839</v>
      </c>
      <c r="H487" s="5">
        <f t="shared" si="31"/>
        <v>1</v>
      </c>
      <c r="I487" s="5">
        <f t="shared" si="32"/>
        <v>1</v>
      </c>
    </row>
    <row r="488" spans="1:9">
      <c r="A488">
        <v>487</v>
      </c>
      <c r="B488">
        <v>9</v>
      </c>
      <c r="C488">
        <v>6000</v>
      </c>
      <c r="D488">
        <v>5996</v>
      </c>
      <c r="E488" s="5">
        <f t="shared" si="29"/>
        <v>4</v>
      </c>
      <c r="F488" s="5">
        <f t="shared" si="30"/>
        <v>16</v>
      </c>
      <c r="G488" s="6">
        <f>SQRT(SUM($F$2:F488)/A488)</f>
        <v>1180.397328957265</v>
      </c>
      <c r="H488" s="5">
        <f t="shared" si="31"/>
        <v>1</v>
      </c>
      <c r="I488" s="5">
        <f t="shared" si="32"/>
        <v>1</v>
      </c>
    </row>
    <row r="489" spans="1:9">
      <c r="A489">
        <v>488</v>
      </c>
      <c r="B489">
        <v>10</v>
      </c>
      <c r="C489">
        <v>6000</v>
      </c>
      <c r="D489">
        <v>6284</v>
      </c>
      <c r="E489" s="5">
        <f t="shared" si="29"/>
        <v>284</v>
      </c>
      <c r="F489" s="5">
        <f t="shared" si="30"/>
        <v>80656</v>
      </c>
      <c r="G489" s="6">
        <f>SQRT(SUM($F$2:F489)/A489)</f>
        <v>1179.257364775412</v>
      </c>
      <c r="H489" s="5">
        <f t="shared" si="31"/>
        <v>1</v>
      </c>
      <c r="I489" s="5">
        <f t="shared" si="32"/>
        <v>1</v>
      </c>
    </row>
    <row r="490" spans="1:9">
      <c r="A490">
        <v>489</v>
      </c>
      <c r="B490">
        <v>9</v>
      </c>
      <c r="C490">
        <v>6000</v>
      </c>
      <c r="D490">
        <v>5372</v>
      </c>
      <c r="E490" s="5">
        <f t="shared" si="29"/>
        <v>628</v>
      </c>
      <c r="F490" s="5">
        <f t="shared" si="30"/>
        <v>394384</v>
      </c>
      <c r="G490" s="6">
        <f>SQRT(SUM($F$2:F490)/A490)</f>
        <v>1178.3932207977462</v>
      </c>
      <c r="H490" s="5">
        <f t="shared" si="31"/>
        <v>1</v>
      </c>
      <c r="I490" s="5">
        <f t="shared" si="32"/>
        <v>0</v>
      </c>
    </row>
    <row r="491" spans="1:9">
      <c r="A491">
        <v>490</v>
      </c>
      <c r="B491">
        <v>10</v>
      </c>
      <c r="C491">
        <v>6000</v>
      </c>
      <c r="D491">
        <v>6775</v>
      </c>
      <c r="E491" s="5">
        <f t="shared" si="29"/>
        <v>775</v>
      </c>
      <c r="F491" s="5">
        <f t="shared" si="30"/>
        <v>600625</v>
      </c>
      <c r="G491" s="6">
        <f>SQRT(SUM($F$2:F491)/A491)</f>
        <v>1177.710681355821</v>
      </c>
      <c r="H491" s="5">
        <f t="shared" si="31"/>
        <v>1</v>
      </c>
      <c r="I491" s="5">
        <f t="shared" si="32"/>
        <v>0</v>
      </c>
    </row>
    <row r="492" spans="1:9">
      <c r="A492">
        <v>491</v>
      </c>
      <c r="B492">
        <v>9</v>
      </c>
      <c r="C492">
        <v>6000</v>
      </c>
      <c r="D492">
        <v>5940</v>
      </c>
      <c r="E492" s="5">
        <f t="shared" si="29"/>
        <v>60</v>
      </c>
      <c r="F492" s="5">
        <f t="shared" si="30"/>
        <v>3600</v>
      </c>
      <c r="G492" s="6">
        <f>SQRT(SUM($F$2:F492)/A492)</f>
        <v>1176.5138880255108</v>
      </c>
      <c r="H492" s="5">
        <f t="shared" si="31"/>
        <v>1</v>
      </c>
      <c r="I492" s="5">
        <f t="shared" si="32"/>
        <v>1</v>
      </c>
    </row>
    <row r="493" spans="1:9">
      <c r="A493">
        <v>492</v>
      </c>
      <c r="B493">
        <v>9</v>
      </c>
      <c r="C493">
        <v>6000</v>
      </c>
      <c r="D493">
        <v>5510</v>
      </c>
      <c r="E493" s="5">
        <f t="shared" si="29"/>
        <v>490</v>
      </c>
      <c r="F493" s="5">
        <f t="shared" si="30"/>
        <v>240100</v>
      </c>
      <c r="G493" s="6">
        <f>SQRT(SUM($F$2:F493)/A493)</f>
        <v>1175.5252242489432</v>
      </c>
      <c r="H493" s="5">
        <f t="shared" si="31"/>
        <v>1</v>
      </c>
      <c r="I493" s="5">
        <f t="shared" si="32"/>
        <v>1</v>
      </c>
    </row>
    <row r="494" spans="1:9">
      <c r="A494">
        <v>493</v>
      </c>
      <c r="B494">
        <v>10</v>
      </c>
      <c r="C494">
        <v>6000</v>
      </c>
      <c r="D494">
        <v>6507</v>
      </c>
      <c r="E494" s="5">
        <f t="shared" si="29"/>
        <v>507</v>
      </c>
      <c r="F494" s="5">
        <f t="shared" si="30"/>
        <v>257049</v>
      </c>
      <c r="G494" s="6">
        <f>SQRT(SUM($F$2:F494)/A494)</f>
        <v>1174.5543792681599</v>
      </c>
      <c r="H494" s="5">
        <f t="shared" si="31"/>
        <v>1</v>
      </c>
      <c r="I494" s="5">
        <f t="shared" si="32"/>
        <v>1</v>
      </c>
    </row>
    <row r="495" spans="1:9">
      <c r="A495">
        <v>494</v>
      </c>
      <c r="B495">
        <v>9</v>
      </c>
      <c r="C495">
        <v>6000</v>
      </c>
      <c r="D495">
        <v>5768</v>
      </c>
      <c r="E495" s="5">
        <f t="shared" si="29"/>
        <v>232</v>
      </c>
      <c r="F495" s="5">
        <f t="shared" si="30"/>
        <v>53824</v>
      </c>
      <c r="G495" s="6">
        <f>SQRT(SUM($F$2:F495)/A495)</f>
        <v>1173.4113845228942</v>
      </c>
      <c r="H495" s="5">
        <f t="shared" si="31"/>
        <v>1</v>
      </c>
      <c r="I495" s="5">
        <f t="shared" si="32"/>
        <v>1</v>
      </c>
    </row>
    <row r="496" spans="1:9">
      <c r="A496">
        <v>495</v>
      </c>
      <c r="B496">
        <v>10</v>
      </c>
      <c r="C496">
        <v>6000</v>
      </c>
      <c r="D496">
        <v>6280</v>
      </c>
      <c r="E496" s="5">
        <f t="shared" si="29"/>
        <v>280</v>
      </c>
      <c r="F496" s="5">
        <f t="shared" si="30"/>
        <v>78400</v>
      </c>
      <c r="G496" s="6">
        <f>SQRT(SUM($F$2:F496)/A496)</f>
        <v>1172.2930762252486</v>
      </c>
      <c r="H496" s="5">
        <f t="shared" si="31"/>
        <v>1</v>
      </c>
      <c r="I496" s="5">
        <f t="shared" si="32"/>
        <v>1</v>
      </c>
    </row>
    <row r="497" spans="1:9">
      <c r="A497">
        <v>496</v>
      </c>
      <c r="B497">
        <v>9</v>
      </c>
      <c r="C497">
        <v>6000</v>
      </c>
      <c r="D497">
        <v>6149</v>
      </c>
      <c r="E497" s="5">
        <f t="shared" si="29"/>
        <v>149</v>
      </c>
      <c r="F497" s="5">
        <f t="shared" si="30"/>
        <v>22201</v>
      </c>
      <c r="G497" s="6">
        <f>SQRT(SUM($F$2:F497)/A497)</f>
        <v>1171.1298428743789</v>
      </c>
      <c r="H497" s="5">
        <f t="shared" si="31"/>
        <v>1</v>
      </c>
      <c r="I497" s="5">
        <f t="shared" si="32"/>
        <v>1</v>
      </c>
    </row>
    <row r="498" spans="1:9">
      <c r="A498">
        <v>497</v>
      </c>
      <c r="B498">
        <v>9</v>
      </c>
      <c r="C498">
        <v>6000</v>
      </c>
      <c r="D498">
        <v>6164</v>
      </c>
      <c r="E498" s="5">
        <f t="shared" si="29"/>
        <v>164</v>
      </c>
      <c r="F498" s="5">
        <f t="shared" si="30"/>
        <v>26896</v>
      </c>
      <c r="G498" s="6">
        <f>SQRT(SUM($F$2:F498)/A498)</f>
        <v>1169.9741781188116</v>
      </c>
      <c r="H498" s="5">
        <f t="shared" si="31"/>
        <v>1</v>
      </c>
      <c r="I498" s="5">
        <f t="shared" si="32"/>
        <v>1</v>
      </c>
    </row>
    <row r="499" spans="1:9">
      <c r="A499">
        <v>498</v>
      </c>
      <c r="B499">
        <v>9</v>
      </c>
      <c r="C499">
        <v>6000</v>
      </c>
      <c r="D499">
        <v>5977</v>
      </c>
      <c r="E499" s="5">
        <f t="shared" si="29"/>
        <v>23</v>
      </c>
      <c r="F499" s="5">
        <f t="shared" si="30"/>
        <v>529</v>
      </c>
      <c r="G499" s="6">
        <f>SQRT(SUM($F$2:F499)/A499)</f>
        <v>1168.7993693801575</v>
      </c>
      <c r="H499" s="5">
        <f t="shared" si="31"/>
        <v>1</v>
      </c>
      <c r="I499" s="5">
        <f t="shared" si="32"/>
        <v>1</v>
      </c>
    </row>
    <row r="500" spans="1:9">
      <c r="A500">
        <v>499</v>
      </c>
      <c r="B500">
        <v>9</v>
      </c>
      <c r="C500">
        <v>6000</v>
      </c>
      <c r="D500">
        <v>6207</v>
      </c>
      <c r="E500" s="5">
        <f t="shared" si="29"/>
        <v>207</v>
      </c>
      <c r="F500" s="5">
        <f t="shared" si="30"/>
        <v>42849</v>
      </c>
      <c r="G500" s="6">
        <f>SQRT(SUM($F$2:F500)/A500)</f>
        <v>1167.6644108444452</v>
      </c>
      <c r="H500" s="5">
        <f t="shared" si="31"/>
        <v>1</v>
      </c>
      <c r="I500" s="5">
        <f t="shared" si="32"/>
        <v>1</v>
      </c>
    </row>
    <row r="501" spans="1:9">
      <c r="A501">
        <v>500</v>
      </c>
      <c r="B501">
        <v>9</v>
      </c>
      <c r="C501">
        <v>6000</v>
      </c>
      <c r="D501">
        <v>5658</v>
      </c>
      <c r="E501" s="5">
        <f t="shared" si="29"/>
        <v>342</v>
      </c>
      <c r="F501" s="5">
        <f t="shared" si="30"/>
        <v>116964</v>
      </c>
      <c r="G501" s="6">
        <f>SQRT(SUM($F$2:F501)/A501)</f>
        <v>1166.5964272189419</v>
      </c>
      <c r="H501" s="5">
        <f t="shared" si="31"/>
        <v>1</v>
      </c>
      <c r="I501" s="5">
        <f t="shared" si="32"/>
        <v>1</v>
      </c>
    </row>
    <row r="502" spans="1:9">
      <c r="A502">
        <v>501</v>
      </c>
      <c r="B502">
        <v>10</v>
      </c>
      <c r="C502">
        <v>9000</v>
      </c>
      <c r="D502">
        <v>6507</v>
      </c>
      <c r="E502" s="5">
        <f t="shared" si="29"/>
        <v>2493</v>
      </c>
      <c r="F502" s="5">
        <f t="shared" si="30"/>
        <v>6215049</v>
      </c>
      <c r="G502" s="6">
        <f>SQRT(SUM($F$2:F502)/A502)</f>
        <v>1170.7416665943856</v>
      </c>
      <c r="H502" s="5">
        <f t="shared" si="31"/>
        <v>0</v>
      </c>
      <c r="I502" s="5">
        <f t="shared" si="32"/>
        <v>0</v>
      </c>
    </row>
    <row r="503" spans="1:9">
      <c r="A503">
        <v>502</v>
      </c>
      <c r="B503">
        <v>13</v>
      </c>
      <c r="C503">
        <v>9000</v>
      </c>
      <c r="D503">
        <v>8763</v>
      </c>
      <c r="E503" s="5">
        <f t="shared" si="29"/>
        <v>237</v>
      </c>
      <c r="F503" s="5">
        <f t="shared" si="30"/>
        <v>56169</v>
      </c>
      <c r="G503" s="6">
        <f>SQRT(SUM($F$2:F503)/A503)</f>
        <v>1169.6228407659601</v>
      </c>
      <c r="H503" s="5">
        <f t="shared" si="31"/>
        <v>1</v>
      </c>
      <c r="I503" s="5">
        <f t="shared" si="32"/>
        <v>1</v>
      </c>
    </row>
    <row r="504" spans="1:9">
      <c r="A504">
        <v>503</v>
      </c>
      <c r="B504">
        <v>10</v>
      </c>
      <c r="C504">
        <v>9000</v>
      </c>
      <c r="D504">
        <v>6533</v>
      </c>
      <c r="E504" s="5">
        <f t="shared" si="29"/>
        <v>2467</v>
      </c>
      <c r="F504" s="5">
        <f t="shared" si="30"/>
        <v>6086089</v>
      </c>
      <c r="G504" s="6">
        <f>SQRT(SUM($F$2:F504)/A504)</f>
        <v>1173.6257722461271</v>
      </c>
      <c r="H504" s="5">
        <f t="shared" si="31"/>
        <v>0</v>
      </c>
      <c r="I504" s="5">
        <f t="shared" si="32"/>
        <v>0</v>
      </c>
    </row>
    <row r="505" spans="1:9">
      <c r="A505">
        <v>504</v>
      </c>
      <c r="B505">
        <v>14</v>
      </c>
      <c r="C505">
        <v>9000</v>
      </c>
      <c r="D505">
        <v>7038</v>
      </c>
      <c r="E505" s="5">
        <f t="shared" si="29"/>
        <v>1962</v>
      </c>
      <c r="F505" s="5">
        <f t="shared" si="30"/>
        <v>3849444</v>
      </c>
      <c r="G505" s="6">
        <f>SQRT(SUM($F$2:F505)/A505)</f>
        <v>1175.7135312395119</v>
      </c>
      <c r="H505" s="5">
        <f t="shared" si="31"/>
        <v>0</v>
      </c>
      <c r="I505" s="5">
        <f t="shared" si="32"/>
        <v>0</v>
      </c>
    </row>
    <row r="506" spans="1:9">
      <c r="A506">
        <v>505</v>
      </c>
      <c r="B506">
        <v>14</v>
      </c>
      <c r="C506">
        <v>9000</v>
      </c>
      <c r="D506">
        <v>3492</v>
      </c>
      <c r="E506" s="5">
        <f t="shared" si="29"/>
        <v>5508</v>
      </c>
      <c r="F506" s="5">
        <f t="shared" si="30"/>
        <v>30338064</v>
      </c>
      <c r="G506" s="6">
        <f>SQRT(SUM($F$2:F506)/A506)</f>
        <v>1199.8501779409589</v>
      </c>
      <c r="H506" s="5">
        <f t="shared" si="31"/>
        <v>0</v>
      </c>
      <c r="I506" s="5">
        <f t="shared" si="32"/>
        <v>0</v>
      </c>
    </row>
    <row r="507" spans="1:9">
      <c r="A507">
        <v>506</v>
      </c>
      <c r="B507">
        <v>19</v>
      </c>
      <c r="C507">
        <v>9000</v>
      </c>
      <c r="D507">
        <v>7051</v>
      </c>
      <c r="E507" s="5">
        <f t="shared" si="29"/>
        <v>1949</v>
      </c>
      <c r="F507" s="5">
        <f t="shared" si="30"/>
        <v>3798601</v>
      </c>
      <c r="G507" s="6">
        <f>SQRT(SUM($F$2:F507)/A507)</f>
        <v>1201.7913408231357</v>
      </c>
      <c r="H507" s="5">
        <f t="shared" si="31"/>
        <v>0</v>
      </c>
      <c r="I507" s="5">
        <f t="shared" si="32"/>
        <v>0</v>
      </c>
    </row>
    <row r="508" spans="1:9">
      <c r="A508">
        <v>507</v>
      </c>
      <c r="B508">
        <v>16</v>
      </c>
      <c r="C508">
        <v>9000</v>
      </c>
      <c r="D508">
        <v>9476</v>
      </c>
      <c r="E508" s="5">
        <f t="shared" si="29"/>
        <v>476</v>
      </c>
      <c r="F508" s="5">
        <f t="shared" si="30"/>
        <v>226576</v>
      </c>
      <c r="G508" s="6">
        <f>SQRT(SUM($F$2:F508)/A508)</f>
        <v>1200.7916553697075</v>
      </c>
      <c r="H508" s="5">
        <f t="shared" si="31"/>
        <v>1</v>
      </c>
      <c r="I508" s="5">
        <f t="shared" si="32"/>
        <v>1</v>
      </c>
    </row>
    <row r="509" spans="1:9">
      <c r="A509">
        <v>508</v>
      </c>
      <c r="B509">
        <v>13</v>
      </c>
      <c r="C509">
        <v>9000</v>
      </c>
      <c r="D509">
        <v>7627</v>
      </c>
      <c r="E509" s="5">
        <f t="shared" si="29"/>
        <v>1373</v>
      </c>
      <c r="F509" s="5">
        <f t="shared" si="30"/>
        <v>1885129</v>
      </c>
      <c r="G509" s="6">
        <f>SQRT(SUM($F$2:F509)/A509)</f>
        <v>1201.1549011083846</v>
      </c>
      <c r="H509" s="5">
        <f t="shared" si="31"/>
        <v>1</v>
      </c>
      <c r="I509" s="5">
        <f t="shared" si="32"/>
        <v>0</v>
      </c>
    </row>
    <row r="510" spans="1:9">
      <c r="A510">
        <v>509</v>
      </c>
      <c r="B510">
        <v>16</v>
      </c>
      <c r="C510">
        <v>9000</v>
      </c>
      <c r="D510">
        <v>9518</v>
      </c>
      <c r="E510" s="5">
        <f t="shared" si="29"/>
        <v>518</v>
      </c>
      <c r="F510" s="5">
        <f t="shared" si="30"/>
        <v>268324</v>
      </c>
      <c r="G510" s="6">
        <f>SQRT(SUM($F$2:F510)/A510)</f>
        <v>1200.1940388307191</v>
      </c>
      <c r="H510" s="5">
        <f t="shared" si="31"/>
        <v>1</v>
      </c>
      <c r="I510" s="5">
        <f t="shared" si="32"/>
        <v>1</v>
      </c>
    </row>
    <row r="511" spans="1:9">
      <c r="A511">
        <v>510</v>
      </c>
      <c r="B511">
        <v>13</v>
      </c>
      <c r="C511">
        <v>9000</v>
      </c>
      <c r="D511">
        <v>8329</v>
      </c>
      <c r="E511" s="5">
        <f t="shared" si="29"/>
        <v>671</v>
      </c>
      <c r="F511" s="5">
        <f t="shared" si="30"/>
        <v>450241</v>
      </c>
      <c r="G511" s="6">
        <f>SQRT(SUM($F$2:F511)/A511)</f>
        <v>1199.3848897353553</v>
      </c>
      <c r="H511" s="5">
        <f t="shared" si="31"/>
        <v>1</v>
      </c>
      <c r="I511" s="5">
        <f t="shared" si="32"/>
        <v>1</v>
      </c>
    </row>
    <row r="512" spans="1:9">
      <c r="A512">
        <v>511</v>
      </c>
      <c r="B512">
        <v>15</v>
      </c>
      <c r="C512">
        <v>9000</v>
      </c>
      <c r="D512">
        <v>9085</v>
      </c>
      <c r="E512" s="5">
        <f t="shared" si="29"/>
        <v>85</v>
      </c>
      <c r="F512" s="5">
        <f t="shared" si="30"/>
        <v>7225</v>
      </c>
      <c r="G512" s="6">
        <f>SQRT(SUM($F$2:F512)/A512)</f>
        <v>1198.2166486017047</v>
      </c>
      <c r="H512" s="5">
        <f t="shared" si="31"/>
        <v>1</v>
      </c>
      <c r="I512" s="5">
        <f t="shared" si="32"/>
        <v>1</v>
      </c>
    </row>
    <row r="513" spans="1:9">
      <c r="A513">
        <v>512</v>
      </c>
      <c r="B513">
        <v>14</v>
      </c>
      <c r="C513">
        <v>9000</v>
      </c>
      <c r="D513">
        <v>8938</v>
      </c>
      <c r="E513" s="5">
        <f t="shared" si="29"/>
        <v>62</v>
      </c>
      <c r="F513" s="5">
        <f t="shared" si="30"/>
        <v>3844</v>
      </c>
      <c r="G513" s="6">
        <f>SQRT(SUM($F$2:F513)/A513)</f>
        <v>1197.0490792139121</v>
      </c>
      <c r="H513" s="5">
        <f t="shared" si="31"/>
        <v>1</v>
      </c>
      <c r="I513" s="5">
        <f t="shared" si="32"/>
        <v>1</v>
      </c>
    </row>
    <row r="514" spans="1:9">
      <c r="A514">
        <v>513</v>
      </c>
      <c r="B514">
        <v>14</v>
      </c>
      <c r="C514">
        <v>9000</v>
      </c>
      <c r="D514">
        <v>8856</v>
      </c>
      <c r="E514" s="5">
        <f t="shared" si="29"/>
        <v>144</v>
      </c>
      <c r="F514" s="5">
        <f t="shared" si="30"/>
        <v>20736</v>
      </c>
      <c r="G514" s="6">
        <f>SQRT(SUM($F$2:F514)/A514)</f>
        <v>1195.8986955668443</v>
      </c>
      <c r="H514" s="5">
        <f t="shared" si="31"/>
        <v>1</v>
      </c>
      <c r="I514" s="5">
        <f t="shared" si="32"/>
        <v>1</v>
      </c>
    </row>
    <row r="515" spans="1:9">
      <c r="A515">
        <v>514</v>
      </c>
      <c r="B515">
        <v>14</v>
      </c>
      <c r="C515">
        <v>9000</v>
      </c>
      <c r="D515">
        <v>8745</v>
      </c>
      <c r="E515" s="5">
        <f t="shared" ref="E515:E578" si="33">ABS(C515-D515)</f>
        <v>255</v>
      </c>
      <c r="F515" s="5">
        <f t="shared" ref="F515:F578" si="34">POWER(E515,2)</f>
        <v>65025</v>
      </c>
      <c r="G515" s="6">
        <f>SQRT(SUM($F$2:F515)/A515)</f>
        <v>1194.7877463193468</v>
      </c>
      <c r="H515" s="5">
        <f t="shared" ref="H515:H578" si="35">IF(ABS(E515)/C515&gt;0.2,0,1)</f>
        <v>1</v>
      </c>
      <c r="I515" s="5">
        <f t="shared" ref="I515:I578" si="36">IF(ABS(E515)/C515&gt;0.1,0,1)</f>
        <v>1</v>
      </c>
    </row>
    <row r="516" spans="1:9">
      <c r="A516">
        <v>515</v>
      </c>
      <c r="B516">
        <v>15</v>
      </c>
      <c r="C516">
        <v>9000</v>
      </c>
      <c r="D516">
        <v>8793</v>
      </c>
      <c r="E516" s="5">
        <f t="shared" si="33"/>
        <v>207</v>
      </c>
      <c r="F516" s="5">
        <f t="shared" si="34"/>
        <v>42849</v>
      </c>
      <c r="G516" s="6">
        <f>SQRT(SUM($F$2:F516)/A516)</f>
        <v>1193.6620466251736</v>
      </c>
      <c r="H516" s="5">
        <f t="shared" si="35"/>
        <v>1</v>
      </c>
      <c r="I516" s="5">
        <f t="shared" si="36"/>
        <v>1</v>
      </c>
    </row>
    <row r="517" spans="1:9">
      <c r="A517">
        <v>516</v>
      </c>
      <c r="B517">
        <v>15</v>
      </c>
      <c r="C517">
        <v>9000</v>
      </c>
      <c r="D517">
        <v>9262</v>
      </c>
      <c r="E517" s="5">
        <f t="shared" si="33"/>
        <v>262</v>
      </c>
      <c r="F517" s="5">
        <f t="shared" si="34"/>
        <v>68644</v>
      </c>
      <c r="G517" s="6">
        <f>SQRT(SUM($F$2:F517)/A517)</f>
        <v>1192.5606130891097</v>
      </c>
      <c r="H517" s="5">
        <f t="shared" si="35"/>
        <v>1</v>
      </c>
      <c r="I517" s="5">
        <f t="shared" si="36"/>
        <v>1</v>
      </c>
    </row>
    <row r="518" spans="1:9">
      <c r="A518">
        <v>517</v>
      </c>
      <c r="B518">
        <v>14</v>
      </c>
      <c r="C518">
        <v>9000</v>
      </c>
      <c r="D518">
        <v>8516</v>
      </c>
      <c r="E518" s="5">
        <f t="shared" si="33"/>
        <v>484</v>
      </c>
      <c r="F518" s="5">
        <f t="shared" si="34"/>
        <v>234256</v>
      </c>
      <c r="G518" s="6">
        <f>SQRT(SUM($F$2:F518)/A518)</f>
        <v>1191.5968488923322</v>
      </c>
      <c r="H518" s="5">
        <f t="shared" si="35"/>
        <v>1</v>
      </c>
      <c r="I518" s="5">
        <f t="shared" si="36"/>
        <v>1</v>
      </c>
    </row>
    <row r="519" spans="1:9">
      <c r="A519">
        <v>518</v>
      </c>
      <c r="B519">
        <v>15</v>
      </c>
      <c r="C519">
        <v>9000</v>
      </c>
      <c r="D519">
        <v>9113</v>
      </c>
      <c r="E519" s="5">
        <f t="shared" si="33"/>
        <v>113</v>
      </c>
      <c r="F519" s="5">
        <f t="shared" si="34"/>
        <v>12769</v>
      </c>
      <c r="G519" s="6">
        <f>SQRT(SUM($F$2:F519)/A519)</f>
        <v>1190.4564566961596</v>
      </c>
      <c r="H519" s="5">
        <f t="shared" si="35"/>
        <v>1</v>
      </c>
      <c r="I519" s="5">
        <f t="shared" si="36"/>
        <v>1</v>
      </c>
    </row>
    <row r="520" spans="1:9">
      <c r="A520">
        <v>519</v>
      </c>
      <c r="B520">
        <v>14</v>
      </c>
      <c r="C520">
        <v>9000</v>
      </c>
      <c r="D520">
        <v>8786</v>
      </c>
      <c r="E520" s="5">
        <f t="shared" si="33"/>
        <v>214</v>
      </c>
      <c r="F520" s="5">
        <f t="shared" si="34"/>
        <v>45796</v>
      </c>
      <c r="G520" s="6">
        <f>SQRT(SUM($F$2:F520)/A520)</f>
        <v>1189.3461246579654</v>
      </c>
      <c r="H520" s="5">
        <f t="shared" si="35"/>
        <v>1</v>
      </c>
      <c r="I520" s="5">
        <f t="shared" si="36"/>
        <v>1</v>
      </c>
    </row>
    <row r="521" spans="1:9">
      <c r="A521">
        <v>520</v>
      </c>
      <c r="B521">
        <v>15</v>
      </c>
      <c r="C521">
        <v>9000</v>
      </c>
      <c r="D521">
        <v>8529</v>
      </c>
      <c r="E521" s="5">
        <f t="shared" si="33"/>
        <v>471</v>
      </c>
      <c r="F521" s="5">
        <f t="shared" si="34"/>
        <v>221841</v>
      </c>
      <c r="G521" s="6">
        <f>SQRT(SUM($F$2:F521)/A521)</f>
        <v>1188.3814809356334</v>
      </c>
      <c r="H521" s="5">
        <f t="shared" si="35"/>
        <v>1</v>
      </c>
      <c r="I521" s="5">
        <f t="shared" si="36"/>
        <v>1</v>
      </c>
    </row>
    <row r="522" spans="1:9">
      <c r="A522">
        <v>521</v>
      </c>
      <c r="B522">
        <v>15</v>
      </c>
      <c r="C522">
        <v>9000</v>
      </c>
      <c r="D522">
        <v>8852</v>
      </c>
      <c r="E522" s="5">
        <f t="shared" si="33"/>
        <v>148</v>
      </c>
      <c r="F522" s="5">
        <f t="shared" si="34"/>
        <v>21904</v>
      </c>
      <c r="G522" s="6">
        <f>SQRT(SUM($F$2:F522)/A522)</f>
        <v>1187.2581576142136</v>
      </c>
      <c r="H522" s="5">
        <f t="shared" si="35"/>
        <v>1</v>
      </c>
      <c r="I522" s="5">
        <f t="shared" si="36"/>
        <v>1</v>
      </c>
    </row>
    <row r="523" spans="1:9">
      <c r="A523">
        <v>522</v>
      </c>
      <c r="B523">
        <v>15</v>
      </c>
      <c r="C523">
        <v>9000</v>
      </c>
      <c r="D523">
        <v>9269</v>
      </c>
      <c r="E523" s="5">
        <f t="shared" si="33"/>
        <v>269</v>
      </c>
      <c r="F523" s="5">
        <f t="shared" si="34"/>
        <v>72361</v>
      </c>
      <c r="G523" s="6">
        <f>SQRT(SUM($F$2:F523)/A523)</f>
        <v>1186.1788258507027</v>
      </c>
      <c r="H523" s="5">
        <f t="shared" si="35"/>
        <v>1</v>
      </c>
      <c r="I523" s="5">
        <f t="shared" si="36"/>
        <v>1</v>
      </c>
    </row>
    <row r="524" spans="1:9">
      <c r="A524">
        <v>523</v>
      </c>
      <c r="B524">
        <v>14</v>
      </c>
      <c r="C524">
        <v>9000</v>
      </c>
      <c r="D524">
        <v>8284</v>
      </c>
      <c r="E524" s="5">
        <f t="shared" si="33"/>
        <v>716</v>
      </c>
      <c r="F524" s="5">
        <f t="shared" si="34"/>
        <v>512656</v>
      </c>
      <c r="G524" s="6">
        <f>SQRT(SUM($F$2:F524)/A524)</f>
        <v>1185.4577771862632</v>
      </c>
      <c r="H524" s="5">
        <f t="shared" si="35"/>
        <v>1</v>
      </c>
      <c r="I524" s="5">
        <f t="shared" si="36"/>
        <v>1</v>
      </c>
    </row>
    <row r="525" spans="1:9">
      <c r="A525">
        <v>524</v>
      </c>
      <c r="B525">
        <v>16</v>
      </c>
      <c r="C525">
        <v>9000</v>
      </c>
      <c r="D525">
        <v>9991</v>
      </c>
      <c r="E525" s="5">
        <f t="shared" si="33"/>
        <v>991</v>
      </c>
      <c r="F525" s="5">
        <f t="shared" si="34"/>
        <v>982081</v>
      </c>
      <c r="G525" s="6">
        <f>SQRT(SUM($F$2:F525)/A525)</f>
        <v>1185.1170626946844</v>
      </c>
      <c r="H525" s="5">
        <f t="shared" si="35"/>
        <v>1</v>
      </c>
      <c r="I525" s="5">
        <f t="shared" si="36"/>
        <v>0</v>
      </c>
    </row>
    <row r="526" spans="1:9">
      <c r="A526">
        <v>525</v>
      </c>
      <c r="B526">
        <v>13</v>
      </c>
      <c r="C526">
        <v>9000</v>
      </c>
      <c r="D526">
        <v>8125</v>
      </c>
      <c r="E526" s="5">
        <f t="shared" si="33"/>
        <v>875</v>
      </c>
      <c r="F526" s="5">
        <f t="shared" si="34"/>
        <v>765625</v>
      </c>
      <c r="G526" s="6">
        <f>SQRT(SUM($F$2:F526)/A526)</f>
        <v>1184.6035382595912</v>
      </c>
      <c r="H526" s="5">
        <f t="shared" si="35"/>
        <v>1</v>
      </c>
      <c r="I526" s="5">
        <f t="shared" si="36"/>
        <v>1</v>
      </c>
    </row>
    <row r="527" spans="1:9">
      <c r="A527">
        <v>526</v>
      </c>
      <c r="B527">
        <v>16</v>
      </c>
      <c r="C527">
        <v>9000</v>
      </c>
      <c r="D527">
        <v>9931</v>
      </c>
      <c r="E527" s="5">
        <f t="shared" si="33"/>
        <v>931</v>
      </c>
      <c r="F527" s="5">
        <f t="shared" si="34"/>
        <v>866761</v>
      </c>
      <c r="G527" s="6">
        <f>SQRT(SUM($F$2:F527)/A527)</f>
        <v>1184.1729325653971</v>
      </c>
      <c r="H527" s="5">
        <f t="shared" si="35"/>
        <v>1</v>
      </c>
      <c r="I527" s="5">
        <f t="shared" si="36"/>
        <v>0</v>
      </c>
    </row>
    <row r="528" spans="1:9">
      <c r="A528">
        <v>527</v>
      </c>
      <c r="B528">
        <v>13</v>
      </c>
      <c r="C528">
        <v>9000</v>
      </c>
      <c r="D528">
        <v>8643</v>
      </c>
      <c r="E528" s="5">
        <f t="shared" si="33"/>
        <v>357</v>
      </c>
      <c r="F528" s="5">
        <f t="shared" si="34"/>
        <v>127449</v>
      </c>
      <c r="G528" s="6">
        <f>SQRT(SUM($F$2:F528)/A528)</f>
        <v>1183.1511008802854</v>
      </c>
      <c r="H528" s="5">
        <f t="shared" si="35"/>
        <v>1</v>
      </c>
      <c r="I528" s="5">
        <f t="shared" si="36"/>
        <v>1</v>
      </c>
    </row>
    <row r="529" spans="1:9">
      <c r="A529">
        <v>528</v>
      </c>
      <c r="B529">
        <v>15</v>
      </c>
      <c r="C529">
        <v>9000</v>
      </c>
      <c r="D529">
        <v>8838</v>
      </c>
      <c r="E529" s="5">
        <f t="shared" si="33"/>
        <v>162</v>
      </c>
      <c r="F529" s="5">
        <f t="shared" si="34"/>
        <v>26244</v>
      </c>
      <c r="G529" s="6">
        <f>SQRT(SUM($F$2:F529)/A529)</f>
        <v>1182.0511865294825</v>
      </c>
      <c r="H529" s="5">
        <f t="shared" si="35"/>
        <v>1</v>
      </c>
      <c r="I529" s="5">
        <f t="shared" si="36"/>
        <v>1</v>
      </c>
    </row>
    <row r="530" spans="1:9">
      <c r="A530">
        <v>529</v>
      </c>
      <c r="B530">
        <v>15</v>
      </c>
      <c r="C530">
        <v>9000</v>
      </c>
      <c r="D530">
        <v>9993</v>
      </c>
      <c r="E530" s="5">
        <f t="shared" si="33"/>
        <v>993</v>
      </c>
      <c r="F530" s="5">
        <f t="shared" si="34"/>
        <v>986049</v>
      </c>
      <c r="G530" s="6">
        <f>SQRT(SUM($F$2:F530)/A530)</f>
        <v>1181.722344475593</v>
      </c>
      <c r="H530" s="5">
        <f t="shared" si="35"/>
        <v>1</v>
      </c>
      <c r="I530" s="5">
        <f t="shared" si="36"/>
        <v>0</v>
      </c>
    </row>
    <row r="531" spans="1:9">
      <c r="A531">
        <v>530</v>
      </c>
      <c r="B531">
        <v>13</v>
      </c>
      <c r="C531">
        <v>9000</v>
      </c>
      <c r="D531">
        <v>8566</v>
      </c>
      <c r="E531" s="5">
        <f t="shared" si="33"/>
        <v>434</v>
      </c>
      <c r="F531" s="5">
        <f t="shared" si="34"/>
        <v>188356</v>
      </c>
      <c r="G531" s="6">
        <f>SQRT(SUM($F$2:F531)/A531)</f>
        <v>1180.7574871226632</v>
      </c>
      <c r="H531" s="5">
        <f t="shared" si="35"/>
        <v>1</v>
      </c>
      <c r="I531" s="5">
        <f t="shared" si="36"/>
        <v>1</v>
      </c>
    </row>
    <row r="532" spans="1:9">
      <c r="A532">
        <v>531</v>
      </c>
      <c r="B532">
        <v>15</v>
      </c>
      <c r="C532">
        <v>9000</v>
      </c>
      <c r="D532">
        <v>9009</v>
      </c>
      <c r="E532" s="5">
        <f t="shared" si="33"/>
        <v>9</v>
      </c>
      <c r="F532" s="5">
        <f t="shared" si="34"/>
        <v>81</v>
      </c>
      <c r="G532" s="6">
        <f>SQRT(SUM($F$2:F532)/A532)</f>
        <v>1179.6452034515994</v>
      </c>
      <c r="H532" s="5">
        <f t="shared" si="35"/>
        <v>1</v>
      </c>
      <c r="I532" s="5">
        <f t="shared" si="36"/>
        <v>1</v>
      </c>
    </row>
    <row r="533" spans="1:9">
      <c r="A533">
        <v>532</v>
      </c>
      <c r="B533">
        <v>14</v>
      </c>
      <c r="C533">
        <v>9000</v>
      </c>
      <c r="D533">
        <v>8671</v>
      </c>
      <c r="E533" s="5">
        <f t="shared" si="33"/>
        <v>329</v>
      </c>
      <c r="F533" s="5">
        <f t="shared" si="34"/>
        <v>108241</v>
      </c>
      <c r="G533" s="6">
        <f>SQRT(SUM($F$2:F533)/A533)</f>
        <v>1178.6223088812128</v>
      </c>
      <c r="H533" s="5">
        <f t="shared" si="35"/>
        <v>1</v>
      </c>
      <c r="I533" s="5">
        <f t="shared" si="36"/>
        <v>1</v>
      </c>
    </row>
    <row r="534" spans="1:9">
      <c r="A534">
        <v>533</v>
      </c>
      <c r="B534">
        <v>15</v>
      </c>
      <c r="C534">
        <v>9000</v>
      </c>
      <c r="D534">
        <v>8522</v>
      </c>
      <c r="E534" s="5">
        <f t="shared" si="33"/>
        <v>478</v>
      </c>
      <c r="F534" s="5">
        <f t="shared" si="34"/>
        <v>228484</v>
      </c>
      <c r="G534" s="6">
        <f>SQRT(SUM($F$2:F534)/A534)</f>
        <v>1177.6981515694636</v>
      </c>
      <c r="H534" s="5">
        <f t="shared" si="35"/>
        <v>1</v>
      </c>
      <c r="I534" s="5">
        <f t="shared" si="36"/>
        <v>1</v>
      </c>
    </row>
    <row r="535" spans="1:9">
      <c r="A535">
        <v>534</v>
      </c>
      <c r="B535">
        <v>15</v>
      </c>
      <c r="C535">
        <v>9000</v>
      </c>
      <c r="D535">
        <v>8784</v>
      </c>
      <c r="E535" s="5">
        <f t="shared" si="33"/>
        <v>216</v>
      </c>
      <c r="F535" s="5">
        <f t="shared" si="34"/>
        <v>46656</v>
      </c>
      <c r="G535" s="6">
        <f>SQRT(SUM($F$2:F535)/A535)</f>
        <v>1176.6320492833556</v>
      </c>
      <c r="H535" s="5">
        <f t="shared" si="35"/>
        <v>1</v>
      </c>
      <c r="I535" s="5">
        <f t="shared" si="36"/>
        <v>1</v>
      </c>
    </row>
    <row r="536" spans="1:9">
      <c r="A536">
        <v>535</v>
      </c>
      <c r="B536">
        <v>15</v>
      </c>
      <c r="C536">
        <v>9000</v>
      </c>
      <c r="D536">
        <v>9131</v>
      </c>
      <c r="E536" s="5">
        <f t="shared" si="33"/>
        <v>131</v>
      </c>
      <c r="F536" s="5">
        <f t="shared" si="34"/>
        <v>17161</v>
      </c>
      <c r="G536" s="6">
        <f>SQRT(SUM($F$2:F536)/A536)</f>
        <v>1175.5455222008015</v>
      </c>
      <c r="H536" s="5">
        <f t="shared" si="35"/>
        <v>1</v>
      </c>
      <c r="I536" s="5">
        <f t="shared" si="36"/>
        <v>1</v>
      </c>
    </row>
    <row r="537" spans="1:9">
      <c r="A537">
        <v>536</v>
      </c>
      <c r="B537">
        <v>15</v>
      </c>
      <c r="C537">
        <v>9000</v>
      </c>
      <c r="D537">
        <v>8769</v>
      </c>
      <c r="E537" s="5">
        <f t="shared" si="33"/>
        <v>231</v>
      </c>
      <c r="F537" s="5">
        <f t="shared" si="34"/>
        <v>53361</v>
      </c>
      <c r="G537" s="6">
        <f>SQRT(SUM($F$2:F537)/A537)</f>
        <v>1174.4908018612646</v>
      </c>
      <c r="H537" s="5">
        <f t="shared" si="35"/>
        <v>1</v>
      </c>
      <c r="I537" s="5">
        <f t="shared" si="36"/>
        <v>1</v>
      </c>
    </row>
    <row r="538" spans="1:9">
      <c r="A538">
        <v>537</v>
      </c>
      <c r="B538">
        <v>15</v>
      </c>
      <c r="C538">
        <v>9000</v>
      </c>
      <c r="D538">
        <v>8613</v>
      </c>
      <c r="E538" s="5">
        <f t="shared" si="33"/>
        <v>387</v>
      </c>
      <c r="F538" s="5">
        <f t="shared" si="34"/>
        <v>149769</v>
      </c>
      <c r="G538" s="6">
        <f>SQRT(SUM($F$2:F538)/A538)</f>
        <v>1173.5155621780716</v>
      </c>
      <c r="H538" s="5">
        <f t="shared" si="35"/>
        <v>1</v>
      </c>
      <c r="I538" s="5">
        <f t="shared" si="36"/>
        <v>1</v>
      </c>
    </row>
    <row r="539" spans="1:9">
      <c r="A539">
        <v>538</v>
      </c>
      <c r="B539">
        <v>15</v>
      </c>
      <c r="C539">
        <v>9000</v>
      </c>
      <c r="D539">
        <v>8980</v>
      </c>
      <c r="E539" s="5">
        <f t="shared" si="33"/>
        <v>20</v>
      </c>
      <c r="F539" s="5">
        <f t="shared" si="34"/>
        <v>400</v>
      </c>
      <c r="G539" s="6">
        <f>SQRT(SUM($F$2:F539)/A539)</f>
        <v>1172.4247441388914</v>
      </c>
      <c r="H539" s="5">
        <f t="shared" si="35"/>
        <v>1</v>
      </c>
      <c r="I539" s="5">
        <f t="shared" si="36"/>
        <v>1</v>
      </c>
    </row>
    <row r="540" spans="1:9">
      <c r="A540">
        <v>539</v>
      </c>
      <c r="B540">
        <v>15</v>
      </c>
      <c r="C540">
        <v>9000</v>
      </c>
      <c r="D540">
        <v>8504</v>
      </c>
      <c r="E540" s="5">
        <f t="shared" si="33"/>
        <v>496</v>
      </c>
      <c r="F540" s="5">
        <f t="shared" si="34"/>
        <v>246016</v>
      </c>
      <c r="G540" s="6">
        <f>SQRT(SUM($F$2:F540)/A540)</f>
        <v>1171.5314636472206</v>
      </c>
      <c r="H540" s="5">
        <f t="shared" si="35"/>
        <v>1</v>
      </c>
      <c r="I540" s="5">
        <f t="shared" si="36"/>
        <v>1</v>
      </c>
    </row>
    <row r="541" spans="1:9">
      <c r="A541">
        <v>540</v>
      </c>
      <c r="B541">
        <v>16</v>
      </c>
      <c r="C541">
        <v>9000</v>
      </c>
      <c r="D541">
        <v>9800</v>
      </c>
      <c r="E541" s="5">
        <f t="shared" si="33"/>
        <v>800</v>
      </c>
      <c r="F541" s="5">
        <f t="shared" si="34"/>
        <v>640000</v>
      </c>
      <c r="G541" s="6">
        <f>SQRT(SUM($F$2:F541)/A541)</f>
        <v>1170.952396476823</v>
      </c>
      <c r="H541" s="5">
        <f t="shared" si="35"/>
        <v>1</v>
      </c>
      <c r="I541" s="5">
        <f t="shared" si="36"/>
        <v>1</v>
      </c>
    </row>
    <row r="542" spans="1:9">
      <c r="A542">
        <v>541</v>
      </c>
      <c r="B542">
        <v>14</v>
      </c>
      <c r="C542">
        <v>9000</v>
      </c>
      <c r="D542">
        <v>7769</v>
      </c>
      <c r="E542" s="5">
        <f t="shared" si="33"/>
        <v>1231</v>
      </c>
      <c r="F542" s="5">
        <f t="shared" si="34"/>
        <v>1515361</v>
      </c>
      <c r="G542" s="6">
        <f>SQRT(SUM($F$2:F542)/A542)</f>
        <v>1171.0662305997114</v>
      </c>
      <c r="H542" s="5">
        <f t="shared" si="35"/>
        <v>1</v>
      </c>
      <c r="I542" s="5">
        <f t="shared" si="36"/>
        <v>0</v>
      </c>
    </row>
    <row r="543" spans="1:9">
      <c r="A543">
        <v>542</v>
      </c>
      <c r="B543">
        <v>16</v>
      </c>
      <c r="C543">
        <v>9000</v>
      </c>
      <c r="D543">
        <v>9544</v>
      </c>
      <c r="E543" s="5">
        <f t="shared" si="33"/>
        <v>544</v>
      </c>
      <c r="F543" s="5">
        <f t="shared" si="34"/>
        <v>295936</v>
      </c>
      <c r="G543" s="6">
        <f>SQRT(SUM($F$2:F543)/A543)</f>
        <v>1170.2187285690343</v>
      </c>
      <c r="H543" s="5">
        <f t="shared" si="35"/>
        <v>1</v>
      </c>
      <c r="I543" s="5">
        <f t="shared" si="36"/>
        <v>1</v>
      </c>
    </row>
    <row r="544" spans="1:9">
      <c r="A544">
        <v>543</v>
      </c>
      <c r="B544">
        <v>14</v>
      </c>
      <c r="C544">
        <v>9000</v>
      </c>
      <c r="D544">
        <v>8194</v>
      </c>
      <c r="E544" s="5">
        <f t="shared" si="33"/>
        <v>806</v>
      </c>
      <c r="F544" s="5">
        <f t="shared" si="34"/>
        <v>649636</v>
      </c>
      <c r="G544" s="6">
        <f>SQRT(SUM($F$2:F544)/A544)</f>
        <v>1169.6522212180714</v>
      </c>
      <c r="H544" s="5">
        <f t="shared" si="35"/>
        <v>1</v>
      </c>
      <c r="I544" s="5">
        <f t="shared" si="36"/>
        <v>1</v>
      </c>
    </row>
    <row r="545" spans="1:9">
      <c r="A545">
        <v>544</v>
      </c>
      <c r="B545">
        <v>16</v>
      </c>
      <c r="C545">
        <v>9000</v>
      </c>
      <c r="D545">
        <v>9304</v>
      </c>
      <c r="E545" s="5">
        <f t="shared" si="33"/>
        <v>304</v>
      </c>
      <c r="F545" s="5">
        <f t="shared" si="34"/>
        <v>92416</v>
      </c>
      <c r="G545" s="6">
        <f>SQRT(SUM($F$2:F545)/A545)</f>
        <v>1168.6493641794611</v>
      </c>
      <c r="H545" s="5">
        <f t="shared" si="35"/>
        <v>1</v>
      </c>
      <c r="I545" s="5">
        <f t="shared" si="36"/>
        <v>1</v>
      </c>
    </row>
    <row r="546" spans="1:9">
      <c r="A546">
        <v>545</v>
      </c>
      <c r="B546">
        <v>15</v>
      </c>
      <c r="C546">
        <v>9000</v>
      </c>
      <c r="D546">
        <v>9212</v>
      </c>
      <c r="E546" s="5">
        <f t="shared" si="33"/>
        <v>212</v>
      </c>
      <c r="F546" s="5">
        <f t="shared" si="34"/>
        <v>44944</v>
      </c>
      <c r="G546" s="6">
        <f>SQRT(SUM($F$2:F546)/A546)</f>
        <v>1167.6120310470733</v>
      </c>
      <c r="H546" s="5">
        <f t="shared" si="35"/>
        <v>1</v>
      </c>
      <c r="I546" s="5">
        <f t="shared" si="36"/>
        <v>1</v>
      </c>
    </row>
    <row r="547" spans="1:9">
      <c r="A547">
        <v>546</v>
      </c>
      <c r="B547">
        <v>15</v>
      </c>
      <c r="C547">
        <v>9000</v>
      </c>
      <c r="D547">
        <v>8946</v>
      </c>
      <c r="E547" s="5">
        <f t="shared" si="33"/>
        <v>54</v>
      </c>
      <c r="F547" s="5">
        <f t="shared" si="34"/>
        <v>2916</v>
      </c>
      <c r="G547" s="6">
        <f>SQRT(SUM($F$2:F547)/A547)</f>
        <v>1166.5445883277573</v>
      </c>
      <c r="H547" s="5">
        <f t="shared" si="35"/>
        <v>1</v>
      </c>
      <c r="I547" s="5">
        <f t="shared" si="36"/>
        <v>1</v>
      </c>
    </row>
    <row r="548" spans="1:9">
      <c r="A548">
        <v>547</v>
      </c>
      <c r="B548">
        <v>15</v>
      </c>
      <c r="C548">
        <v>9000</v>
      </c>
      <c r="D548">
        <v>8757</v>
      </c>
      <c r="E548" s="5">
        <f t="shared" si="33"/>
        <v>243</v>
      </c>
      <c r="F548" s="5">
        <f t="shared" si="34"/>
        <v>59049</v>
      </c>
      <c r="G548" s="6">
        <f>SQRT(SUM($F$2:F548)/A548)</f>
        <v>1165.5241000459553</v>
      </c>
      <c r="H548" s="5">
        <f t="shared" si="35"/>
        <v>1</v>
      </c>
      <c r="I548" s="5">
        <f t="shared" si="36"/>
        <v>1</v>
      </c>
    </row>
    <row r="549" spans="1:9">
      <c r="A549">
        <v>548</v>
      </c>
      <c r="B549">
        <v>15</v>
      </c>
      <c r="C549">
        <v>9000</v>
      </c>
      <c r="D549">
        <v>9037</v>
      </c>
      <c r="E549" s="5">
        <f t="shared" si="33"/>
        <v>37</v>
      </c>
      <c r="F549" s="5">
        <f t="shared" si="34"/>
        <v>1369</v>
      </c>
      <c r="G549" s="6">
        <f>SQRT(SUM($F$2:F549)/A549)</f>
        <v>1164.4612527362547</v>
      </c>
      <c r="H549" s="5">
        <f t="shared" si="35"/>
        <v>1</v>
      </c>
      <c r="I549" s="5">
        <f t="shared" si="36"/>
        <v>1</v>
      </c>
    </row>
    <row r="550" spans="1:9">
      <c r="A550">
        <v>549</v>
      </c>
      <c r="B550">
        <v>15</v>
      </c>
      <c r="C550">
        <v>9000</v>
      </c>
      <c r="D550">
        <v>8514</v>
      </c>
      <c r="E550" s="5">
        <f t="shared" si="33"/>
        <v>486</v>
      </c>
      <c r="F550" s="5">
        <f t="shared" si="34"/>
        <v>236196</v>
      </c>
      <c r="G550" s="6">
        <f>SQRT(SUM($F$2:F550)/A550)</f>
        <v>1163.5851270557228</v>
      </c>
      <c r="H550" s="5">
        <f t="shared" si="35"/>
        <v>1</v>
      </c>
      <c r="I550" s="5">
        <f t="shared" si="36"/>
        <v>1</v>
      </c>
    </row>
    <row r="551" spans="1:9">
      <c r="A551">
        <v>550</v>
      </c>
      <c r="B551">
        <v>16</v>
      </c>
      <c r="C551">
        <v>9000</v>
      </c>
      <c r="D551">
        <v>9213</v>
      </c>
      <c r="E551" s="5">
        <f t="shared" si="33"/>
        <v>213</v>
      </c>
      <c r="F551" s="5">
        <f t="shared" si="34"/>
        <v>45369</v>
      </c>
      <c r="G551" s="6">
        <f>SQRT(SUM($F$2:F551)/A551)</f>
        <v>1162.562318955223</v>
      </c>
      <c r="H551" s="5">
        <f t="shared" si="35"/>
        <v>1</v>
      </c>
      <c r="I551" s="5">
        <f t="shared" si="36"/>
        <v>1</v>
      </c>
    </row>
    <row r="552" spans="1:9">
      <c r="A552">
        <v>551</v>
      </c>
      <c r="B552">
        <v>15</v>
      </c>
      <c r="C552">
        <v>9000</v>
      </c>
      <c r="D552">
        <v>8442</v>
      </c>
      <c r="E552" s="5">
        <f t="shared" si="33"/>
        <v>558</v>
      </c>
      <c r="F552" s="5">
        <f t="shared" si="34"/>
        <v>311364</v>
      </c>
      <c r="G552" s="6">
        <f>SQRT(SUM($F$2:F552)/A552)</f>
        <v>1161.7501144797222</v>
      </c>
      <c r="H552" s="5">
        <f t="shared" si="35"/>
        <v>1</v>
      </c>
      <c r="I552" s="5">
        <f t="shared" si="36"/>
        <v>1</v>
      </c>
    </row>
    <row r="553" spans="1:9">
      <c r="A553">
        <v>552</v>
      </c>
      <c r="B553">
        <v>16</v>
      </c>
      <c r="C553">
        <v>9000</v>
      </c>
      <c r="D553">
        <v>10671</v>
      </c>
      <c r="E553" s="5">
        <f t="shared" si="33"/>
        <v>1671</v>
      </c>
      <c r="F553" s="5">
        <f t="shared" si="34"/>
        <v>2792241</v>
      </c>
      <c r="G553" s="6">
        <f>SQRT(SUM($F$2:F553)/A553)</f>
        <v>1162.8743241814996</v>
      </c>
      <c r="H553" s="5">
        <f t="shared" si="35"/>
        <v>1</v>
      </c>
      <c r="I553" s="5">
        <f t="shared" si="36"/>
        <v>0</v>
      </c>
    </row>
    <row r="554" spans="1:9">
      <c r="A554">
        <v>553</v>
      </c>
      <c r="B554">
        <v>13</v>
      </c>
      <c r="C554">
        <v>9000</v>
      </c>
      <c r="D554">
        <v>8435</v>
      </c>
      <c r="E554" s="5">
        <f t="shared" si="33"/>
        <v>565</v>
      </c>
      <c r="F554" s="5">
        <f t="shared" si="34"/>
        <v>319225</v>
      </c>
      <c r="G554" s="6">
        <f>SQRT(SUM($F$2:F554)/A554)</f>
        <v>1162.0708272712711</v>
      </c>
      <c r="H554" s="5">
        <f t="shared" si="35"/>
        <v>1</v>
      </c>
      <c r="I554" s="5">
        <f t="shared" si="36"/>
        <v>1</v>
      </c>
    </row>
    <row r="555" spans="1:9">
      <c r="A555">
        <v>554</v>
      </c>
      <c r="B555">
        <v>16</v>
      </c>
      <c r="C555">
        <v>9000</v>
      </c>
      <c r="D555">
        <v>9603</v>
      </c>
      <c r="E555" s="5">
        <f t="shared" si="33"/>
        <v>603</v>
      </c>
      <c r="F555" s="5">
        <f t="shared" si="34"/>
        <v>363609</v>
      </c>
      <c r="G555" s="6">
        <f>SQRT(SUM($F$2:F555)/A555)</f>
        <v>1161.3041724141121</v>
      </c>
      <c r="H555" s="5">
        <f t="shared" si="35"/>
        <v>1</v>
      </c>
      <c r="I555" s="5">
        <f t="shared" si="36"/>
        <v>1</v>
      </c>
    </row>
    <row r="556" spans="1:9">
      <c r="A556">
        <v>555</v>
      </c>
      <c r="B556">
        <v>14</v>
      </c>
      <c r="C556">
        <v>9000</v>
      </c>
      <c r="D556">
        <v>8862</v>
      </c>
      <c r="E556" s="5">
        <f t="shared" si="33"/>
        <v>138</v>
      </c>
      <c r="F556" s="5">
        <f t="shared" si="34"/>
        <v>19044</v>
      </c>
      <c r="G556" s="6">
        <f>SQRT(SUM($F$2:F556)/A556)</f>
        <v>1160.2722676747624</v>
      </c>
      <c r="H556" s="5">
        <f t="shared" si="35"/>
        <v>1</v>
      </c>
      <c r="I556" s="5">
        <f t="shared" si="36"/>
        <v>1</v>
      </c>
    </row>
    <row r="557" spans="1:9">
      <c r="A557">
        <v>556</v>
      </c>
      <c r="B557">
        <v>15</v>
      </c>
      <c r="C557">
        <v>9000</v>
      </c>
      <c r="D557">
        <v>8963</v>
      </c>
      <c r="E557" s="5">
        <f t="shared" si="33"/>
        <v>37</v>
      </c>
      <c r="F557" s="5">
        <f t="shared" si="34"/>
        <v>1369</v>
      </c>
      <c r="G557" s="6">
        <f>SQRT(SUM($F$2:F557)/A557)</f>
        <v>1159.2294497924847</v>
      </c>
      <c r="H557" s="5">
        <f t="shared" si="35"/>
        <v>1</v>
      </c>
      <c r="I557" s="5">
        <f t="shared" si="36"/>
        <v>1</v>
      </c>
    </row>
    <row r="558" spans="1:9">
      <c r="A558">
        <v>557</v>
      </c>
      <c r="B558">
        <v>15</v>
      </c>
      <c r="C558">
        <v>9000</v>
      </c>
      <c r="D558">
        <v>9064</v>
      </c>
      <c r="E558" s="5">
        <f t="shared" si="33"/>
        <v>64</v>
      </c>
      <c r="F558" s="5">
        <f t="shared" si="34"/>
        <v>4096</v>
      </c>
      <c r="G558" s="6">
        <f>SQRT(SUM($F$2:F558)/A558)</f>
        <v>1158.1915560177772</v>
      </c>
      <c r="H558" s="5">
        <f t="shared" si="35"/>
        <v>1</v>
      </c>
      <c r="I558" s="5">
        <f t="shared" si="36"/>
        <v>1</v>
      </c>
    </row>
    <row r="559" spans="1:9">
      <c r="A559">
        <v>558</v>
      </c>
      <c r="B559">
        <v>15</v>
      </c>
      <c r="C559">
        <v>9000</v>
      </c>
      <c r="D559">
        <v>8884</v>
      </c>
      <c r="E559" s="5">
        <f t="shared" si="33"/>
        <v>116</v>
      </c>
      <c r="F559" s="5">
        <f t="shared" si="34"/>
        <v>13456</v>
      </c>
      <c r="G559" s="6">
        <f>SQRT(SUM($F$2:F559)/A559)</f>
        <v>1157.1637043692986</v>
      </c>
      <c r="H559" s="5">
        <f t="shared" si="35"/>
        <v>1</v>
      </c>
      <c r="I559" s="5">
        <f t="shared" si="36"/>
        <v>1</v>
      </c>
    </row>
    <row r="560" spans="1:9">
      <c r="A560">
        <v>559</v>
      </c>
      <c r="B560">
        <v>15</v>
      </c>
      <c r="C560">
        <v>9000</v>
      </c>
      <c r="D560">
        <v>9627</v>
      </c>
      <c r="E560" s="5">
        <f t="shared" si="33"/>
        <v>627</v>
      </c>
      <c r="F560" s="5">
        <f t="shared" si="34"/>
        <v>393129</v>
      </c>
      <c r="G560" s="6">
        <f>SQRT(SUM($F$2:F560)/A560)</f>
        <v>1156.4323205383394</v>
      </c>
      <c r="H560" s="5">
        <f t="shared" si="35"/>
        <v>1</v>
      </c>
      <c r="I560" s="5">
        <f t="shared" si="36"/>
        <v>1</v>
      </c>
    </row>
    <row r="561" spans="1:9">
      <c r="A561">
        <v>560</v>
      </c>
      <c r="B561">
        <v>14</v>
      </c>
      <c r="C561">
        <v>9000</v>
      </c>
      <c r="D561">
        <v>8691</v>
      </c>
      <c r="E561" s="5">
        <f t="shared" si="33"/>
        <v>309</v>
      </c>
      <c r="F561" s="5">
        <f t="shared" si="34"/>
        <v>95481</v>
      </c>
      <c r="G561" s="6">
        <f>SQRT(SUM($F$2:F561)/A561)</f>
        <v>1155.4731127489356</v>
      </c>
      <c r="H561" s="5">
        <f t="shared" si="35"/>
        <v>1</v>
      </c>
      <c r="I561" s="5">
        <f t="shared" si="36"/>
        <v>1</v>
      </c>
    </row>
    <row r="562" spans="1:9">
      <c r="A562">
        <v>561</v>
      </c>
      <c r="B562">
        <v>15</v>
      </c>
      <c r="C562">
        <v>9000</v>
      </c>
      <c r="D562">
        <v>9411</v>
      </c>
      <c r="E562" s="5">
        <f t="shared" si="33"/>
        <v>411</v>
      </c>
      <c r="F562" s="5">
        <f t="shared" si="34"/>
        <v>168921</v>
      </c>
      <c r="G562" s="6">
        <f>SQRT(SUM($F$2:F562)/A562)</f>
        <v>1154.5732248544491</v>
      </c>
      <c r="H562" s="5">
        <f t="shared" si="35"/>
        <v>1</v>
      </c>
      <c r="I562" s="5">
        <f t="shared" si="36"/>
        <v>1</v>
      </c>
    </row>
    <row r="563" spans="1:9">
      <c r="A563">
        <v>562</v>
      </c>
      <c r="B563">
        <v>14</v>
      </c>
      <c r="C563">
        <v>9000</v>
      </c>
      <c r="D563">
        <v>7664</v>
      </c>
      <c r="E563" s="5">
        <f t="shared" si="33"/>
        <v>1336</v>
      </c>
      <c r="F563" s="5">
        <f t="shared" si="34"/>
        <v>1784896</v>
      </c>
      <c r="G563" s="6">
        <f>SQRT(SUM($F$2:F563)/A563)</f>
        <v>1154.9213596496902</v>
      </c>
      <c r="H563" s="5">
        <f t="shared" si="35"/>
        <v>1</v>
      </c>
      <c r="I563" s="5">
        <f t="shared" si="36"/>
        <v>0</v>
      </c>
    </row>
    <row r="564" spans="1:9">
      <c r="A564">
        <v>563</v>
      </c>
      <c r="B564">
        <v>17</v>
      </c>
      <c r="C564">
        <v>9000</v>
      </c>
      <c r="D564">
        <v>9136</v>
      </c>
      <c r="E564" s="5">
        <f t="shared" si="33"/>
        <v>136</v>
      </c>
      <c r="F564" s="5">
        <f t="shared" si="34"/>
        <v>18496</v>
      </c>
      <c r="G564" s="6">
        <f>SQRT(SUM($F$2:F564)/A564)</f>
        <v>1153.9094541683862</v>
      </c>
      <c r="H564" s="5">
        <f t="shared" si="35"/>
        <v>1</v>
      </c>
      <c r="I564" s="5">
        <f t="shared" si="36"/>
        <v>1</v>
      </c>
    </row>
    <row r="565" spans="1:9">
      <c r="A565">
        <v>564</v>
      </c>
      <c r="B565">
        <v>15</v>
      </c>
      <c r="C565">
        <v>9000</v>
      </c>
      <c r="D565">
        <v>8324</v>
      </c>
      <c r="E565" s="5">
        <f t="shared" si="33"/>
        <v>676</v>
      </c>
      <c r="F565" s="5">
        <f t="shared" si="34"/>
        <v>456976</v>
      </c>
      <c r="G565" s="6">
        <f>SQRT(SUM($F$2:F565)/A565)</f>
        <v>1153.2373743030364</v>
      </c>
      <c r="H565" s="5">
        <f t="shared" si="35"/>
        <v>1</v>
      </c>
      <c r="I565" s="5">
        <f t="shared" si="36"/>
        <v>1</v>
      </c>
    </row>
    <row r="566" spans="1:9">
      <c r="A566">
        <v>565</v>
      </c>
      <c r="B566">
        <v>16</v>
      </c>
      <c r="C566">
        <v>9000</v>
      </c>
      <c r="D566">
        <v>7421</v>
      </c>
      <c r="E566" s="5">
        <f t="shared" si="33"/>
        <v>1579</v>
      </c>
      <c r="F566" s="5">
        <f t="shared" si="34"/>
        <v>2493241</v>
      </c>
      <c r="G566" s="6">
        <f>SQRT(SUM($F$2:F566)/A566)</f>
        <v>1154.1296947104297</v>
      </c>
      <c r="H566" s="5">
        <f t="shared" si="35"/>
        <v>1</v>
      </c>
      <c r="I566" s="5">
        <f t="shared" si="36"/>
        <v>0</v>
      </c>
    </row>
    <row r="567" spans="1:9">
      <c r="A567">
        <v>566</v>
      </c>
      <c r="B567">
        <v>18</v>
      </c>
      <c r="C567">
        <v>9000</v>
      </c>
      <c r="D567">
        <v>7493</v>
      </c>
      <c r="E567" s="5">
        <f t="shared" si="33"/>
        <v>1507</v>
      </c>
      <c r="F567" s="5">
        <f t="shared" si="34"/>
        <v>2271049</v>
      </c>
      <c r="G567" s="6">
        <f>SQRT(SUM($F$2:F567)/A567)</f>
        <v>1154.8482247730583</v>
      </c>
      <c r="H567" s="5">
        <f t="shared" si="35"/>
        <v>1</v>
      </c>
      <c r="I567" s="5">
        <f t="shared" si="36"/>
        <v>0</v>
      </c>
    </row>
    <row r="568" spans="1:9">
      <c r="A568">
        <v>567</v>
      </c>
      <c r="B568">
        <v>18</v>
      </c>
      <c r="C568">
        <v>9000</v>
      </c>
      <c r="D568">
        <v>10303</v>
      </c>
      <c r="E568" s="5">
        <f t="shared" si="33"/>
        <v>1303</v>
      </c>
      <c r="F568" s="5">
        <f t="shared" si="34"/>
        <v>1697809</v>
      </c>
      <c r="G568" s="6">
        <f>SQRT(SUM($F$2:F568)/A568)</f>
        <v>1155.1262419842408</v>
      </c>
      <c r="H568" s="5">
        <f t="shared" si="35"/>
        <v>1</v>
      </c>
      <c r="I568" s="5">
        <f t="shared" si="36"/>
        <v>0</v>
      </c>
    </row>
    <row r="569" spans="1:9">
      <c r="A569">
        <v>568</v>
      </c>
      <c r="B569">
        <v>14</v>
      </c>
      <c r="C569">
        <v>9000</v>
      </c>
      <c r="D569">
        <v>8197</v>
      </c>
      <c r="E569" s="5">
        <f t="shared" si="33"/>
        <v>803</v>
      </c>
      <c r="F569" s="5">
        <f t="shared" si="34"/>
        <v>644809</v>
      </c>
      <c r="G569" s="6">
        <f>SQRT(SUM($F$2:F569)/A569)</f>
        <v>1154.6006725392849</v>
      </c>
      <c r="H569" s="5">
        <f t="shared" si="35"/>
        <v>1</v>
      </c>
      <c r="I569" s="5">
        <f t="shared" si="36"/>
        <v>1</v>
      </c>
    </row>
    <row r="570" spans="1:9">
      <c r="A570">
        <v>569</v>
      </c>
      <c r="B570">
        <v>17</v>
      </c>
      <c r="C570">
        <v>9000</v>
      </c>
      <c r="D570">
        <v>10035</v>
      </c>
      <c r="E570" s="5">
        <f t="shared" si="33"/>
        <v>1035</v>
      </c>
      <c r="F570" s="5">
        <f t="shared" si="34"/>
        <v>1071225</v>
      </c>
      <c r="G570" s="6">
        <f>SQRT(SUM($F$2:F570)/A570)</f>
        <v>1154.4013474531973</v>
      </c>
      <c r="H570" s="5">
        <f t="shared" si="35"/>
        <v>1</v>
      </c>
      <c r="I570" s="5">
        <f t="shared" si="36"/>
        <v>0</v>
      </c>
    </row>
    <row r="571" spans="1:9">
      <c r="A571">
        <v>570</v>
      </c>
      <c r="B571">
        <v>15</v>
      </c>
      <c r="C571">
        <v>9000</v>
      </c>
      <c r="D571">
        <v>9229</v>
      </c>
      <c r="E571" s="5">
        <f t="shared" si="33"/>
        <v>229</v>
      </c>
      <c r="F571" s="5">
        <f t="shared" si="34"/>
        <v>52441</v>
      </c>
      <c r="G571" s="6">
        <f>SQRT(SUM($F$2:F571)/A571)</f>
        <v>1153.428152729407</v>
      </c>
      <c r="H571" s="5">
        <f t="shared" si="35"/>
        <v>1</v>
      </c>
      <c r="I571" s="5">
        <f t="shared" si="36"/>
        <v>1</v>
      </c>
    </row>
    <row r="572" spans="1:9">
      <c r="A572">
        <v>571</v>
      </c>
      <c r="B572">
        <v>15</v>
      </c>
      <c r="C572">
        <v>9000</v>
      </c>
      <c r="D572">
        <v>8717</v>
      </c>
      <c r="E572" s="5">
        <f t="shared" si="33"/>
        <v>283</v>
      </c>
      <c r="F572" s="5">
        <f t="shared" si="34"/>
        <v>80089</v>
      </c>
      <c r="G572" s="6">
        <f>SQRT(SUM($F$2:F572)/A572)</f>
        <v>1152.4785564674676</v>
      </c>
      <c r="H572" s="5">
        <f t="shared" si="35"/>
        <v>1</v>
      </c>
      <c r="I572" s="5">
        <f t="shared" si="36"/>
        <v>1</v>
      </c>
    </row>
    <row r="573" spans="1:9">
      <c r="A573">
        <v>572</v>
      </c>
      <c r="B573">
        <v>16</v>
      </c>
      <c r="C573">
        <v>9000</v>
      </c>
      <c r="D573">
        <v>9031</v>
      </c>
      <c r="E573" s="5">
        <f t="shared" si="33"/>
        <v>31</v>
      </c>
      <c r="F573" s="5">
        <f t="shared" si="34"/>
        <v>961</v>
      </c>
      <c r="G573" s="6">
        <f>SQRT(SUM($F$2:F573)/A573)</f>
        <v>1151.4714339864074</v>
      </c>
      <c r="H573" s="5">
        <f t="shared" si="35"/>
        <v>1</v>
      </c>
      <c r="I573" s="5">
        <f t="shared" si="36"/>
        <v>1</v>
      </c>
    </row>
    <row r="574" spans="1:9">
      <c r="A574">
        <v>573</v>
      </c>
      <c r="B574">
        <v>16</v>
      </c>
      <c r="C574">
        <v>9000</v>
      </c>
      <c r="D574">
        <v>10144</v>
      </c>
      <c r="E574" s="5">
        <f t="shared" si="33"/>
        <v>1144</v>
      </c>
      <c r="F574" s="5">
        <f t="shared" si="34"/>
        <v>1308736</v>
      </c>
      <c r="G574" s="6">
        <f>SQRT(SUM($F$2:F574)/A574)</f>
        <v>1151.4584370641492</v>
      </c>
      <c r="H574" s="5">
        <f t="shared" si="35"/>
        <v>1</v>
      </c>
      <c r="I574" s="5">
        <f t="shared" si="36"/>
        <v>0</v>
      </c>
    </row>
    <row r="575" spans="1:9">
      <c r="A575">
        <v>574</v>
      </c>
      <c r="B575">
        <v>14</v>
      </c>
      <c r="C575">
        <v>9000</v>
      </c>
      <c r="D575">
        <v>8912</v>
      </c>
      <c r="E575" s="5">
        <f t="shared" si="33"/>
        <v>88</v>
      </c>
      <c r="F575" s="5">
        <f t="shared" si="34"/>
        <v>7744</v>
      </c>
      <c r="G575" s="6">
        <f>SQRT(SUM($F$2:F575)/A575)</f>
        <v>1150.4608506983395</v>
      </c>
      <c r="H575" s="5">
        <f t="shared" si="35"/>
        <v>1</v>
      </c>
      <c r="I575" s="5">
        <f t="shared" si="36"/>
        <v>1</v>
      </c>
    </row>
    <row r="576" spans="1:9">
      <c r="A576">
        <v>575</v>
      </c>
      <c r="B576">
        <v>16</v>
      </c>
      <c r="C576">
        <v>9000</v>
      </c>
      <c r="D576">
        <v>9545</v>
      </c>
      <c r="E576" s="5">
        <f t="shared" si="33"/>
        <v>545</v>
      </c>
      <c r="F576" s="5">
        <f t="shared" si="34"/>
        <v>297025</v>
      </c>
      <c r="G576" s="6">
        <f>SQRT(SUM($F$2:F576)/A576)</f>
        <v>1149.6846917458643</v>
      </c>
      <c r="H576" s="5">
        <f t="shared" si="35"/>
        <v>1</v>
      </c>
      <c r="I576" s="5">
        <f t="shared" si="36"/>
        <v>1</v>
      </c>
    </row>
    <row r="577" spans="1:9">
      <c r="A577">
        <v>576</v>
      </c>
      <c r="B577">
        <v>15</v>
      </c>
      <c r="C577">
        <v>9000</v>
      </c>
      <c r="D577">
        <v>9017</v>
      </c>
      <c r="E577" s="5">
        <f t="shared" si="33"/>
        <v>17</v>
      </c>
      <c r="F577" s="5">
        <f t="shared" si="34"/>
        <v>289</v>
      </c>
      <c r="G577" s="6">
        <f>SQRT(SUM($F$2:F577)/A577)</f>
        <v>1148.6864864257882</v>
      </c>
      <c r="H577" s="5">
        <f t="shared" si="35"/>
        <v>1</v>
      </c>
      <c r="I577" s="5">
        <f t="shared" si="36"/>
        <v>1</v>
      </c>
    </row>
    <row r="578" spans="1:9">
      <c r="A578">
        <v>577</v>
      </c>
      <c r="B578">
        <v>15</v>
      </c>
      <c r="C578">
        <v>9000</v>
      </c>
      <c r="D578">
        <v>9405</v>
      </c>
      <c r="E578" s="5">
        <f t="shared" si="33"/>
        <v>405</v>
      </c>
      <c r="F578" s="5">
        <f t="shared" si="34"/>
        <v>164025</v>
      </c>
      <c r="G578" s="6">
        <f>SQRT(SUM($F$2:F578)/A578)</f>
        <v>1147.8144977813959</v>
      </c>
      <c r="H578" s="5">
        <f t="shared" si="35"/>
        <v>1</v>
      </c>
      <c r="I578" s="5">
        <f t="shared" si="36"/>
        <v>1</v>
      </c>
    </row>
    <row r="579" spans="1:9">
      <c r="A579">
        <v>578</v>
      </c>
      <c r="B579">
        <v>15</v>
      </c>
      <c r="C579">
        <v>9000</v>
      </c>
      <c r="D579">
        <v>8802</v>
      </c>
      <c r="E579" s="5">
        <f t="shared" ref="E579:E642" si="37">ABS(C579-D579)</f>
        <v>198</v>
      </c>
      <c r="F579" s="5">
        <f t="shared" ref="F579:F642" si="38">POWER(E579,2)</f>
        <v>39204</v>
      </c>
      <c r="G579" s="6">
        <f>SQRT(SUM($F$2:F579)/A579)</f>
        <v>1146.8507201874461</v>
      </c>
      <c r="H579" s="5">
        <f t="shared" ref="H579:H642" si="39">IF(ABS(E579)/C579&gt;0.2,0,1)</f>
        <v>1</v>
      </c>
      <c r="I579" s="5">
        <f t="shared" ref="I579:I642" si="40">IF(ABS(E579)/C579&gt;0.1,0,1)</f>
        <v>1</v>
      </c>
    </row>
    <row r="580" spans="1:9">
      <c r="A580">
        <v>579</v>
      </c>
      <c r="B580">
        <v>15</v>
      </c>
      <c r="C580">
        <v>9000</v>
      </c>
      <c r="D580">
        <v>9440</v>
      </c>
      <c r="E580" s="5">
        <f t="shared" si="37"/>
        <v>440</v>
      </c>
      <c r="F580" s="5">
        <f t="shared" si="38"/>
        <v>193600</v>
      </c>
      <c r="G580" s="6">
        <f>SQRT(SUM($F$2:F580)/A580)</f>
        <v>1146.005814306747</v>
      </c>
      <c r="H580" s="5">
        <f t="shared" si="39"/>
        <v>1</v>
      </c>
      <c r="I580" s="5">
        <f t="shared" si="40"/>
        <v>1</v>
      </c>
    </row>
    <row r="581" spans="1:9">
      <c r="A581">
        <v>580</v>
      </c>
      <c r="B581">
        <v>15</v>
      </c>
      <c r="C581">
        <v>9000</v>
      </c>
      <c r="D581">
        <v>9184</v>
      </c>
      <c r="E581" s="5">
        <f t="shared" si="37"/>
        <v>184</v>
      </c>
      <c r="F581" s="5">
        <f t="shared" si="38"/>
        <v>33856</v>
      </c>
      <c r="G581" s="6">
        <f>SQRT(SUM($F$2:F581)/A581)</f>
        <v>1145.0429415227336</v>
      </c>
      <c r="H581" s="5">
        <f t="shared" si="39"/>
        <v>1</v>
      </c>
      <c r="I581" s="5">
        <f t="shared" si="40"/>
        <v>1</v>
      </c>
    </row>
    <row r="582" spans="1:9">
      <c r="A582">
        <v>581</v>
      </c>
      <c r="B582">
        <v>15</v>
      </c>
      <c r="C582">
        <v>9000</v>
      </c>
      <c r="D582">
        <v>9031</v>
      </c>
      <c r="E582" s="5">
        <f t="shared" si="37"/>
        <v>31</v>
      </c>
      <c r="F582" s="5">
        <f t="shared" si="38"/>
        <v>961</v>
      </c>
      <c r="G582" s="6">
        <f>SQRT(SUM($F$2:F582)/A582)</f>
        <v>1144.057833022966</v>
      </c>
      <c r="H582" s="5">
        <f t="shared" si="39"/>
        <v>1</v>
      </c>
      <c r="I582" s="5">
        <f t="shared" si="40"/>
        <v>1</v>
      </c>
    </row>
    <row r="583" spans="1:9">
      <c r="A583">
        <v>582</v>
      </c>
      <c r="B583">
        <v>15</v>
      </c>
      <c r="C583">
        <v>9000</v>
      </c>
      <c r="D583">
        <v>8599</v>
      </c>
      <c r="E583" s="5">
        <f t="shared" si="37"/>
        <v>401</v>
      </c>
      <c r="F583" s="5">
        <f t="shared" si="38"/>
        <v>160801</v>
      </c>
      <c r="G583" s="6">
        <f>SQRT(SUM($F$2:F583)/A583)</f>
        <v>1143.1953905745631</v>
      </c>
      <c r="H583" s="5">
        <f t="shared" si="39"/>
        <v>1</v>
      </c>
      <c r="I583" s="5">
        <f t="shared" si="40"/>
        <v>1</v>
      </c>
    </row>
    <row r="584" spans="1:9">
      <c r="A584">
        <v>583</v>
      </c>
      <c r="B584">
        <v>16</v>
      </c>
      <c r="C584">
        <v>9000</v>
      </c>
      <c r="D584">
        <v>9339</v>
      </c>
      <c r="E584" s="5">
        <f t="shared" si="37"/>
        <v>339</v>
      </c>
      <c r="F584" s="5">
        <f t="shared" si="38"/>
        <v>114921</v>
      </c>
      <c r="G584" s="6">
        <f>SQRT(SUM($F$2:F584)/A584)</f>
        <v>1142.3008130579549</v>
      </c>
      <c r="H584" s="5">
        <f t="shared" si="39"/>
        <v>1</v>
      </c>
      <c r="I584" s="5">
        <f t="shared" si="40"/>
        <v>1</v>
      </c>
    </row>
    <row r="585" spans="1:9">
      <c r="A585">
        <v>584</v>
      </c>
      <c r="B585">
        <v>15</v>
      </c>
      <c r="C585">
        <v>9000</v>
      </c>
      <c r="D585">
        <v>8502</v>
      </c>
      <c r="E585" s="5">
        <f t="shared" si="37"/>
        <v>498</v>
      </c>
      <c r="F585" s="5">
        <f t="shared" si="38"/>
        <v>248004</v>
      </c>
      <c r="G585" s="6">
        <f>SQRT(SUM($F$2:F585)/A585)</f>
        <v>1141.5084221063487</v>
      </c>
      <c r="H585" s="5">
        <f t="shared" si="39"/>
        <v>1</v>
      </c>
      <c r="I585" s="5">
        <f t="shared" si="40"/>
        <v>1</v>
      </c>
    </row>
    <row r="586" spans="1:9">
      <c r="A586">
        <v>585</v>
      </c>
      <c r="B586">
        <v>16</v>
      </c>
      <c r="C586">
        <v>9000</v>
      </c>
      <c r="D586">
        <v>9241</v>
      </c>
      <c r="E586" s="5">
        <f t="shared" si="37"/>
        <v>241</v>
      </c>
      <c r="F586" s="5">
        <f t="shared" si="38"/>
        <v>58081</v>
      </c>
      <c r="G586" s="6">
        <f>SQRT(SUM($F$2:F586)/A586)</f>
        <v>1140.5758809351266</v>
      </c>
      <c r="H586" s="5">
        <f t="shared" si="39"/>
        <v>1</v>
      </c>
      <c r="I586" s="5">
        <f t="shared" si="40"/>
        <v>1</v>
      </c>
    </row>
    <row r="587" spans="1:9">
      <c r="A587">
        <v>586</v>
      </c>
      <c r="B587">
        <v>15</v>
      </c>
      <c r="C587">
        <v>9000</v>
      </c>
      <c r="D587">
        <v>9096</v>
      </c>
      <c r="E587" s="5">
        <f t="shared" si="37"/>
        <v>96</v>
      </c>
      <c r="F587" s="5">
        <f t="shared" si="38"/>
        <v>9216</v>
      </c>
      <c r="G587" s="6">
        <f>SQRT(SUM($F$2:F587)/A587)</f>
        <v>1139.6091779633462</v>
      </c>
      <c r="H587" s="5">
        <f t="shared" si="39"/>
        <v>1</v>
      </c>
      <c r="I587" s="5">
        <f t="shared" si="40"/>
        <v>1</v>
      </c>
    </row>
    <row r="588" spans="1:9">
      <c r="A588">
        <v>587</v>
      </c>
      <c r="B588">
        <v>15</v>
      </c>
      <c r="C588">
        <v>9000</v>
      </c>
      <c r="D588">
        <v>9144</v>
      </c>
      <c r="E588" s="5">
        <f t="shared" si="37"/>
        <v>144</v>
      </c>
      <c r="F588" s="5">
        <f t="shared" si="38"/>
        <v>20736</v>
      </c>
      <c r="G588" s="6">
        <f>SQRT(SUM($F$2:F588)/A588)</f>
        <v>1138.653569923631</v>
      </c>
      <c r="H588" s="5">
        <f t="shared" si="39"/>
        <v>1</v>
      </c>
      <c r="I588" s="5">
        <f t="shared" si="40"/>
        <v>1</v>
      </c>
    </row>
    <row r="589" spans="1:9">
      <c r="A589">
        <v>588</v>
      </c>
      <c r="B589">
        <v>15</v>
      </c>
      <c r="C589">
        <v>9000</v>
      </c>
      <c r="D589">
        <v>8592</v>
      </c>
      <c r="E589" s="5">
        <f t="shared" si="37"/>
        <v>408</v>
      </c>
      <c r="F589" s="5">
        <f t="shared" si="38"/>
        <v>166464</v>
      </c>
      <c r="G589" s="6">
        <f>SQRT(SUM($F$2:F589)/A589)</f>
        <v>1137.8093285024565</v>
      </c>
      <c r="H589" s="5">
        <f t="shared" si="39"/>
        <v>1</v>
      </c>
      <c r="I589" s="5">
        <f t="shared" si="40"/>
        <v>1</v>
      </c>
    </row>
    <row r="590" spans="1:9">
      <c r="A590">
        <v>589</v>
      </c>
      <c r="B590">
        <v>16</v>
      </c>
      <c r="C590">
        <v>9000</v>
      </c>
      <c r="D590">
        <v>9082</v>
      </c>
      <c r="E590" s="5">
        <f t="shared" si="37"/>
        <v>82</v>
      </c>
      <c r="F590" s="5">
        <f t="shared" si="38"/>
        <v>6724</v>
      </c>
      <c r="G590" s="6">
        <f>SQRT(SUM($F$2:F590)/A590)</f>
        <v>1136.8480567976012</v>
      </c>
      <c r="H590" s="5">
        <f t="shared" si="39"/>
        <v>1</v>
      </c>
      <c r="I590" s="5">
        <f t="shared" si="40"/>
        <v>1</v>
      </c>
    </row>
    <row r="591" spans="1:9">
      <c r="A591">
        <v>590</v>
      </c>
      <c r="B591">
        <v>15</v>
      </c>
      <c r="C591">
        <v>9000</v>
      </c>
      <c r="D591">
        <v>8651</v>
      </c>
      <c r="E591" s="5">
        <f t="shared" si="37"/>
        <v>349</v>
      </c>
      <c r="F591" s="5">
        <f t="shared" si="38"/>
        <v>121801</v>
      </c>
      <c r="G591" s="6">
        <f>SQRT(SUM($F$2:F591)/A591)</f>
        <v>1135.9750870089911</v>
      </c>
      <c r="H591" s="5">
        <f t="shared" si="39"/>
        <v>1</v>
      </c>
      <c r="I591" s="5">
        <f t="shared" si="40"/>
        <v>1</v>
      </c>
    </row>
    <row r="592" spans="1:9">
      <c r="A592">
        <v>591</v>
      </c>
      <c r="B592">
        <v>16</v>
      </c>
      <c r="C592">
        <v>9000</v>
      </c>
      <c r="D592">
        <v>9261</v>
      </c>
      <c r="E592" s="5">
        <f t="shared" si="37"/>
        <v>261</v>
      </c>
      <c r="F592" s="5">
        <f t="shared" si="38"/>
        <v>68121</v>
      </c>
      <c r="G592" s="6">
        <f>SQRT(SUM($F$2:F592)/A592)</f>
        <v>1135.0643936204565</v>
      </c>
      <c r="H592" s="5">
        <f t="shared" si="39"/>
        <v>1</v>
      </c>
      <c r="I592" s="5">
        <f t="shared" si="40"/>
        <v>1</v>
      </c>
    </row>
    <row r="593" spans="1:9">
      <c r="A593">
        <v>592</v>
      </c>
      <c r="B593">
        <v>15</v>
      </c>
      <c r="C593">
        <v>9000</v>
      </c>
      <c r="D593">
        <v>8062</v>
      </c>
      <c r="E593" s="5">
        <f t="shared" si="37"/>
        <v>938</v>
      </c>
      <c r="F593" s="5">
        <f t="shared" si="38"/>
        <v>879844</v>
      </c>
      <c r="G593" s="6">
        <f>SQRT(SUM($F$2:F593)/A593)</f>
        <v>1134.7603702865963</v>
      </c>
      <c r="H593" s="5">
        <f t="shared" si="39"/>
        <v>1</v>
      </c>
      <c r="I593" s="5">
        <f t="shared" si="40"/>
        <v>0</v>
      </c>
    </row>
    <row r="594" spans="1:9">
      <c r="A594">
        <v>593</v>
      </c>
      <c r="B594">
        <v>17</v>
      </c>
      <c r="C594">
        <v>9000</v>
      </c>
      <c r="D594">
        <v>10156</v>
      </c>
      <c r="E594" s="5">
        <f t="shared" si="37"/>
        <v>1156</v>
      </c>
      <c r="F594" s="5">
        <f t="shared" si="38"/>
        <v>1336336</v>
      </c>
      <c r="G594" s="6">
        <f>SQRT(SUM($F$2:F594)/A594)</f>
        <v>1134.7965221622931</v>
      </c>
      <c r="H594" s="5">
        <f t="shared" si="39"/>
        <v>1</v>
      </c>
      <c r="I594" s="5">
        <f t="shared" si="40"/>
        <v>0</v>
      </c>
    </row>
    <row r="595" spans="1:9">
      <c r="A595">
        <v>594</v>
      </c>
      <c r="B595">
        <v>14</v>
      </c>
      <c r="C595">
        <v>9000</v>
      </c>
      <c r="D595">
        <v>7569</v>
      </c>
      <c r="E595" s="5">
        <f t="shared" si="37"/>
        <v>1431</v>
      </c>
      <c r="F595" s="5">
        <f t="shared" si="38"/>
        <v>2047761</v>
      </c>
      <c r="G595" s="6">
        <f>SQRT(SUM($F$2:F595)/A595)</f>
        <v>1135.3601210087945</v>
      </c>
      <c r="H595" s="5">
        <f t="shared" si="39"/>
        <v>1</v>
      </c>
      <c r="I595" s="5">
        <f t="shared" si="40"/>
        <v>0</v>
      </c>
    </row>
    <row r="596" spans="1:9">
      <c r="A596">
        <v>595</v>
      </c>
      <c r="B596">
        <v>17</v>
      </c>
      <c r="C596">
        <v>9000</v>
      </c>
      <c r="D596">
        <v>10406</v>
      </c>
      <c r="E596" s="5">
        <f t="shared" si="37"/>
        <v>1406</v>
      </c>
      <c r="F596" s="5">
        <f t="shared" si="38"/>
        <v>1976836</v>
      </c>
      <c r="G596" s="6">
        <f>SQRT(SUM($F$2:F596)/A596)</f>
        <v>1135.8690768146942</v>
      </c>
      <c r="H596" s="5">
        <f t="shared" si="39"/>
        <v>1</v>
      </c>
      <c r="I596" s="5">
        <f t="shared" si="40"/>
        <v>0</v>
      </c>
    </row>
    <row r="597" spans="1:9">
      <c r="A597">
        <v>596</v>
      </c>
      <c r="B597">
        <v>14</v>
      </c>
      <c r="C597">
        <v>9000</v>
      </c>
      <c r="D597">
        <v>8116</v>
      </c>
      <c r="E597" s="5">
        <f t="shared" si="37"/>
        <v>884</v>
      </c>
      <c r="F597" s="5">
        <f t="shared" si="38"/>
        <v>781456</v>
      </c>
      <c r="G597" s="6">
        <f>SQRT(SUM($F$2:F597)/A597)</f>
        <v>1135.4932693614264</v>
      </c>
      <c r="H597" s="5">
        <f t="shared" si="39"/>
        <v>1</v>
      </c>
      <c r="I597" s="5">
        <f t="shared" si="40"/>
        <v>1</v>
      </c>
    </row>
    <row r="598" spans="1:9">
      <c r="A598">
        <v>597</v>
      </c>
      <c r="B598">
        <v>16</v>
      </c>
      <c r="C598">
        <v>9000</v>
      </c>
      <c r="D598">
        <v>9244</v>
      </c>
      <c r="E598" s="5">
        <f t="shared" si="37"/>
        <v>244</v>
      </c>
      <c r="F598" s="5">
        <f t="shared" si="38"/>
        <v>59536</v>
      </c>
      <c r="G598" s="6">
        <f>SQRT(SUM($F$2:F598)/A598)</f>
        <v>1134.5858201341939</v>
      </c>
      <c r="H598" s="5">
        <f t="shared" si="39"/>
        <v>1</v>
      </c>
      <c r="I598" s="5">
        <f t="shared" si="40"/>
        <v>1</v>
      </c>
    </row>
    <row r="599" spans="1:9">
      <c r="A599">
        <v>598</v>
      </c>
      <c r="B599">
        <v>15</v>
      </c>
      <c r="C599">
        <v>9000</v>
      </c>
      <c r="D599">
        <v>7898</v>
      </c>
      <c r="E599" s="5">
        <f t="shared" si="37"/>
        <v>1102</v>
      </c>
      <c r="F599" s="5">
        <f t="shared" si="38"/>
        <v>1214404</v>
      </c>
      <c r="G599" s="6">
        <f>SQRT(SUM($F$2:F599)/A599)</f>
        <v>1134.532110032877</v>
      </c>
      <c r="H599" s="5">
        <f t="shared" si="39"/>
        <v>1</v>
      </c>
      <c r="I599" s="5">
        <f t="shared" si="40"/>
        <v>0</v>
      </c>
    </row>
    <row r="600" spans="1:9">
      <c r="A600">
        <v>599</v>
      </c>
      <c r="B600">
        <v>17</v>
      </c>
      <c r="C600">
        <v>9000</v>
      </c>
      <c r="D600">
        <v>10438</v>
      </c>
      <c r="E600" s="5">
        <f t="shared" si="37"/>
        <v>1438</v>
      </c>
      <c r="F600" s="5">
        <f t="shared" si="38"/>
        <v>2067844</v>
      </c>
      <c r="G600" s="6">
        <f>SQRT(SUM($F$2:F600)/A600)</f>
        <v>1135.1063455433687</v>
      </c>
      <c r="H600" s="5">
        <f t="shared" si="39"/>
        <v>1</v>
      </c>
      <c r="I600" s="5">
        <f t="shared" si="40"/>
        <v>0</v>
      </c>
    </row>
    <row r="601" spans="1:9">
      <c r="A601">
        <v>600</v>
      </c>
      <c r="B601">
        <v>14</v>
      </c>
      <c r="C601">
        <v>9000</v>
      </c>
      <c r="D601">
        <v>8417</v>
      </c>
      <c r="E601" s="5">
        <f t="shared" si="37"/>
        <v>583</v>
      </c>
      <c r="F601" s="5">
        <f t="shared" si="38"/>
        <v>339889</v>
      </c>
      <c r="G601" s="6">
        <f>SQRT(SUM($F$2:F601)/A601)</f>
        <v>1134.4097378519516</v>
      </c>
      <c r="H601" s="5">
        <f t="shared" si="39"/>
        <v>1</v>
      </c>
      <c r="I601" s="5">
        <f t="shared" si="40"/>
        <v>1</v>
      </c>
    </row>
    <row r="602" spans="1:9">
      <c r="A602">
        <v>601</v>
      </c>
      <c r="B602">
        <v>1</v>
      </c>
      <c r="C602">
        <v>5000</v>
      </c>
      <c r="D602">
        <v>941</v>
      </c>
      <c r="E602" s="5">
        <f t="shared" si="37"/>
        <v>4059</v>
      </c>
      <c r="F602" s="5">
        <f t="shared" si="38"/>
        <v>16475481</v>
      </c>
      <c r="G602" s="6">
        <f>SQRT(SUM($F$2:F602)/A602)</f>
        <v>1145.4945040906264</v>
      </c>
      <c r="H602" s="5">
        <f t="shared" si="39"/>
        <v>0</v>
      </c>
      <c r="I602" s="5">
        <f t="shared" si="40"/>
        <v>0</v>
      </c>
    </row>
    <row r="603" spans="1:9">
      <c r="A603">
        <v>602</v>
      </c>
      <c r="B603">
        <v>6</v>
      </c>
      <c r="C603">
        <v>5000</v>
      </c>
      <c r="D603">
        <v>4656</v>
      </c>
      <c r="E603" s="5">
        <f t="shared" si="37"/>
        <v>344</v>
      </c>
      <c r="F603" s="5">
        <f t="shared" si="38"/>
        <v>118336</v>
      </c>
      <c r="G603" s="6">
        <f>SQRT(SUM($F$2:F603)/A603)</f>
        <v>1144.6285713912539</v>
      </c>
      <c r="H603" s="5">
        <f t="shared" si="39"/>
        <v>1</v>
      </c>
      <c r="I603" s="5">
        <f t="shared" si="40"/>
        <v>1</v>
      </c>
    </row>
    <row r="604" spans="1:9">
      <c r="A604">
        <v>603</v>
      </c>
      <c r="B604">
        <v>2</v>
      </c>
      <c r="C604">
        <v>5000</v>
      </c>
      <c r="D604">
        <v>1722</v>
      </c>
      <c r="E604" s="5">
        <f t="shared" si="37"/>
        <v>3278</v>
      </c>
      <c r="F604" s="5">
        <f t="shared" si="38"/>
        <v>10745284</v>
      </c>
      <c r="G604" s="6">
        <f>SQRT(SUM($F$2:F604)/A604)</f>
        <v>1151.443230948094</v>
      </c>
      <c r="H604" s="5">
        <f t="shared" si="39"/>
        <v>0</v>
      </c>
      <c r="I604" s="5">
        <f t="shared" si="40"/>
        <v>0</v>
      </c>
    </row>
    <row r="605" spans="1:9">
      <c r="A605">
        <v>604</v>
      </c>
      <c r="B605">
        <v>6</v>
      </c>
      <c r="C605">
        <v>5000</v>
      </c>
      <c r="D605">
        <v>4677</v>
      </c>
      <c r="E605" s="5">
        <f t="shared" si="37"/>
        <v>323</v>
      </c>
      <c r="F605" s="5">
        <f t="shared" si="38"/>
        <v>104329</v>
      </c>
      <c r="G605" s="6">
        <f>SQRT(SUM($F$2:F605)/A605)</f>
        <v>1150.5647202555313</v>
      </c>
      <c r="H605" s="5">
        <f t="shared" si="39"/>
        <v>1</v>
      </c>
      <c r="I605" s="5">
        <f t="shared" si="40"/>
        <v>1</v>
      </c>
    </row>
    <row r="606" spans="1:9">
      <c r="A606">
        <v>605</v>
      </c>
      <c r="B606">
        <v>3</v>
      </c>
      <c r="C606">
        <v>5000</v>
      </c>
      <c r="D606">
        <v>2519</v>
      </c>
      <c r="E606" s="5">
        <f t="shared" si="37"/>
        <v>2481</v>
      </c>
      <c r="F606" s="5">
        <f t="shared" si="38"/>
        <v>6155361</v>
      </c>
      <c r="G606" s="6">
        <f>SQRT(SUM($F$2:F606)/A606)</f>
        <v>1154.029994453859</v>
      </c>
      <c r="H606" s="5">
        <f t="shared" si="39"/>
        <v>0</v>
      </c>
      <c r="I606" s="5">
        <f t="shared" si="40"/>
        <v>0</v>
      </c>
    </row>
    <row r="607" spans="1:9">
      <c r="A607">
        <v>606</v>
      </c>
      <c r="B607">
        <v>6</v>
      </c>
      <c r="C607">
        <v>5000</v>
      </c>
      <c r="D607">
        <v>4594</v>
      </c>
      <c r="E607" s="5">
        <f t="shared" si="37"/>
        <v>406</v>
      </c>
      <c r="F607" s="5">
        <f t="shared" si="38"/>
        <v>164836</v>
      </c>
      <c r="G607" s="6">
        <f>SQRT(SUM($F$2:F607)/A607)</f>
        <v>1153.1953734328501</v>
      </c>
      <c r="H607" s="5">
        <f t="shared" si="39"/>
        <v>1</v>
      </c>
      <c r="I607" s="5">
        <f t="shared" si="40"/>
        <v>1</v>
      </c>
    </row>
    <row r="608" spans="1:9">
      <c r="A608">
        <v>607</v>
      </c>
      <c r="B608">
        <v>4</v>
      </c>
      <c r="C608">
        <v>5000</v>
      </c>
      <c r="D608">
        <v>3082</v>
      </c>
      <c r="E608" s="5">
        <f t="shared" si="37"/>
        <v>1918</v>
      </c>
      <c r="F608" s="5">
        <f t="shared" si="38"/>
        <v>3678724</v>
      </c>
      <c r="G608" s="6">
        <f>SQRT(SUM($F$2:F608)/A608)</f>
        <v>1154.871939954199</v>
      </c>
      <c r="H608" s="5">
        <f t="shared" si="39"/>
        <v>0</v>
      </c>
      <c r="I608" s="5">
        <f t="shared" si="40"/>
        <v>0</v>
      </c>
    </row>
    <row r="609" spans="1:9">
      <c r="A609">
        <v>608</v>
      </c>
      <c r="B609">
        <v>6</v>
      </c>
      <c r="C609">
        <v>5000</v>
      </c>
      <c r="D609">
        <v>4525</v>
      </c>
      <c r="E609" s="5">
        <f t="shared" si="37"/>
        <v>475</v>
      </c>
      <c r="F609" s="5">
        <f t="shared" si="38"/>
        <v>225625</v>
      </c>
      <c r="G609" s="6">
        <f>SQRT(SUM($F$2:F609)/A609)</f>
        <v>1154.082604450278</v>
      </c>
      <c r="H609" s="5">
        <f t="shared" si="39"/>
        <v>1</v>
      </c>
      <c r="I609" s="5">
        <f t="shared" si="40"/>
        <v>1</v>
      </c>
    </row>
    <row r="610" spans="1:9">
      <c r="A610">
        <v>609</v>
      </c>
      <c r="B610">
        <v>4</v>
      </c>
      <c r="C610">
        <v>5000</v>
      </c>
      <c r="D610">
        <v>3371</v>
      </c>
      <c r="E610" s="5">
        <f t="shared" si="37"/>
        <v>1629</v>
      </c>
      <c r="F610" s="5">
        <f t="shared" si="38"/>
        <v>2653641</v>
      </c>
      <c r="G610" s="6">
        <f>SQRT(SUM($F$2:F610)/A610)</f>
        <v>1155.0225077598511</v>
      </c>
      <c r="H610" s="5">
        <f t="shared" si="39"/>
        <v>0</v>
      </c>
      <c r="I610" s="5">
        <f t="shared" si="40"/>
        <v>0</v>
      </c>
    </row>
    <row r="611" spans="1:9">
      <c r="A611">
        <v>610</v>
      </c>
      <c r="B611">
        <v>6</v>
      </c>
      <c r="C611">
        <v>5000</v>
      </c>
      <c r="D611">
        <v>4814</v>
      </c>
      <c r="E611" s="5">
        <f t="shared" si="37"/>
        <v>186</v>
      </c>
      <c r="F611" s="5">
        <f t="shared" si="38"/>
        <v>34596</v>
      </c>
      <c r="G611" s="6">
        <f>SQRT(SUM($F$2:F611)/A611)</f>
        <v>1154.0999509233641</v>
      </c>
      <c r="H611" s="5">
        <f t="shared" si="39"/>
        <v>1</v>
      </c>
      <c r="I611" s="5">
        <f t="shared" si="40"/>
        <v>1</v>
      </c>
    </row>
    <row r="612" spans="1:9">
      <c r="A612">
        <v>611</v>
      </c>
      <c r="B612">
        <v>5</v>
      </c>
      <c r="C612">
        <v>5000</v>
      </c>
      <c r="D612">
        <v>3619</v>
      </c>
      <c r="E612" s="5">
        <f t="shared" si="37"/>
        <v>1381</v>
      </c>
      <c r="F612" s="5">
        <f t="shared" si="38"/>
        <v>1907161</v>
      </c>
      <c r="G612" s="6">
        <f>SQRT(SUM($F$2:F612)/A612)</f>
        <v>1154.5077425723807</v>
      </c>
      <c r="H612" s="5">
        <f t="shared" si="39"/>
        <v>0</v>
      </c>
      <c r="I612" s="5">
        <f t="shared" si="40"/>
        <v>0</v>
      </c>
    </row>
    <row r="613" spans="1:9">
      <c r="A613">
        <v>612</v>
      </c>
      <c r="B613">
        <v>6</v>
      </c>
      <c r="C613">
        <v>5000</v>
      </c>
      <c r="D613">
        <v>4076</v>
      </c>
      <c r="E613" s="5">
        <f t="shared" si="37"/>
        <v>924</v>
      </c>
      <c r="F613" s="5">
        <f t="shared" si="38"/>
        <v>853776</v>
      </c>
      <c r="G613" s="6">
        <f>SQRT(SUM($F$2:F613)/A613)</f>
        <v>1154.1686465616203</v>
      </c>
      <c r="H613" s="5">
        <f t="shared" si="39"/>
        <v>1</v>
      </c>
      <c r="I613" s="5">
        <f t="shared" si="40"/>
        <v>0</v>
      </c>
    </row>
    <row r="614" spans="1:9">
      <c r="A614">
        <v>613</v>
      </c>
      <c r="B614">
        <v>6</v>
      </c>
      <c r="C614">
        <v>5000</v>
      </c>
      <c r="D614">
        <v>3222</v>
      </c>
      <c r="E614" s="5">
        <f t="shared" si="37"/>
        <v>1778</v>
      </c>
      <c r="F614" s="5">
        <f t="shared" si="38"/>
        <v>3161284</v>
      </c>
      <c r="G614" s="6">
        <f>SQRT(SUM($F$2:F614)/A614)</f>
        <v>1155.4606194357659</v>
      </c>
      <c r="H614" s="5">
        <f t="shared" si="39"/>
        <v>0</v>
      </c>
      <c r="I614" s="5">
        <f t="shared" si="40"/>
        <v>0</v>
      </c>
    </row>
    <row r="615" spans="1:9">
      <c r="A615">
        <v>614</v>
      </c>
      <c r="B615">
        <v>8</v>
      </c>
      <c r="C615">
        <v>5000</v>
      </c>
      <c r="D615">
        <v>2783</v>
      </c>
      <c r="E615" s="5">
        <f t="shared" si="37"/>
        <v>2217</v>
      </c>
      <c r="F615" s="5">
        <f t="shared" si="38"/>
        <v>4915089</v>
      </c>
      <c r="G615" s="6">
        <f>SQRT(SUM($F$2:F615)/A615)</f>
        <v>1157.9809417963311</v>
      </c>
      <c r="H615" s="5">
        <f t="shared" si="39"/>
        <v>0</v>
      </c>
      <c r="I615" s="5">
        <f t="shared" si="40"/>
        <v>0</v>
      </c>
    </row>
    <row r="616" spans="1:9">
      <c r="A616">
        <v>615</v>
      </c>
      <c r="B616">
        <v>9</v>
      </c>
      <c r="C616">
        <v>5000</v>
      </c>
      <c r="D616">
        <v>5186</v>
      </c>
      <c r="E616" s="5">
        <f t="shared" si="37"/>
        <v>186</v>
      </c>
      <c r="F616" s="5">
        <f t="shared" si="38"/>
        <v>34596</v>
      </c>
      <c r="G616" s="6">
        <f>SQRT(SUM($F$2:F616)/A616)</f>
        <v>1157.0634199228568</v>
      </c>
      <c r="H616" s="5">
        <f t="shared" si="39"/>
        <v>1</v>
      </c>
      <c r="I616" s="5">
        <f t="shared" si="40"/>
        <v>1</v>
      </c>
    </row>
    <row r="617" spans="1:9">
      <c r="A617">
        <v>616</v>
      </c>
      <c r="B617">
        <v>6</v>
      </c>
      <c r="C617">
        <v>5000</v>
      </c>
      <c r="D617">
        <v>4124</v>
      </c>
      <c r="E617" s="5">
        <f t="shared" si="37"/>
        <v>876</v>
      </c>
      <c r="F617" s="5">
        <f t="shared" si="38"/>
        <v>767376</v>
      </c>
      <c r="G617" s="6">
        <f>SQRT(SUM($F$2:F617)/A617)</f>
        <v>1156.6624953921319</v>
      </c>
      <c r="H617" s="5">
        <f t="shared" si="39"/>
        <v>1</v>
      </c>
      <c r="I617" s="5">
        <f t="shared" si="40"/>
        <v>0</v>
      </c>
    </row>
    <row r="618" spans="1:9">
      <c r="A618">
        <v>617</v>
      </c>
      <c r="B618">
        <v>7</v>
      </c>
      <c r="C618">
        <v>5000</v>
      </c>
      <c r="D618">
        <v>4936</v>
      </c>
      <c r="E618" s="5">
        <f t="shared" si="37"/>
        <v>64</v>
      </c>
      <c r="F618" s="5">
        <f t="shared" si="38"/>
        <v>4096</v>
      </c>
      <c r="G618" s="6">
        <f>SQRT(SUM($F$2:F618)/A618)</f>
        <v>1155.7276595351461</v>
      </c>
      <c r="H618" s="5">
        <f t="shared" si="39"/>
        <v>1</v>
      </c>
      <c r="I618" s="5">
        <f t="shared" si="40"/>
        <v>1</v>
      </c>
    </row>
    <row r="619" spans="1:9">
      <c r="A619">
        <v>618</v>
      </c>
      <c r="B619">
        <v>7</v>
      </c>
      <c r="C619">
        <v>5000</v>
      </c>
      <c r="D619">
        <v>4670</v>
      </c>
      <c r="E619" s="5">
        <f t="shared" si="37"/>
        <v>330</v>
      </c>
      <c r="F619" s="5">
        <f t="shared" si="38"/>
        <v>108900</v>
      </c>
      <c r="G619" s="6">
        <f>SQRT(SUM($F$2:F619)/A619)</f>
        <v>1154.8685203748307</v>
      </c>
      <c r="H619" s="5">
        <f t="shared" si="39"/>
        <v>1</v>
      </c>
      <c r="I619" s="5">
        <f t="shared" si="40"/>
        <v>1</v>
      </c>
    </row>
    <row r="620" spans="1:9">
      <c r="A620">
        <v>619</v>
      </c>
      <c r="B620">
        <v>7</v>
      </c>
      <c r="C620">
        <v>5000</v>
      </c>
      <c r="D620">
        <v>5588</v>
      </c>
      <c r="E620" s="5">
        <f t="shared" si="37"/>
        <v>588</v>
      </c>
      <c r="F620" s="5">
        <f t="shared" si="38"/>
        <v>345744</v>
      </c>
      <c r="G620" s="6">
        <f>SQRT(SUM($F$2:F620)/A620)</f>
        <v>1154.1772884817881</v>
      </c>
      <c r="H620" s="5">
        <f t="shared" si="39"/>
        <v>1</v>
      </c>
      <c r="I620" s="5">
        <f t="shared" si="40"/>
        <v>0</v>
      </c>
    </row>
    <row r="621" spans="1:9">
      <c r="A621">
        <v>620</v>
      </c>
      <c r="B621">
        <v>6</v>
      </c>
      <c r="C621">
        <v>5000</v>
      </c>
      <c r="D621">
        <v>4326</v>
      </c>
      <c r="E621" s="5">
        <f t="shared" si="37"/>
        <v>674</v>
      </c>
      <c r="F621" s="5">
        <f t="shared" si="38"/>
        <v>454276</v>
      </c>
      <c r="G621" s="6">
        <f>SQRT(SUM($F$2:F621)/A621)</f>
        <v>1153.5637509125168</v>
      </c>
      <c r="H621" s="5">
        <f t="shared" si="39"/>
        <v>1</v>
      </c>
      <c r="I621" s="5">
        <f t="shared" si="40"/>
        <v>0</v>
      </c>
    </row>
    <row r="622" spans="1:9">
      <c r="A622">
        <v>621</v>
      </c>
      <c r="B622">
        <v>7</v>
      </c>
      <c r="C622">
        <v>5000</v>
      </c>
      <c r="D622">
        <v>5203</v>
      </c>
      <c r="E622" s="5">
        <f t="shared" si="37"/>
        <v>203</v>
      </c>
      <c r="F622" s="5">
        <f t="shared" si="38"/>
        <v>41209</v>
      </c>
      <c r="G622" s="6">
        <f>SQRT(SUM($F$2:F622)/A622)</f>
        <v>1152.6633668851882</v>
      </c>
      <c r="H622" s="5">
        <f t="shared" si="39"/>
        <v>1</v>
      </c>
      <c r="I622" s="5">
        <f t="shared" si="40"/>
        <v>1</v>
      </c>
    </row>
    <row r="623" spans="1:9">
      <c r="A623">
        <v>622</v>
      </c>
      <c r="B623">
        <v>6</v>
      </c>
      <c r="C623">
        <v>5000</v>
      </c>
      <c r="D623">
        <v>5005</v>
      </c>
      <c r="E623" s="5">
        <f t="shared" si="37"/>
        <v>5</v>
      </c>
      <c r="F623" s="5">
        <f t="shared" si="38"/>
        <v>25</v>
      </c>
      <c r="G623" s="6">
        <f>SQRT(SUM($F$2:F623)/A623)</f>
        <v>1151.7364333462349</v>
      </c>
      <c r="H623" s="5">
        <f t="shared" si="39"/>
        <v>1</v>
      </c>
      <c r="I623" s="5">
        <f t="shared" si="40"/>
        <v>1</v>
      </c>
    </row>
    <row r="624" spans="1:9">
      <c r="A624">
        <v>623</v>
      </c>
      <c r="B624">
        <v>7</v>
      </c>
      <c r="C624">
        <v>5000</v>
      </c>
      <c r="D624">
        <v>5945</v>
      </c>
      <c r="E624" s="5">
        <f t="shared" si="37"/>
        <v>945</v>
      </c>
      <c r="F624" s="5">
        <f t="shared" si="38"/>
        <v>893025</v>
      </c>
      <c r="G624" s="6">
        <f>SQRT(SUM($F$2:F624)/A624)</f>
        <v>1151.4343361640699</v>
      </c>
      <c r="H624" s="5">
        <f t="shared" si="39"/>
        <v>1</v>
      </c>
      <c r="I624" s="5">
        <f t="shared" si="40"/>
        <v>0</v>
      </c>
    </row>
    <row r="625" spans="1:9">
      <c r="A625">
        <v>624</v>
      </c>
      <c r="B625">
        <v>5</v>
      </c>
      <c r="C625">
        <v>5000</v>
      </c>
      <c r="D625">
        <v>4108</v>
      </c>
      <c r="E625" s="5">
        <f t="shared" si="37"/>
        <v>892</v>
      </c>
      <c r="F625" s="5">
        <f t="shared" si="38"/>
        <v>795664</v>
      </c>
      <c r="G625" s="6">
        <f>SQRT(SUM($F$2:F625)/A625)</f>
        <v>1151.0653551919097</v>
      </c>
      <c r="H625" s="5">
        <f t="shared" si="39"/>
        <v>1</v>
      </c>
      <c r="I625" s="5">
        <f t="shared" si="40"/>
        <v>0</v>
      </c>
    </row>
    <row r="626" spans="1:9">
      <c r="A626">
        <v>625</v>
      </c>
      <c r="B626">
        <v>8</v>
      </c>
      <c r="C626">
        <v>5000</v>
      </c>
      <c r="D626">
        <v>5640</v>
      </c>
      <c r="E626" s="5">
        <f t="shared" si="37"/>
        <v>640</v>
      </c>
      <c r="F626" s="5">
        <f t="shared" si="38"/>
        <v>409600</v>
      </c>
      <c r="G626" s="6">
        <f>SQRT(SUM($F$2:F626)/A626)</f>
        <v>1150.4290024160553</v>
      </c>
      <c r="H626" s="5">
        <f t="shared" si="39"/>
        <v>1</v>
      </c>
      <c r="I626" s="5">
        <f t="shared" si="40"/>
        <v>0</v>
      </c>
    </row>
    <row r="627" spans="1:9">
      <c r="A627">
        <v>626</v>
      </c>
      <c r="B627">
        <v>6</v>
      </c>
      <c r="C627">
        <v>5000</v>
      </c>
      <c r="D627">
        <v>4733</v>
      </c>
      <c r="E627" s="5">
        <f t="shared" si="37"/>
        <v>267</v>
      </c>
      <c r="F627" s="5">
        <f t="shared" si="38"/>
        <v>71289</v>
      </c>
      <c r="G627" s="6">
        <f>SQRT(SUM($F$2:F627)/A627)</f>
        <v>1149.5592953312275</v>
      </c>
      <c r="H627" s="5">
        <f t="shared" si="39"/>
        <v>1</v>
      </c>
      <c r="I627" s="5">
        <f t="shared" si="40"/>
        <v>1</v>
      </c>
    </row>
    <row r="628" spans="1:9">
      <c r="A628">
        <v>627</v>
      </c>
      <c r="B628">
        <v>7</v>
      </c>
      <c r="C628">
        <v>5000</v>
      </c>
      <c r="D628">
        <v>5013</v>
      </c>
      <c r="E628" s="5">
        <f t="shared" si="37"/>
        <v>13</v>
      </c>
      <c r="F628" s="5">
        <f t="shared" si="38"/>
        <v>169</v>
      </c>
      <c r="G628" s="6">
        <f>SQRT(SUM($F$2:F628)/A628)</f>
        <v>1148.6423329006377</v>
      </c>
      <c r="H628" s="5">
        <f t="shared" si="39"/>
        <v>1</v>
      </c>
      <c r="I628" s="5">
        <f t="shared" si="40"/>
        <v>1</v>
      </c>
    </row>
    <row r="629" spans="1:9">
      <c r="A629">
        <v>628</v>
      </c>
      <c r="B629">
        <v>6</v>
      </c>
      <c r="C629">
        <v>5000</v>
      </c>
      <c r="D629">
        <v>4519</v>
      </c>
      <c r="E629" s="5">
        <f t="shared" si="37"/>
        <v>481</v>
      </c>
      <c r="F629" s="5">
        <f t="shared" si="38"/>
        <v>231361</v>
      </c>
      <c r="G629" s="6">
        <f>SQRT(SUM($F$2:F629)/A629)</f>
        <v>1147.8879282664629</v>
      </c>
      <c r="H629" s="5">
        <f t="shared" si="39"/>
        <v>1</v>
      </c>
      <c r="I629" s="5">
        <f t="shared" si="40"/>
        <v>1</v>
      </c>
    </row>
    <row r="630" spans="1:9">
      <c r="A630">
        <v>629</v>
      </c>
      <c r="B630">
        <v>7</v>
      </c>
      <c r="C630">
        <v>5000</v>
      </c>
      <c r="D630">
        <v>5493</v>
      </c>
      <c r="E630" s="5">
        <f t="shared" si="37"/>
        <v>493</v>
      </c>
      <c r="F630" s="5">
        <f t="shared" si="38"/>
        <v>243049</v>
      </c>
      <c r="G630" s="6">
        <f>SQRT(SUM($F$2:F630)/A630)</f>
        <v>1147.1435278333399</v>
      </c>
      <c r="H630" s="5">
        <f t="shared" si="39"/>
        <v>1</v>
      </c>
      <c r="I630" s="5">
        <f t="shared" si="40"/>
        <v>1</v>
      </c>
    </row>
    <row r="631" spans="1:9">
      <c r="A631">
        <v>630</v>
      </c>
      <c r="B631">
        <v>6</v>
      </c>
      <c r="C631">
        <v>5000</v>
      </c>
      <c r="D631">
        <v>4362</v>
      </c>
      <c r="E631" s="5">
        <f t="shared" si="37"/>
        <v>638</v>
      </c>
      <c r="F631" s="5">
        <f t="shared" si="38"/>
        <v>407044</v>
      </c>
      <c r="G631" s="6">
        <f>SQRT(SUM($F$2:F631)/A631)</f>
        <v>1146.5145372506117</v>
      </c>
      <c r="H631" s="5">
        <f t="shared" si="39"/>
        <v>1</v>
      </c>
      <c r="I631" s="5">
        <f t="shared" si="40"/>
        <v>0</v>
      </c>
    </row>
    <row r="632" spans="1:9">
      <c r="A632">
        <v>631</v>
      </c>
      <c r="B632">
        <v>7</v>
      </c>
      <c r="C632">
        <v>5000</v>
      </c>
      <c r="D632">
        <v>5088</v>
      </c>
      <c r="E632" s="5">
        <f t="shared" si="37"/>
        <v>88</v>
      </c>
      <c r="F632" s="5">
        <f t="shared" si="38"/>
        <v>7744</v>
      </c>
      <c r="G632" s="6">
        <f>SQRT(SUM($F$2:F632)/A632)</f>
        <v>1145.6110432605694</v>
      </c>
      <c r="H632" s="5">
        <f t="shared" si="39"/>
        <v>1</v>
      </c>
      <c r="I632" s="5">
        <f t="shared" si="40"/>
        <v>1</v>
      </c>
    </row>
    <row r="633" spans="1:9">
      <c r="A633">
        <v>632</v>
      </c>
      <c r="B633">
        <v>6</v>
      </c>
      <c r="C633">
        <v>5000</v>
      </c>
      <c r="D633">
        <v>4195</v>
      </c>
      <c r="E633" s="5">
        <f t="shared" si="37"/>
        <v>805</v>
      </c>
      <c r="F633" s="5">
        <f t="shared" si="38"/>
        <v>648025</v>
      </c>
      <c r="G633" s="6">
        <f>SQRT(SUM($F$2:F633)/A633)</f>
        <v>1145.1521283881452</v>
      </c>
      <c r="H633" s="5">
        <f t="shared" si="39"/>
        <v>1</v>
      </c>
      <c r="I633" s="5">
        <f t="shared" si="40"/>
        <v>0</v>
      </c>
    </row>
    <row r="634" spans="1:9">
      <c r="A634">
        <v>633</v>
      </c>
      <c r="B634">
        <v>8</v>
      </c>
      <c r="C634">
        <v>5000</v>
      </c>
      <c r="D634">
        <v>6468</v>
      </c>
      <c r="E634" s="5">
        <f t="shared" si="37"/>
        <v>1468</v>
      </c>
      <c r="F634" s="5">
        <f t="shared" si="38"/>
        <v>2155024</v>
      </c>
      <c r="G634" s="6">
        <f>SQRT(SUM($F$2:F634)/A634)</f>
        <v>1145.7339038865036</v>
      </c>
      <c r="H634" s="5">
        <f t="shared" si="39"/>
        <v>0</v>
      </c>
      <c r="I634" s="5">
        <f t="shared" si="40"/>
        <v>0</v>
      </c>
    </row>
    <row r="635" spans="1:9">
      <c r="A635">
        <v>634</v>
      </c>
      <c r="B635">
        <v>5</v>
      </c>
      <c r="C635">
        <v>5000</v>
      </c>
      <c r="D635">
        <v>3842</v>
      </c>
      <c r="E635" s="5">
        <f t="shared" si="37"/>
        <v>1158</v>
      </c>
      <c r="F635" s="5">
        <f t="shared" si="38"/>
        <v>1340964</v>
      </c>
      <c r="G635" s="6">
        <f>SQRT(SUM($F$2:F635)/A635)</f>
        <v>1145.7533544403684</v>
      </c>
      <c r="H635" s="5">
        <f t="shared" si="39"/>
        <v>0</v>
      </c>
      <c r="I635" s="5">
        <f t="shared" si="40"/>
        <v>0</v>
      </c>
    </row>
    <row r="636" spans="1:9">
      <c r="A636">
        <v>635</v>
      </c>
      <c r="B636">
        <v>8</v>
      </c>
      <c r="C636">
        <v>5000</v>
      </c>
      <c r="D636">
        <v>4893</v>
      </c>
      <c r="E636" s="5">
        <f t="shared" si="37"/>
        <v>107</v>
      </c>
      <c r="F636" s="5">
        <f t="shared" si="38"/>
        <v>11449</v>
      </c>
      <c r="G636" s="6">
        <f>SQRT(SUM($F$2:F636)/A636)</f>
        <v>1144.8587053073886</v>
      </c>
      <c r="H636" s="5">
        <f t="shared" si="39"/>
        <v>1</v>
      </c>
      <c r="I636" s="5">
        <f t="shared" si="40"/>
        <v>1</v>
      </c>
    </row>
    <row r="637" spans="1:9">
      <c r="A637">
        <v>636</v>
      </c>
      <c r="B637">
        <v>7</v>
      </c>
      <c r="C637">
        <v>5000</v>
      </c>
      <c r="D637">
        <v>4767</v>
      </c>
      <c r="E637" s="5">
        <f t="shared" si="37"/>
        <v>233</v>
      </c>
      <c r="F637" s="5">
        <f t="shared" si="38"/>
        <v>54289</v>
      </c>
      <c r="G637" s="6">
        <f>SQRT(SUM($F$2:F637)/A637)</f>
        <v>1143.9956135564848</v>
      </c>
      <c r="H637" s="5">
        <f t="shared" si="39"/>
        <v>1</v>
      </c>
      <c r="I637" s="5">
        <f t="shared" si="40"/>
        <v>1</v>
      </c>
    </row>
    <row r="638" spans="1:9">
      <c r="A638">
        <v>637</v>
      </c>
      <c r="B638">
        <v>7</v>
      </c>
      <c r="C638">
        <v>5000</v>
      </c>
      <c r="D638">
        <v>4750</v>
      </c>
      <c r="E638" s="5">
        <f t="shared" si="37"/>
        <v>250</v>
      </c>
      <c r="F638" s="5">
        <f t="shared" si="38"/>
        <v>62500</v>
      </c>
      <c r="G638" s="6">
        <f>SQRT(SUM($F$2:F638)/A638)</f>
        <v>1143.1402211229979</v>
      </c>
      <c r="H638" s="5">
        <f t="shared" si="39"/>
        <v>1</v>
      </c>
      <c r="I638" s="5">
        <f t="shared" si="40"/>
        <v>1</v>
      </c>
    </row>
    <row r="639" spans="1:9">
      <c r="A639">
        <v>638</v>
      </c>
      <c r="B639">
        <v>7</v>
      </c>
      <c r="C639">
        <v>5000</v>
      </c>
      <c r="D639">
        <v>5401</v>
      </c>
      <c r="E639" s="5">
        <f t="shared" si="37"/>
        <v>401</v>
      </c>
      <c r="F639" s="5">
        <f t="shared" si="38"/>
        <v>160801</v>
      </c>
      <c r="G639" s="6">
        <f>SQRT(SUM($F$2:F639)/A639)</f>
        <v>1142.3543128887591</v>
      </c>
      <c r="H639" s="5">
        <f t="shared" si="39"/>
        <v>1</v>
      </c>
      <c r="I639" s="5">
        <f t="shared" si="40"/>
        <v>1</v>
      </c>
    </row>
    <row r="640" spans="1:9">
      <c r="A640">
        <v>639</v>
      </c>
      <c r="B640">
        <v>6</v>
      </c>
      <c r="C640">
        <v>5000</v>
      </c>
      <c r="D640">
        <v>4452</v>
      </c>
      <c r="E640" s="5">
        <f t="shared" si="37"/>
        <v>548</v>
      </c>
      <c r="F640" s="5">
        <f t="shared" si="38"/>
        <v>300304</v>
      </c>
      <c r="G640" s="6">
        <f>SQRT(SUM($F$2:F640)/A640)</f>
        <v>1141.6659422224493</v>
      </c>
      <c r="H640" s="5">
        <f t="shared" si="39"/>
        <v>1</v>
      </c>
      <c r="I640" s="5">
        <f t="shared" si="40"/>
        <v>0</v>
      </c>
    </row>
    <row r="641" spans="1:9">
      <c r="A641">
        <v>640</v>
      </c>
      <c r="B641">
        <v>8</v>
      </c>
      <c r="C641">
        <v>5000</v>
      </c>
      <c r="D641">
        <v>5427</v>
      </c>
      <c r="E641" s="5">
        <f t="shared" si="37"/>
        <v>427</v>
      </c>
      <c r="F641" s="5">
        <f t="shared" si="38"/>
        <v>182329</v>
      </c>
      <c r="G641" s="6">
        <f>SQRT(SUM($F$2:F641)/A641)</f>
        <v>1140.8985267925891</v>
      </c>
      <c r="H641" s="5">
        <f t="shared" si="39"/>
        <v>1</v>
      </c>
      <c r="I641" s="5">
        <f t="shared" si="40"/>
        <v>1</v>
      </c>
    </row>
    <row r="642" spans="1:9">
      <c r="A642">
        <v>641</v>
      </c>
      <c r="B642">
        <v>6</v>
      </c>
      <c r="C642">
        <v>5000</v>
      </c>
      <c r="D642">
        <v>4172</v>
      </c>
      <c r="E642" s="5">
        <f t="shared" si="37"/>
        <v>828</v>
      </c>
      <c r="F642" s="5">
        <f t="shared" si="38"/>
        <v>685584</v>
      </c>
      <c r="G642" s="6">
        <f>SQRT(SUM($F$2:F642)/A642)</f>
        <v>1140.4772456712653</v>
      </c>
      <c r="H642" s="5">
        <f t="shared" si="39"/>
        <v>1</v>
      </c>
      <c r="I642" s="5">
        <f t="shared" si="40"/>
        <v>0</v>
      </c>
    </row>
    <row r="643" spans="1:9">
      <c r="A643">
        <v>642</v>
      </c>
      <c r="B643">
        <v>8</v>
      </c>
      <c r="C643">
        <v>5000</v>
      </c>
      <c r="D643">
        <v>5462</v>
      </c>
      <c r="E643" s="5">
        <f t="shared" ref="E643:E706" si="41">ABS(C643-D643)</f>
        <v>462</v>
      </c>
      <c r="F643" s="5">
        <f t="shared" ref="F643:F706" si="42">POWER(E643,2)</f>
        <v>213444</v>
      </c>
      <c r="G643" s="6">
        <f>SQRT(SUM($F$2:F643)/A643)</f>
        <v>1139.7345396504725</v>
      </c>
      <c r="H643" s="5">
        <f t="shared" ref="H643:H706" si="43">IF(ABS(E643)/C643&gt;0.2,0,1)</f>
        <v>1</v>
      </c>
      <c r="I643" s="5">
        <f t="shared" ref="I643:I706" si="44">IF(ABS(E643)/C643&gt;0.1,0,1)</f>
        <v>1</v>
      </c>
    </row>
    <row r="644" spans="1:9">
      <c r="A644">
        <v>643</v>
      </c>
      <c r="B644">
        <v>6</v>
      </c>
      <c r="C644">
        <v>5000</v>
      </c>
      <c r="D644">
        <v>3991</v>
      </c>
      <c r="E644" s="5">
        <f t="shared" si="41"/>
        <v>1009</v>
      </c>
      <c r="F644" s="5">
        <f t="shared" si="42"/>
        <v>1018081</v>
      </c>
      <c r="G644" s="6">
        <f>SQRT(SUM($F$2:F644)/A644)</f>
        <v>1139.5428648813618</v>
      </c>
      <c r="H644" s="5">
        <f t="shared" si="43"/>
        <v>0</v>
      </c>
      <c r="I644" s="5">
        <f t="shared" si="44"/>
        <v>0</v>
      </c>
    </row>
    <row r="645" spans="1:9">
      <c r="A645">
        <v>644</v>
      </c>
      <c r="B645">
        <v>8</v>
      </c>
      <c r="C645">
        <v>5000</v>
      </c>
      <c r="D645">
        <v>5649</v>
      </c>
      <c r="E645" s="5">
        <f t="shared" si="41"/>
        <v>649</v>
      </c>
      <c r="F645" s="5">
        <f t="shared" si="42"/>
        <v>421201</v>
      </c>
      <c r="G645" s="6">
        <f>SQRT(SUM($F$2:F645)/A645)</f>
        <v>1138.9449439739071</v>
      </c>
      <c r="H645" s="5">
        <f t="shared" si="43"/>
        <v>1</v>
      </c>
      <c r="I645" s="5">
        <f t="shared" si="44"/>
        <v>0</v>
      </c>
    </row>
    <row r="646" spans="1:9">
      <c r="A646">
        <v>645</v>
      </c>
      <c r="B646">
        <v>6</v>
      </c>
      <c r="C646">
        <v>5000</v>
      </c>
      <c r="D646">
        <v>4483</v>
      </c>
      <c r="E646" s="5">
        <f t="shared" si="41"/>
        <v>517</v>
      </c>
      <c r="F646" s="5">
        <f t="shared" si="42"/>
        <v>267289</v>
      </c>
      <c r="G646" s="6">
        <f>SQRT(SUM($F$2:F646)/A646)</f>
        <v>1138.243748503699</v>
      </c>
      <c r="H646" s="5">
        <f t="shared" si="43"/>
        <v>1</v>
      </c>
      <c r="I646" s="5">
        <f t="shared" si="44"/>
        <v>0</v>
      </c>
    </row>
    <row r="647" spans="1:9">
      <c r="A647">
        <v>646</v>
      </c>
      <c r="B647">
        <v>8</v>
      </c>
      <c r="C647">
        <v>5000</v>
      </c>
      <c r="D647">
        <v>5202</v>
      </c>
      <c r="E647" s="5">
        <f t="shared" si="41"/>
        <v>202</v>
      </c>
      <c r="F647" s="5">
        <f t="shared" si="42"/>
        <v>40804</v>
      </c>
      <c r="G647" s="6">
        <f>SQRT(SUM($F$2:F647)/A647)</f>
        <v>1137.3901811377689</v>
      </c>
      <c r="H647" s="5">
        <f t="shared" si="43"/>
        <v>1</v>
      </c>
      <c r="I647" s="5">
        <f t="shared" si="44"/>
        <v>1</v>
      </c>
    </row>
    <row r="648" spans="1:9">
      <c r="A648">
        <v>647</v>
      </c>
      <c r="B648">
        <v>7</v>
      </c>
      <c r="C648">
        <v>5000</v>
      </c>
      <c r="D648">
        <v>4289</v>
      </c>
      <c r="E648" s="5">
        <f t="shared" si="41"/>
        <v>711</v>
      </c>
      <c r="F648" s="5">
        <f t="shared" si="42"/>
        <v>505521</v>
      </c>
      <c r="G648" s="6">
        <f>SQRT(SUM($F$2:F648)/A648)</f>
        <v>1136.8545579514932</v>
      </c>
      <c r="H648" s="5">
        <f t="shared" si="43"/>
        <v>1</v>
      </c>
      <c r="I648" s="5">
        <f t="shared" si="44"/>
        <v>0</v>
      </c>
    </row>
    <row r="649" spans="1:9">
      <c r="A649">
        <v>648</v>
      </c>
      <c r="B649">
        <v>8</v>
      </c>
      <c r="C649">
        <v>5000</v>
      </c>
      <c r="D649">
        <v>5326</v>
      </c>
      <c r="E649" s="5">
        <f t="shared" si="41"/>
        <v>326</v>
      </c>
      <c r="F649" s="5">
        <f t="shared" si="42"/>
        <v>106276</v>
      </c>
      <c r="G649" s="6">
        <f>SQRT(SUM($F$2:F649)/A649)</f>
        <v>1136.049201654685</v>
      </c>
      <c r="H649" s="5">
        <f t="shared" si="43"/>
        <v>1</v>
      </c>
      <c r="I649" s="5">
        <f t="shared" si="44"/>
        <v>1</v>
      </c>
    </row>
    <row r="650" spans="1:9">
      <c r="A650">
        <v>649</v>
      </c>
      <c r="B650">
        <v>7</v>
      </c>
      <c r="C650">
        <v>5000</v>
      </c>
      <c r="D650">
        <v>4056</v>
      </c>
      <c r="E650" s="5">
        <f t="shared" si="41"/>
        <v>944</v>
      </c>
      <c r="F650" s="5">
        <f t="shared" si="42"/>
        <v>891136</v>
      </c>
      <c r="G650" s="6">
        <f>SQRT(SUM($F$2:F650)/A650)</f>
        <v>1135.7782660561913</v>
      </c>
      <c r="H650" s="5">
        <f t="shared" si="43"/>
        <v>1</v>
      </c>
      <c r="I650" s="5">
        <f t="shared" si="44"/>
        <v>0</v>
      </c>
    </row>
    <row r="651" spans="1:9">
      <c r="A651">
        <v>650</v>
      </c>
      <c r="B651">
        <v>9</v>
      </c>
      <c r="C651">
        <v>5000</v>
      </c>
      <c r="D651">
        <v>5803</v>
      </c>
      <c r="E651" s="5">
        <f t="shared" si="41"/>
        <v>803</v>
      </c>
      <c r="F651" s="5">
        <f t="shared" si="42"/>
        <v>644809</v>
      </c>
      <c r="G651" s="6">
        <f>SQRT(SUM($F$2:F651)/A651)</f>
        <v>1135.3412174320106</v>
      </c>
      <c r="H651" s="5">
        <f t="shared" si="43"/>
        <v>1</v>
      </c>
      <c r="I651" s="5">
        <f t="shared" si="44"/>
        <v>0</v>
      </c>
    </row>
    <row r="652" spans="1:9">
      <c r="A652">
        <v>651</v>
      </c>
      <c r="B652">
        <v>6</v>
      </c>
      <c r="C652">
        <v>5000</v>
      </c>
      <c r="D652">
        <v>3620</v>
      </c>
      <c r="E652" s="5">
        <f t="shared" si="41"/>
        <v>1380</v>
      </c>
      <c r="F652" s="5">
        <f t="shared" si="42"/>
        <v>1904400</v>
      </c>
      <c r="G652" s="6">
        <f>SQRT(SUM($F$2:F652)/A652)</f>
        <v>1135.7574544733154</v>
      </c>
      <c r="H652" s="5">
        <f t="shared" si="43"/>
        <v>0</v>
      </c>
      <c r="I652" s="5">
        <f t="shared" si="44"/>
        <v>0</v>
      </c>
    </row>
    <row r="653" spans="1:9">
      <c r="A653">
        <v>652</v>
      </c>
      <c r="B653">
        <v>9</v>
      </c>
      <c r="C653">
        <v>5000</v>
      </c>
      <c r="D653">
        <v>6248</v>
      </c>
      <c r="E653" s="5">
        <f t="shared" si="41"/>
        <v>1248</v>
      </c>
      <c r="F653" s="5">
        <f t="shared" si="42"/>
        <v>1557504</v>
      </c>
      <c r="G653" s="6">
        <f>SQRT(SUM($F$2:F653)/A653)</f>
        <v>1135.9380977690598</v>
      </c>
      <c r="H653" s="5">
        <f t="shared" si="43"/>
        <v>0</v>
      </c>
      <c r="I653" s="5">
        <f t="shared" si="44"/>
        <v>0</v>
      </c>
    </row>
    <row r="654" spans="1:9">
      <c r="A654">
        <v>653</v>
      </c>
      <c r="B654">
        <v>6</v>
      </c>
      <c r="C654">
        <v>5000</v>
      </c>
      <c r="D654">
        <v>5192</v>
      </c>
      <c r="E654" s="5">
        <f t="shared" si="41"/>
        <v>192</v>
      </c>
      <c r="F654" s="5">
        <f t="shared" si="42"/>
        <v>36864</v>
      </c>
      <c r="G654" s="6">
        <f>SQRT(SUM($F$2:F654)/A654)</f>
        <v>1135.0928479000086</v>
      </c>
      <c r="H654" s="5">
        <f t="shared" si="43"/>
        <v>1</v>
      </c>
      <c r="I654" s="5">
        <f t="shared" si="44"/>
        <v>1</v>
      </c>
    </row>
    <row r="655" spans="1:9">
      <c r="A655">
        <v>654</v>
      </c>
      <c r="B655">
        <v>7</v>
      </c>
      <c r="C655">
        <v>5000</v>
      </c>
      <c r="D655">
        <v>4997</v>
      </c>
      <c r="E655" s="5">
        <f t="shared" si="41"/>
        <v>3</v>
      </c>
      <c r="F655" s="5">
        <f t="shared" si="42"/>
        <v>9</v>
      </c>
      <c r="G655" s="6">
        <f>SQRT(SUM($F$2:F655)/A655)</f>
        <v>1134.2247139940403</v>
      </c>
      <c r="H655" s="5">
        <f t="shared" si="43"/>
        <v>1</v>
      </c>
      <c r="I655" s="5">
        <f t="shared" si="44"/>
        <v>1</v>
      </c>
    </row>
    <row r="656" spans="1:9">
      <c r="A656">
        <v>655</v>
      </c>
      <c r="B656">
        <v>7</v>
      </c>
      <c r="C656">
        <v>5000</v>
      </c>
      <c r="D656">
        <v>5313</v>
      </c>
      <c r="E656" s="5">
        <f t="shared" si="41"/>
        <v>313</v>
      </c>
      <c r="F656" s="5">
        <f t="shared" si="42"/>
        <v>97969</v>
      </c>
      <c r="G656" s="6">
        <f>SQRT(SUM($F$2:F656)/A656)</f>
        <v>1133.4245466961772</v>
      </c>
      <c r="H656" s="5">
        <f t="shared" si="43"/>
        <v>1</v>
      </c>
      <c r="I656" s="5">
        <f t="shared" si="44"/>
        <v>1</v>
      </c>
    </row>
    <row r="657" spans="1:9">
      <c r="A657">
        <v>656</v>
      </c>
      <c r="B657">
        <v>7</v>
      </c>
      <c r="C657">
        <v>5000</v>
      </c>
      <c r="D657">
        <v>5712</v>
      </c>
      <c r="E657" s="5">
        <f t="shared" si="41"/>
        <v>712</v>
      </c>
      <c r="F657" s="5">
        <f t="shared" si="42"/>
        <v>506944</v>
      </c>
      <c r="G657" s="6">
        <f>SQRT(SUM($F$2:F657)/A657)</f>
        <v>1132.9014404530024</v>
      </c>
      <c r="H657" s="5">
        <f t="shared" si="43"/>
        <v>1</v>
      </c>
      <c r="I657" s="5">
        <f t="shared" si="44"/>
        <v>0</v>
      </c>
    </row>
    <row r="658" spans="1:9">
      <c r="A658">
        <v>657</v>
      </c>
      <c r="B658">
        <v>6</v>
      </c>
      <c r="C658">
        <v>5000</v>
      </c>
      <c r="D658">
        <v>4185</v>
      </c>
      <c r="E658" s="5">
        <f t="shared" si="41"/>
        <v>815</v>
      </c>
      <c r="F658" s="5">
        <f t="shared" si="42"/>
        <v>664225</v>
      </c>
      <c r="G658" s="6">
        <f>SQRT(SUM($F$2:F658)/A658)</f>
        <v>1132.4853845055668</v>
      </c>
      <c r="H658" s="5">
        <f t="shared" si="43"/>
        <v>1</v>
      </c>
      <c r="I658" s="5">
        <f t="shared" si="44"/>
        <v>0</v>
      </c>
    </row>
    <row r="659" spans="1:9">
      <c r="A659">
        <v>658</v>
      </c>
      <c r="B659">
        <v>8</v>
      </c>
      <c r="C659">
        <v>5000</v>
      </c>
      <c r="D659">
        <v>6213</v>
      </c>
      <c r="E659" s="5">
        <f t="shared" si="41"/>
        <v>1213</v>
      </c>
      <c r="F659" s="5">
        <f t="shared" si="42"/>
        <v>1471369</v>
      </c>
      <c r="G659" s="6">
        <f>SQRT(SUM($F$2:F659)/A659)</f>
        <v>1132.6120897715407</v>
      </c>
      <c r="H659" s="5">
        <f t="shared" si="43"/>
        <v>0</v>
      </c>
      <c r="I659" s="5">
        <f t="shared" si="44"/>
        <v>0</v>
      </c>
    </row>
    <row r="660" spans="1:9">
      <c r="A660">
        <v>659</v>
      </c>
      <c r="B660">
        <v>5</v>
      </c>
      <c r="C660">
        <v>5000</v>
      </c>
      <c r="D660">
        <v>4215</v>
      </c>
      <c r="E660" s="5">
        <f t="shared" si="41"/>
        <v>785</v>
      </c>
      <c r="F660" s="5">
        <f t="shared" si="42"/>
        <v>616225</v>
      </c>
      <c r="G660" s="6">
        <f>SQRT(SUM($F$2:F660)/A660)</f>
        <v>1132.1654630891353</v>
      </c>
      <c r="H660" s="5">
        <f t="shared" si="43"/>
        <v>1</v>
      </c>
      <c r="I660" s="5">
        <f t="shared" si="44"/>
        <v>0</v>
      </c>
    </row>
    <row r="661" spans="1:9">
      <c r="A661">
        <v>660</v>
      </c>
      <c r="B661">
        <v>8</v>
      </c>
      <c r="C661">
        <v>5000</v>
      </c>
      <c r="D661">
        <v>5833</v>
      </c>
      <c r="E661" s="5">
        <f t="shared" si="41"/>
        <v>833</v>
      </c>
      <c r="F661" s="5">
        <f t="shared" si="42"/>
        <v>693889</v>
      </c>
      <c r="G661" s="6">
        <f>SQRT(SUM($F$2:F661)/A661)</f>
        <v>1131.7720016135597</v>
      </c>
      <c r="H661" s="5">
        <f t="shared" si="43"/>
        <v>1</v>
      </c>
      <c r="I661" s="5">
        <f t="shared" si="44"/>
        <v>0</v>
      </c>
    </row>
    <row r="662" spans="1:9">
      <c r="A662">
        <v>661</v>
      </c>
      <c r="B662">
        <v>6</v>
      </c>
      <c r="C662">
        <v>5000</v>
      </c>
      <c r="D662">
        <v>4184</v>
      </c>
      <c r="E662" s="5">
        <f t="shared" si="41"/>
        <v>816</v>
      </c>
      <c r="F662" s="5">
        <f t="shared" si="42"/>
        <v>665856</v>
      </c>
      <c r="G662" s="6">
        <f>SQRT(SUM($F$2:F662)/A662)</f>
        <v>1131.3608516746399</v>
      </c>
      <c r="H662" s="5">
        <f t="shared" si="43"/>
        <v>1</v>
      </c>
      <c r="I662" s="5">
        <f t="shared" si="44"/>
        <v>0</v>
      </c>
    </row>
    <row r="663" spans="1:9">
      <c r="A663">
        <v>662</v>
      </c>
      <c r="B663">
        <v>8</v>
      </c>
      <c r="C663">
        <v>5000</v>
      </c>
      <c r="D663">
        <v>5694</v>
      </c>
      <c r="E663" s="5">
        <f t="shared" si="41"/>
        <v>694</v>
      </c>
      <c r="F663" s="5">
        <f t="shared" si="42"/>
        <v>481636</v>
      </c>
      <c r="G663" s="6">
        <f>SQRT(SUM($F$2:F663)/A663)</f>
        <v>1130.8277600769823</v>
      </c>
      <c r="H663" s="5">
        <f t="shared" si="43"/>
        <v>1</v>
      </c>
      <c r="I663" s="5">
        <f t="shared" si="44"/>
        <v>0</v>
      </c>
    </row>
    <row r="664" spans="1:9">
      <c r="A664">
        <v>663</v>
      </c>
      <c r="B664">
        <v>6</v>
      </c>
      <c r="C664">
        <v>5000</v>
      </c>
      <c r="D664">
        <v>4471</v>
      </c>
      <c r="E664" s="5">
        <f t="shared" si="41"/>
        <v>529</v>
      </c>
      <c r="F664" s="5">
        <f t="shared" si="42"/>
        <v>279841</v>
      </c>
      <c r="G664" s="6">
        <f>SQRT(SUM($F$2:F664)/A664)</f>
        <v>1130.1613781107335</v>
      </c>
      <c r="H664" s="5">
        <f t="shared" si="43"/>
        <v>1</v>
      </c>
      <c r="I664" s="5">
        <f t="shared" si="44"/>
        <v>0</v>
      </c>
    </row>
    <row r="665" spans="1:9">
      <c r="A665">
        <v>664</v>
      </c>
      <c r="B665">
        <v>8</v>
      </c>
      <c r="C665">
        <v>5000</v>
      </c>
      <c r="D665">
        <v>5820</v>
      </c>
      <c r="E665" s="5">
        <f t="shared" si="41"/>
        <v>820</v>
      </c>
      <c r="F665" s="5">
        <f t="shared" si="42"/>
        <v>672400</v>
      </c>
      <c r="G665" s="6">
        <f>SQRT(SUM($F$2:F665)/A665)</f>
        <v>1129.7582926001451</v>
      </c>
      <c r="H665" s="5">
        <f t="shared" si="43"/>
        <v>1</v>
      </c>
      <c r="I665" s="5">
        <f t="shared" si="44"/>
        <v>0</v>
      </c>
    </row>
    <row r="666" spans="1:9">
      <c r="A666">
        <v>665</v>
      </c>
      <c r="B666">
        <v>6</v>
      </c>
      <c r="C666">
        <v>5000</v>
      </c>
      <c r="D666">
        <v>4605</v>
      </c>
      <c r="E666" s="5">
        <f t="shared" si="41"/>
        <v>395</v>
      </c>
      <c r="F666" s="5">
        <f t="shared" si="42"/>
        <v>156025</v>
      </c>
      <c r="G666" s="6">
        <f>SQRT(SUM($F$2:F666)/A666)</f>
        <v>1129.0124422418214</v>
      </c>
      <c r="H666" s="5">
        <f t="shared" si="43"/>
        <v>1</v>
      </c>
      <c r="I666" s="5">
        <f t="shared" si="44"/>
        <v>1</v>
      </c>
    </row>
    <row r="667" spans="1:9">
      <c r="A667">
        <v>666</v>
      </c>
      <c r="B667">
        <v>7</v>
      </c>
      <c r="C667">
        <v>5000</v>
      </c>
      <c r="D667">
        <v>4550</v>
      </c>
      <c r="E667" s="5">
        <f t="shared" si="41"/>
        <v>450</v>
      </c>
      <c r="F667" s="5">
        <f t="shared" si="42"/>
        <v>202500</v>
      </c>
      <c r="G667" s="6">
        <f>SQRT(SUM($F$2:F667)/A667)</f>
        <v>1128.2992649254147</v>
      </c>
      <c r="H667" s="5">
        <f t="shared" si="43"/>
        <v>1</v>
      </c>
      <c r="I667" s="5">
        <f t="shared" si="44"/>
        <v>1</v>
      </c>
    </row>
    <row r="668" spans="1:9">
      <c r="A668">
        <v>667</v>
      </c>
      <c r="B668">
        <v>8</v>
      </c>
      <c r="C668">
        <v>5000</v>
      </c>
      <c r="D668">
        <v>5591</v>
      </c>
      <c r="E668" s="5">
        <f t="shared" si="41"/>
        <v>591</v>
      </c>
      <c r="F668" s="5">
        <f t="shared" si="42"/>
        <v>349281</v>
      </c>
      <c r="G668" s="6">
        <f>SQRT(SUM($F$2:F668)/A668)</f>
        <v>1127.6853534438646</v>
      </c>
      <c r="H668" s="5">
        <f t="shared" si="43"/>
        <v>1</v>
      </c>
      <c r="I668" s="5">
        <f t="shared" si="44"/>
        <v>0</v>
      </c>
    </row>
    <row r="669" spans="1:9">
      <c r="A669">
        <v>668</v>
      </c>
      <c r="B669">
        <v>6</v>
      </c>
      <c r="C669">
        <v>5000</v>
      </c>
      <c r="D669">
        <v>4467</v>
      </c>
      <c r="E669" s="5">
        <f t="shared" si="41"/>
        <v>533</v>
      </c>
      <c r="F669" s="5">
        <f t="shared" si="42"/>
        <v>284089</v>
      </c>
      <c r="G669" s="6">
        <f>SQRT(SUM($F$2:F669)/A669)</f>
        <v>1127.0296514863046</v>
      </c>
      <c r="H669" s="5">
        <f t="shared" si="43"/>
        <v>1</v>
      </c>
      <c r="I669" s="5">
        <f t="shared" si="44"/>
        <v>0</v>
      </c>
    </row>
    <row r="670" spans="1:9">
      <c r="A670">
        <v>669</v>
      </c>
      <c r="B670">
        <v>8</v>
      </c>
      <c r="C670">
        <v>5000</v>
      </c>
      <c r="D670">
        <v>5855</v>
      </c>
      <c r="E670" s="5">
        <f t="shared" si="41"/>
        <v>855</v>
      </c>
      <c r="F670" s="5">
        <f t="shared" si="42"/>
        <v>731025</v>
      </c>
      <c r="G670" s="6">
        <f>SQRT(SUM($F$2:F670)/A670)</f>
        <v>1126.6720462719056</v>
      </c>
      <c r="H670" s="5">
        <f t="shared" si="43"/>
        <v>1</v>
      </c>
      <c r="I670" s="5">
        <f t="shared" si="44"/>
        <v>0</v>
      </c>
    </row>
    <row r="671" spans="1:9">
      <c r="A671">
        <v>670</v>
      </c>
      <c r="B671">
        <v>6</v>
      </c>
      <c r="C671">
        <v>5000</v>
      </c>
      <c r="D671">
        <v>4842</v>
      </c>
      <c r="E671" s="5">
        <f t="shared" si="41"/>
        <v>158</v>
      </c>
      <c r="F671" s="5">
        <f t="shared" si="42"/>
        <v>24964</v>
      </c>
      <c r="G671" s="6">
        <f>SQRT(SUM($F$2:F671)/A671)</f>
        <v>1125.8474797951958</v>
      </c>
      <c r="H671" s="5">
        <f t="shared" si="43"/>
        <v>1</v>
      </c>
      <c r="I671" s="5">
        <f t="shared" si="44"/>
        <v>1</v>
      </c>
    </row>
    <row r="672" spans="1:9">
      <c r="A672">
        <v>671</v>
      </c>
      <c r="B672">
        <v>7</v>
      </c>
      <c r="C672">
        <v>5000</v>
      </c>
      <c r="D672">
        <v>5287</v>
      </c>
      <c r="E672" s="5">
        <f t="shared" si="41"/>
        <v>287</v>
      </c>
      <c r="F672" s="5">
        <f t="shared" si="42"/>
        <v>82369</v>
      </c>
      <c r="G672" s="6">
        <f>SQRT(SUM($F$2:F672)/A672)</f>
        <v>1125.0627907630148</v>
      </c>
      <c r="H672" s="5">
        <f t="shared" si="43"/>
        <v>1</v>
      </c>
      <c r="I672" s="5">
        <f t="shared" si="44"/>
        <v>1</v>
      </c>
    </row>
    <row r="673" spans="1:9">
      <c r="A673">
        <v>672</v>
      </c>
      <c r="B673">
        <v>6</v>
      </c>
      <c r="C673">
        <v>5000</v>
      </c>
      <c r="D673">
        <v>3965</v>
      </c>
      <c r="E673" s="5">
        <f t="shared" si="41"/>
        <v>1035</v>
      </c>
      <c r="F673" s="5">
        <f t="shared" si="42"/>
        <v>1071225</v>
      </c>
      <c r="G673" s="6">
        <f>SQRT(SUM($F$2:F673)/A673)</f>
        <v>1124.934125716871</v>
      </c>
      <c r="H673" s="5">
        <f t="shared" si="43"/>
        <v>0</v>
      </c>
      <c r="I673" s="5">
        <f t="shared" si="44"/>
        <v>0</v>
      </c>
    </row>
    <row r="674" spans="1:9">
      <c r="A674">
        <v>673</v>
      </c>
      <c r="B674">
        <v>8</v>
      </c>
      <c r="C674">
        <v>5000</v>
      </c>
      <c r="D674">
        <v>3760</v>
      </c>
      <c r="E674" s="5">
        <f t="shared" si="41"/>
        <v>1240</v>
      </c>
      <c r="F674" s="5">
        <f t="shared" si="42"/>
        <v>1537600</v>
      </c>
      <c r="G674" s="6">
        <f>SQRT(SUM($F$2:F674)/A674)</f>
        <v>1125.1138301335563</v>
      </c>
      <c r="H674" s="5">
        <f t="shared" si="43"/>
        <v>0</v>
      </c>
      <c r="I674" s="5">
        <f t="shared" si="44"/>
        <v>0</v>
      </c>
    </row>
    <row r="675" spans="1:9">
      <c r="A675">
        <v>674</v>
      </c>
      <c r="B675">
        <v>9</v>
      </c>
      <c r="C675">
        <v>5000</v>
      </c>
      <c r="D675">
        <v>3087</v>
      </c>
      <c r="E675" s="5">
        <f t="shared" si="41"/>
        <v>1913</v>
      </c>
      <c r="F675" s="5">
        <f t="shared" si="42"/>
        <v>3659569</v>
      </c>
      <c r="G675" s="6">
        <f>SQRT(SUM($F$2:F675)/A675)</f>
        <v>1126.6909942123302</v>
      </c>
      <c r="H675" s="5">
        <f t="shared" si="43"/>
        <v>0</v>
      </c>
      <c r="I675" s="5">
        <f t="shared" si="44"/>
        <v>0</v>
      </c>
    </row>
    <row r="676" spans="1:9">
      <c r="A676">
        <v>675</v>
      </c>
      <c r="B676">
        <v>10</v>
      </c>
      <c r="C676">
        <v>5000</v>
      </c>
      <c r="D676">
        <v>5531</v>
      </c>
      <c r="E676" s="5">
        <f t="shared" si="41"/>
        <v>531</v>
      </c>
      <c r="F676" s="5">
        <f t="shared" si="42"/>
        <v>281961</v>
      </c>
      <c r="G676" s="6">
        <f>SQRT(SUM($F$2:F676)/A676)</f>
        <v>1126.0415958371857</v>
      </c>
      <c r="H676" s="5">
        <f t="shared" si="43"/>
        <v>1</v>
      </c>
      <c r="I676" s="5">
        <f t="shared" si="44"/>
        <v>0</v>
      </c>
    </row>
    <row r="677" spans="1:9">
      <c r="A677">
        <v>676</v>
      </c>
      <c r="B677">
        <v>7</v>
      </c>
      <c r="C677">
        <v>5000</v>
      </c>
      <c r="D677">
        <v>4067</v>
      </c>
      <c r="E677" s="5">
        <f t="shared" si="41"/>
        <v>933</v>
      </c>
      <c r="F677" s="5">
        <f t="shared" si="42"/>
        <v>870489</v>
      </c>
      <c r="G677" s="6">
        <f>SQRT(SUM($F$2:F677)/A677)</f>
        <v>1125.780478774851</v>
      </c>
      <c r="H677" s="5">
        <f t="shared" si="43"/>
        <v>1</v>
      </c>
      <c r="I677" s="5">
        <f t="shared" si="44"/>
        <v>0</v>
      </c>
    </row>
    <row r="678" spans="1:9">
      <c r="A678">
        <v>677</v>
      </c>
      <c r="B678">
        <v>9</v>
      </c>
      <c r="C678">
        <v>5000</v>
      </c>
      <c r="D678">
        <v>5776</v>
      </c>
      <c r="E678" s="5">
        <f t="shared" si="41"/>
        <v>776</v>
      </c>
      <c r="F678" s="5">
        <f t="shared" si="42"/>
        <v>602176</v>
      </c>
      <c r="G678" s="6">
        <f>SQRT(SUM($F$2:F678)/A678)</f>
        <v>1125.3439953314967</v>
      </c>
      <c r="H678" s="5">
        <f t="shared" si="43"/>
        <v>1</v>
      </c>
      <c r="I678" s="5">
        <f t="shared" si="44"/>
        <v>0</v>
      </c>
    </row>
    <row r="679" spans="1:9">
      <c r="A679">
        <v>678</v>
      </c>
      <c r="B679">
        <v>7</v>
      </c>
      <c r="C679">
        <v>5000</v>
      </c>
      <c r="D679">
        <v>4975</v>
      </c>
      <c r="E679" s="5">
        <f t="shared" si="41"/>
        <v>25</v>
      </c>
      <c r="F679" s="5">
        <f t="shared" si="42"/>
        <v>625</v>
      </c>
      <c r="G679" s="6">
        <f>SQRT(SUM($F$2:F679)/A679)</f>
        <v>1124.5141992726378</v>
      </c>
      <c r="H679" s="5">
        <f t="shared" si="43"/>
        <v>1</v>
      </c>
      <c r="I679" s="5">
        <f t="shared" si="44"/>
        <v>1</v>
      </c>
    </row>
    <row r="680" spans="1:9">
      <c r="A680">
        <v>679</v>
      </c>
      <c r="B680">
        <v>8</v>
      </c>
      <c r="C680">
        <v>5000</v>
      </c>
      <c r="D680">
        <v>5055</v>
      </c>
      <c r="E680" s="5">
        <f t="shared" si="41"/>
        <v>55</v>
      </c>
      <c r="F680" s="5">
        <f t="shared" si="42"/>
        <v>3025</v>
      </c>
      <c r="G680" s="6">
        <f>SQRT(SUM($F$2:F680)/A680)</f>
        <v>1123.6878100926476</v>
      </c>
      <c r="H680" s="5">
        <f t="shared" si="43"/>
        <v>1</v>
      </c>
      <c r="I680" s="5">
        <f t="shared" si="44"/>
        <v>1</v>
      </c>
    </row>
    <row r="681" spans="1:9">
      <c r="A681">
        <v>680</v>
      </c>
      <c r="B681">
        <v>8</v>
      </c>
      <c r="C681">
        <v>5000</v>
      </c>
      <c r="D681">
        <v>4887</v>
      </c>
      <c r="E681" s="5">
        <f t="shared" si="41"/>
        <v>113</v>
      </c>
      <c r="F681" s="5">
        <f t="shared" si="42"/>
        <v>12769</v>
      </c>
      <c r="G681" s="6">
        <f>SQRT(SUM($F$2:F681)/A681)</f>
        <v>1122.8696266839761</v>
      </c>
      <c r="H681" s="5">
        <f t="shared" si="43"/>
        <v>1</v>
      </c>
      <c r="I681" s="5">
        <f t="shared" si="44"/>
        <v>1</v>
      </c>
    </row>
    <row r="682" spans="1:9">
      <c r="A682">
        <v>681</v>
      </c>
      <c r="B682">
        <v>8</v>
      </c>
      <c r="C682">
        <v>5000</v>
      </c>
      <c r="D682">
        <v>5186</v>
      </c>
      <c r="E682" s="5">
        <f t="shared" si="41"/>
        <v>186</v>
      </c>
      <c r="F682" s="5">
        <f t="shared" si="42"/>
        <v>34596</v>
      </c>
      <c r="G682" s="6">
        <f>SQRT(SUM($F$2:F682)/A682)</f>
        <v>1122.0675345669804</v>
      </c>
      <c r="H682" s="5">
        <f t="shared" si="43"/>
        <v>1</v>
      </c>
      <c r="I682" s="5">
        <f t="shared" si="44"/>
        <v>1</v>
      </c>
    </row>
    <row r="683" spans="1:9">
      <c r="A683">
        <v>682</v>
      </c>
      <c r="B683">
        <v>8</v>
      </c>
      <c r="C683">
        <v>5000</v>
      </c>
      <c r="D683">
        <v>5196</v>
      </c>
      <c r="E683" s="5">
        <f t="shared" si="41"/>
        <v>196</v>
      </c>
      <c r="F683" s="5">
        <f t="shared" si="42"/>
        <v>38416</v>
      </c>
      <c r="G683" s="6">
        <f>SQRT(SUM($F$2:F683)/A683)</f>
        <v>1121.2697210707286</v>
      </c>
      <c r="H683" s="5">
        <f t="shared" si="43"/>
        <v>1</v>
      </c>
      <c r="I683" s="5">
        <f t="shared" si="44"/>
        <v>1</v>
      </c>
    </row>
    <row r="684" spans="1:9">
      <c r="A684">
        <v>683</v>
      </c>
      <c r="B684">
        <v>8</v>
      </c>
      <c r="C684">
        <v>5000</v>
      </c>
      <c r="D684">
        <v>5256</v>
      </c>
      <c r="E684" s="5">
        <f t="shared" si="41"/>
        <v>256</v>
      </c>
      <c r="F684" s="5">
        <f t="shared" si="42"/>
        <v>65536</v>
      </c>
      <c r="G684" s="6">
        <f>SQRT(SUM($F$2:F684)/A684)</f>
        <v>1120.4913969850118</v>
      </c>
      <c r="H684" s="5">
        <f t="shared" si="43"/>
        <v>1</v>
      </c>
      <c r="I684" s="5">
        <f t="shared" si="44"/>
        <v>1</v>
      </c>
    </row>
    <row r="685" spans="1:9">
      <c r="A685">
        <v>684</v>
      </c>
      <c r="B685">
        <v>7</v>
      </c>
      <c r="C685">
        <v>5000</v>
      </c>
      <c r="D685">
        <v>4677</v>
      </c>
      <c r="E685" s="5">
        <f t="shared" si="41"/>
        <v>323</v>
      </c>
      <c r="F685" s="5">
        <f t="shared" si="42"/>
        <v>104329</v>
      </c>
      <c r="G685" s="6">
        <f>SQRT(SUM($F$2:F685)/A685)</f>
        <v>1119.7401353708074</v>
      </c>
      <c r="H685" s="5">
        <f t="shared" si="43"/>
        <v>1</v>
      </c>
      <c r="I685" s="5">
        <f t="shared" si="44"/>
        <v>1</v>
      </c>
    </row>
    <row r="686" spans="1:9">
      <c r="A686">
        <v>685</v>
      </c>
      <c r="B686">
        <v>8</v>
      </c>
      <c r="C686">
        <v>5000</v>
      </c>
      <c r="D686">
        <v>5032</v>
      </c>
      <c r="E686" s="5">
        <f t="shared" si="41"/>
        <v>32</v>
      </c>
      <c r="F686" s="5">
        <f t="shared" si="42"/>
        <v>1024</v>
      </c>
      <c r="G686" s="6">
        <f>SQRT(SUM($F$2:F686)/A686)</f>
        <v>1118.9231762961008</v>
      </c>
      <c r="H686" s="5">
        <f t="shared" si="43"/>
        <v>1</v>
      </c>
      <c r="I686" s="5">
        <f t="shared" si="44"/>
        <v>1</v>
      </c>
    </row>
    <row r="687" spans="1:9">
      <c r="A687">
        <v>686</v>
      </c>
      <c r="B687">
        <v>8</v>
      </c>
      <c r="C687">
        <v>5000</v>
      </c>
      <c r="D687">
        <v>5091</v>
      </c>
      <c r="E687" s="5">
        <f t="shared" si="41"/>
        <v>91</v>
      </c>
      <c r="F687" s="5">
        <f t="shared" si="42"/>
        <v>8281</v>
      </c>
      <c r="G687" s="6">
        <f>SQRT(SUM($F$2:F687)/A687)</f>
        <v>1118.1127353363268</v>
      </c>
      <c r="H687" s="5">
        <f t="shared" si="43"/>
        <v>1</v>
      </c>
      <c r="I687" s="5">
        <f t="shared" si="44"/>
        <v>1</v>
      </c>
    </row>
    <row r="688" spans="1:9">
      <c r="A688">
        <v>687</v>
      </c>
      <c r="B688">
        <v>8</v>
      </c>
      <c r="C688">
        <v>5000</v>
      </c>
      <c r="D688">
        <v>5216</v>
      </c>
      <c r="E688" s="5">
        <f t="shared" si="41"/>
        <v>216</v>
      </c>
      <c r="F688" s="5">
        <f t="shared" si="42"/>
        <v>46656</v>
      </c>
      <c r="G688" s="6">
        <f>SQRT(SUM($F$2:F688)/A688)</f>
        <v>1117.329065304699</v>
      </c>
      <c r="H688" s="5">
        <f t="shared" si="43"/>
        <v>1</v>
      </c>
      <c r="I688" s="5">
        <f t="shared" si="44"/>
        <v>1</v>
      </c>
    </row>
    <row r="689" spans="1:9">
      <c r="A689">
        <v>688</v>
      </c>
      <c r="B689">
        <v>7</v>
      </c>
      <c r="C689">
        <v>5000</v>
      </c>
      <c r="D689">
        <v>4269</v>
      </c>
      <c r="E689" s="5">
        <f t="shared" si="41"/>
        <v>731</v>
      </c>
      <c r="F689" s="5">
        <f t="shared" si="42"/>
        <v>534361</v>
      </c>
      <c r="G689" s="6">
        <f>SQRT(SUM($F$2:F689)/A689)</f>
        <v>1116.8645206819579</v>
      </c>
      <c r="H689" s="5">
        <f t="shared" si="43"/>
        <v>1</v>
      </c>
      <c r="I689" s="5">
        <f t="shared" si="44"/>
        <v>0</v>
      </c>
    </row>
    <row r="690" spans="1:9">
      <c r="A690">
        <v>689</v>
      </c>
      <c r="B690">
        <v>9</v>
      </c>
      <c r="C690">
        <v>5000</v>
      </c>
      <c r="D690">
        <v>6122</v>
      </c>
      <c r="E690" s="5">
        <f t="shared" si="41"/>
        <v>1122</v>
      </c>
      <c r="F690" s="5">
        <f t="shared" si="42"/>
        <v>1258884</v>
      </c>
      <c r="G690" s="6">
        <f>SQRT(SUM($F$2:F690)/A690)</f>
        <v>1116.8719913189439</v>
      </c>
      <c r="H690" s="5">
        <f t="shared" si="43"/>
        <v>0</v>
      </c>
      <c r="I690" s="5">
        <f t="shared" si="44"/>
        <v>0</v>
      </c>
    </row>
    <row r="691" spans="1:9">
      <c r="A691">
        <v>690</v>
      </c>
      <c r="B691">
        <v>6</v>
      </c>
      <c r="C691">
        <v>5000</v>
      </c>
      <c r="D691">
        <v>4051</v>
      </c>
      <c r="E691" s="5">
        <f t="shared" si="41"/>
        <v>949</v>
      </c>
      <c r="F691" s="5">
        <f t="shared" si="42"/>
        <v>900601</v>
      </c>
      <c r="G691" s="6">
        <f>SQRT(SUM($F$2:F691)/A691)</f>
        <v>1116.6469600251162</v>
      </c>
      <c r="H691" s="5">
        <f t="shared" si="43"/>
        <v>1</v>
      </c>
      <c r="I691" s="5">
        <f t="shared" si="44"/>
        <v>0</v>
      </c>
    </row>
    <row r="692" spans="1:9">
      <c r="A692">
        <v>691</v>
      </c>
      <c r="B692">
        <v>9</v>
      </c>
      <c r="C692">
        <v>5000</v>
      </c>
      <c r="D692">
        <v>6171</v>
      </c>
      <c r="E692" s="5">
        <f t="shared" si="41"/>
        <v>1171</v>
      </c>
      <c r="F692" s="5">
        <f t="shared" si="42"/>
        <v>1371241</v>
      </c>
      <c r="G692" s="6">
        <f>SQRT(SUM($F$2:F692)/A692)</f>
        <v>1116.7275300028564</v>
      </c>
      <c r="H692" s="5">
        <f t="shared" si="43"/>
        <v>0</v>
      </c>
      <c r="I692" s="5">
        <f t="shared" si="44"/>
        <v>0</v>
      </c>
    </row>
    <row r="693" spans="1:9">
      <c r="A693">
        <v>692</v>
      </c>
      <c r="B693">
        <v>6</v>
      </c>
      <c r="C693">
        <v>5000</v>
      </c>
      <c r="D693">
        <v>4078</v>
      </c>
      <c r="E693" s="5">
        <f t="shared" si="41"/>
        <v>922</v>
      </c>
      <c r="F693" s="5">
        <f t="shared" si="42"/>
        <v>850084</v>
      </c>
      <c r="G693" s="6">
        <f>SQRT(SUM($F$2:F693)/A693)</f>
        <v>1116.4706364615797</v>
      </c>
      <c r="H693" s="5">
        <f t="shared" si="43"/>
        <v>1</v>
      </c>
      <c r="I693" s="5">
        <f t="shared" si="44"/>
        <v>0</v>
      </c>
    </row>
    <row r="694" spans="1:9">
      <c r="A694">
        <v>693</v>
      </c>
      <c r="B694">
        <v>9</v>
      </c>
      <c r="C694">
        <v>5000</v>
      </c>
      <c r="D694">
        <v>6141</v>
      </c>
      <c r="E694" s="5">
        <f t="shared" si="41"/>
        <v>1141</v>
      </c>
      <c r="F694" s="5">
        <f t="shared" si="42"/>
        <v>1301881</v>
      </c>
      <c r="G694" s="6">
        <f>SQRT(SUM($F$2:F694)/A694)</f>
        <v>1116.5064206271218</v>
      </c>
      <c r="H694" s="5">
        <f t="shared" si="43"/>
        <v>0</v>
      </c>
      <c r="I694" s="5">
        <f t="shared" si="44"/>
        <v>0</v>
      </c>
    </row>
    <row r="695" spans="1:9">
      <c r="A695">
        <v>694</v>
      </c>
      <c r="B695">
        <v>6</v>
      </c>
      <c r="C695">
        <v>5000</v>
      </c>
      <c r="D695">
        <v>3751</v>
      </c>
      <c r="E695" s="5">
        <f t="shared" si="41"/>
        <v>1249</v>
      </c>
      <c r="F695" s="5">
        <f t="shared" si="42"/>
        <v>1560001</v>
      </c>
      <c r="G695" s="6">
        <f>SQRT(SUM($F$2:F695)/A695)</f>
        <v>1116.7086428803054</v>
      </c>
      <c r="H695" s="5">
        <f t="shared" si="43"/>
        <v>0</v>
      </c>
      <c r="I695" s="5">
        <f t="shared" si="44"/>
        <v>0</v>
      </c>
    </row>
    <row r="696" spans="1:9">
      <c r="A696">
        <v>695</v>
      </c>
      <c r="B696">
        <v>9</v>
      </c>
      <c r="C696">
        <v>5000</v>
      </c>
      <c r="D696">
        <v>6786</v>
      </c>
      <c r="E696" s="5">
        <f t="shared" si="41"/>
        <v>1786</v>
      </c>
      <c r="F696" s="5">
        <f t="shared" si="42"/>
        <v>3189796</v>
      </c>
      <c r="G696" s="6">
        <f>SQRT(SUM($F$2:F696)/A696)</f>
        <v>1117.9595377550809</v>
      </c>
      <c r="H696" s="5">
        <f t="shared" si="43"/>
        <v>0</v>
      </c>
      <c r="I696" s="5">
        <f t="shared" si="44"/>
        <v>0</v>
      </c>
    </row>
    <row r="697" spans="1:9">
      <c r="A697">
        <v>696</v>
      </c>
      <c r="B697">
        <v>5</v>
      </c>
      <c r="C697">
        <v>5000</v>
      </c>
      <c r="D697">
        <v>3625</v>
      </c>
      <c r="E697" s="5">
        <f t="shared" si="41"/>
        <v>1375</v>
      </c>
      <c r="F697" s="5">
        <f t="shared" si="42"/>
        <v>1890625</v>
      </c>
      <c r="G697" s="6">
        <f>SQRT(SUM($F$2:F697)/A697)</f>
        <v>1118.3712288233144</v>
      </c>
      <c r="H697" s="5">
        <f t="shared" si="43"/>
        <v>0</v>
      </c>
      <c r="I697" s="5">
        <f t="shared" si="44"/>
        <v>0</v>
      </c>
    </row>
    <row r="698" spans="1:9">
      <c r="A698">
        <v>697</v>
      </c>
      <c r="B698">
        <v>9</v>
      </c>
      <c r="C698">
        <v>5000</v>
      </c>
      <c r="D698">
        <v>5994</v>
      </c>
      <c r="E698" s="5">
        <f t="shared" si="41"/>
        <v>994</v>
      </c>
      <c r="F698" s="5">
        <f t="shared" si="42"/>
        <v>988036</v>
      </c>
      <c r="G698" s="6">
        <f>SQRT(SUM($F$2:F698)/A698)</f>
        <v>1118.2027000216574</v>
      </c>
      <c r="H698" s="5">
        <f t="shared" si="43"/>
        <v>1</v>
      </c>
      <c r="I698" s="5">
        <f t="shared" si="44"/>
        <v>0</v>
      </c>
    </row>
    <row r="699" spans="1:9">
      <c r="A699">
        <v>698</v>
      </c>
      <c r="B699">
        <v>6</v>
      </c>
      <c r="C699">
        <v>5000</v>
      </c>
      <c r="D699">
        <v>4222</v>
      </c>
      <c r="E699" s="5">
        <f t="shared" si="41"/>
        <v>778</v>
      </c>
      <c r="F699" s="5">
        <f t="shared" si="42"/>
        <v>605284</v>
      </c>
      <c r="G699" s="6">
        <f>SQRT(SUM($F$2:F699)/A699)</f>
        <v>1117.7893701101439</v>
      </c>
      <c r="H699" s="5">
        <f t="shared" si="43"/>
        <v>1</v>
      </c>
      <c r="I699" s="5">
        <f t="shared" si="44"/>
        <v>0</v>
      </c>
    </row>
    <row r="700" spans="1:9">
      <c r="A700">
        <v>699</v>
      </c>
      <c r="B700">
        <v>8</v>
      </c>
      <c r="C700">
        <v>5000</v>
      </c>
      <c r="D700">
        <v>6101</v>
      </c>
      <c r="E700" s="5">
        <f t="shared" si="41"/>
        <v>1101</v>
      </c>
      <c r="F700" s="5">
        <f t="shared" si="42"/>
        <v>1212201</v>
      </c>
      <c r="G700" s="6">
        <f>SQRT(SUM($F$2:F700)/A700)</f>
        <v>1117.7655311139699</v>
      </c>
      <c r="H700" s="5">
        <f t="shared" si="43"/>
        <v>0</v>
      </c>
      <c r="I700" s="5">
        <f t="shared" si="44"/>
        <v>0</v>
      </c>
    </row>
    <row r="701" spans="1:9">
      <c r="A701">
        <v>700</v>
      </c>
      <c r="B701">
        <v>6</v>
      </c>
      <c r="C701">
        <v>5000</v>
      </c>
      <c r="D701">
        <v>5355</v>
      </c>
      <c r="E701" s="5">
        <f t="shared" si="41"/>
        <v>355</v>
      </c>
      <c r="F701" s="5">
        <f t="shared" si="42"/>
        <v>126025</v>
      </c>
      <c r="G701" s="6">
        <f>SQRT(SUM($F$2:F701)/A701)</f>
        <v>1117.0474302501982</v>
      </c>
      <c r="H701" s="5">
        <f t="shared" si="43"/>
        <v>1</v>
      </c>
      <c r="I701" s="5">
        <f t="shared" si="44"/>
        <v>1</v>
      </c>
    </row>
    <row r="702" spans="1:9">
      <c r="A702">
        <v>701</v>
      </c>
      <c r="B702">
        <v>7</v>
      </c>
      <c r="C702">
        <v>6000</v>
      </c>
      <c r="D702">
        <v>5323</v>
      </c>
      <c r="E702" s="5">
        <f t="shared" si="41"/>
        <v>677</v>
      </c>
      <c r="F702" s="5">
        <f t="shared" si="42"/>
        <v>458329</v>
      </c>
      <c r="G702" s="6">
        <f>SQRT(SUM($F$2:F702)/A702)</f>
        <v>1116.5432198392059</v>
      </c>
      <c r="H702" s="5">
        <f t="shared" si="43"/>
        <v>1</v>
      </c>
      <c r="I702" s="5">
        <f t="shared" si="44"/>
        <v>0</v>
      </c>
    </row>
    <row r="703" spans="1:9">
      <c r="A703">
        <v>702</v>
      </c>
      <c r="B703">
        <v>8</v>
      </c>
      <c r="C703">
        <v>6000</v>
      </c>
      <c r="D703">
        <v>5702</v>
      </c>
      <c r="E703" s="5">
        <f t="shared" si="41"/>
        <v>298</v>
      </c>
      <c r="F703" s="5">
        <f t="shared" si="42"/>
        <v>88804</v>
      </c>
      <c r="G703" s="6">
        <f>SQRT(SUM($F$2:F703)/A703)</f>
        <v>1115.8043653644584</v>
      </c>
      <c r="H703" s="5">
        <f t="shared" si="43"/>
        <v>1</v>
      </c>
      <c r="I703" s="5">
        <f t="shared" si="44"/>
        <v>1</v>
      </c>
    </row>
    <row r="704" spans="1:9">
      <c r="A704">
        <v>703</v>
      </c>
      <c r="B704">
        <v>8</v>
      </c>
      <c r="C704">
        <v>6000</v>
      </c>
      <c r="D704">
        <v>5569</v>
      </c>
      <c r="E704" s="5">
        <f t="shared" si="41"/>
        <v>431</v>
      </c>
      <c r="F704" s="5">
        <f t="shared" si="42"/>
        <v>185761</v>
      </c>
      <c r="G704" s="6">
        <f>SQRT(SUM($F$2:F704)/A704)</f>
        <v>1115.128967019856</v>
      </c>
      <c r="H704" s="5">
        <f t="shared" si="43"/>
        <v>1</v>
      </c>
      <c r="I704" s="5">
        <f t="shared" si="44"/>
        <v>1</v>
      </c>
    </row>
    <row r="705" spans="1:9">
      <c r="A705">
        <v>704</v>
      </c>
      <c r="B705">
        <v>8</v>
      </c>
      <c r="C705">
        <v>6000</v>
      </c>
      <c r="D705">
        <v>6093</v>
      </c>
      <c r="E705" s="5">
        <f t="shared" si="41"/>
        <v>93</v>
      </c>
      <c r="F705" s="5">
        <f t="shared" si="42"/>
        <v>8649</v>
      </c>
      <c r="G705" s="6">
        <f>SQRT(SUM($F$2:F705)/A705)</f>
        <v>1114.3422030303552</v>
      </c>
      <c r="H705" s="5">
        <f t="shared" si="43"/>
        <v>1</v>
      </c>
      <c r="I705" s="5">
        <f t="shared" si="44"/>
        <v>1</v>
      </c>
    </row>
    <row r="706" spans="1:9">
      <c r="A706">
        <v>705</v>
      </c>
      <c r="B706">
        <v>7</v>
      </c>
      <c r="C706">
        <v>6000</v>
      </c>
      <c r="D706">
        <v>5401</v>
      </c>
      <c r="E706" s="5">
        <f t="shared" si="41"/>
        <v>599</v>
      </c>
      <c r="F706" s="5">
        <f t="shared" si="42"/>
        <v>358801</v>
      </c>
      <c r="G706" s="6">
        <f>SQRT(SUM($F$2:F706)/A706)</f>
        <v>1113.7801054985025</v>
      </c>
      <c r="H706" s="5">
        <f t="shared" si="43"/>
        <v>1</v>
      </c>
      <c r="I706" s="5">
        <f t="shared" si="44"/>
        <v>1</v>
      </c>
    </row>
    <row r="707" spans="1:9">
      <c r="A707">
        <v>706</v>
      </c>
      <c r="B707">
        <v>8</v>
      </c>
      <c r="C707">
        <v>6000</v>
      </c>
      <c r="D707">
        <v>6634</v>
      </c>
      <c r="E707" s="5">
        <f t="shared" ref="E707:E770" si="45">ABS(C707-D707)</f>
        <v>634</v>
      </c>
      <c r="F707" s="5">
        <f t="shared" ref="F707:F770" si="46">POWER(E707,2)</f>
        <v>401956</v>
      </c>
      <c r="G707" s="6">
        <f>SQRT(SUM($F$2:F707)/A707)</f>
        <v>1113.2467719935719</v>
      </c>
      <c r="H707" s="5">
        <f t="shared" ref="H707:H770" si="47">IF(ABS(E707)/C707&gt;0.2,0,1)</f>
        <v>1</v>
      </c>
      <c r="I707" s="5">
        <f t="shared" ref="I707:I770" si="48">IF(ABS(E707)/C707&gt;0.1,0,1)</f>
        <v>0</v>
      </c>
    </row>
    <row r="708" spans="1:9">
      <c r="A708">
        <v>707</v>
      </c>
      <c r="B708">
        <v>7</v>
      </c>
      <c r="C708">
        <v>6000</v>
      </c>
      <c r="D708">
        <v>5475</v>
      </c>
      <c r="E708" s="5">
        <f t="shared" si="45"/>
        <v>525</v>
      </c>
      <c r="F708" s="5">
        <f t="shared" si="46"/>
        <v>275625</v>
      </c>
      <c r="G708" s="6">
        <f>SQRT(SUM($F$2:F708)/A708)</f>
        <v>1112.6343969485144</v>
      </c>
      <c r="H708" s="5">
        <f t="shared" si="47"/>
        <v>1</v>
      </c>
      <c r="I708" s="5">
        <f t="shared" si="48"/>
        <v>1</v>
      </c>
    </row>
    <row r="709" spans="1:9">
      <c r="A709">
        <v>708</v>
      </c>
      <c r="B709">
        <v>8</v>
      </c>
      <c r="C709">
        <v>6000</v>
      </c>
      <c r="D709">
        <v>6090</v>
      </c>
      <c r="E709" s="5">
        <f t="shared" si="45"/>
        <v>90</v>
      </c>
      <c r="F709" s="5">
        <f t="shared" si="46"/>
        <v>8100</v>
      </c>
      <c r="G709" s="6">
        <f>SQRT(SUM($F$2:F709)/A709)</f>
        <v>1111.8535054197223</v>
      </c>
      <c r="H709" s="5">
        <f t="shared" si="47"/>
        <v>1</v>
      </c>
      <c r="I709" s="5">
        <f t="shared" si="48"/>
        <v>1</v>
      </c>
    </row>
    <row r="710" spans="1:9">
      <c r="A710">
        <v>709</v>
      </c>
      <c r="B710">
        <v>8</v>
      </c>
      <c r="C710">
        <v>6000</v>
      </c>
      <c r="D710">
        <v>6035</v>
      </c>
      <c r="E710" s="5">
        <f t="shared" si="45"/>
        <v>35</v>
      </c>
      <c r="F710" s="5">
        <f t="shared" si="46"/>
        <v>1225</v>
      </c>
      <c r="G710" s="6">
        <f>SQRT(SUM($F$2:F710)/A710)</f>
        <v>1111.0699064840605</v>
      </c>
      <c r="H710" s="5">
        <f t="shared" si="47"/>
        <v>1</v>
      </c>
      <c r="I710" s="5">
        <f t="shared" si="48"/>
        <v>1</v>
      </c>
    </row>
    <row r="711" spans="1:9">
      <c r="A711">
        <v>710</v>
      </c>
      <c r="B711">
        <v>8</v>
      </c>
      <c r="C711">
        <v>6000</v>
      </c>
      <c r="D711">
        <v>5732</v>
      </c>
      <c r="E711" s="5">
        <f t="shared" si="45"/>
        <v>268</v>
      </c>
      <c r="F711" s="5">
        <f t="shared" si="46"/>
        <v>71824</v>
      </c>
      <c r="G711" s="6">
        <f>SQRT(SUM($F$2:F711)/A711)</f>
        <v>1110.3327422856398</v>
      </c>
      <c r="H711" s="5">
        <f t="shared" si="47"/>
        <v>1</v>
      </c>
      <c r="I711" s="5">
        <f t="shared" si="48"/>
        <v>1</v>
      </c>
    </row>
    <row r="712" spans="1:9">
      <c r="A712">
        <v>711</v>
      </c>
      <c r="B712">
        <v>8</v>
      </c>
      <c r="C712">
        <v>6000</v>
      </c>
      <c r="D712">
        <v>6141</v>
      </c>
      <c r="E712" s="5">
        <f t="shared" si="45"/>
        <v>141</v>
      </c>
      <c r="F712" s="5">
        <f t="shared" si="46"/>
        <v>19881</v>
      </c>
      <c r="G712" s="6">
        <f>SQRT(SUM($F$2:F712)/A712)</f>
        <v>1109.5642433525795</v>
      </c>
      <c r="H712" s="5">
        <f t="shared" si="47"/>
        <v>1</v>
      </c>
      <c r="I712" s="5">
        <f t="shared" si="48"/>
        <v>1</v>
      </c>
    </row>
    <row r="713" spans="1:9">
      <c r="A713">
        <v>712</v>
      </c>
      <c r="B713">
        <v>8</v>
      </c>
      <c r="C713">
        <v>6000</v>
      </c>
      <c r="D713">
        <v>5550</v>
      </c>
      <c r="E713" s="5">
        <f t="shared" si="45"/>
        <v>450</v>
      </c>
      <c r="F713" s="5">
        <f t="shared" si="46"/>
        <v>202500</v>
      </c>
      <c r="G713" s="6">
        <f>SQRT(SUM($F$2:F713)/A713)</f>
        <v>1108.9130268526903</v>
      </c>
      <c r="H713" s="5">
        <f t="shared" si="47"/>
        <v>1</v>
      </c>
      <c r="I713" s="5">
        <f t="shared" si="48"/>
        <v>1</v>
      </c>
    </row>
    <row r="714" spans="1:9">
      <c r="A714">
        <v>713</v>
      </c>
      <c r="B714">
        <v>8</v>
      </c>
      <c r="C714">
        <v>6000</v>
      </c>
      <c r="D714">
        <v>6278</v>
      </c>
      <c r="E714" s="5">
        <f t="shared" si="45"/>
        <v>278</v>
      </c>
      <c r="F714" s="5">
        <f t="shared" si="46"/>
        <v>77284</v>
      </c>
      <c r="G714" s="6">
        <f>SQRT(SUM($F$2:F714)/A714)</f>
        <v>1108.184021761258</v>
      </c>
      <c r="H714" s="5">
        <f t="shared" si="47"/>
        <v>1</v>
      </c>
      <c r="I714" s="5">
        <f t="shared" si="48"/>
        <v>1</v>
      </c>
    </row>
    <row r="715" spans="1:9">
      <c r="A715">
        <v>714</v>
      </c>
      <c r="B715">
        <v>7</v>
      </c>
      <c r="C715">
        <v>6000</v>
      </c>
      <c r="D715">
        <v>5736</v>
      </c>
      <c r="E715" s="5">
        <f t="shared" si="45"/>
        <v>264</v>
      </c>
      <c r="F715" s="5">
        <f t="shared" si="46"/>
        <v>69696</v>
      </c>
      <c r="G715" s="6">
        <f>SQRT(SUM($F$2:F715)/A715)</f>
        <v>1107.4517826887056</v>
      </c>
      <c r="H715" s="5">
        <f t="shared" si="47"/>
        <v>1</v>
      </c>
      <c r="I715" s="5">
        <f t="shared" si="48"/>
        <v>1</v>
      </c>
    </row>
    <row r="716" spans="1:9">
      <c r="A716">
        <v>715</v>
      </c>
      <c r="B716">
        <v>8</v>
      </c>
      <c r="C716">
        <v>6000</v>
      </c>
      <c r="D716">
        <v>4978</v>
      </c>
      <c r="E716" s="5">
        <f t="shared" si="45"/>
        <v>1022</v>
      </c>
      <c r="F716" s="5">
        <f t="shared" si="46"/>
        <v>1044484</v>
      </c>
      <c r="G716" s="6">
        <f>SQRT(SUM($F$2:F716)/A716)</f>
        <v>1107.3368745987618</v>
      </c>
      <c r="H716" s="5">
        <f t="shared" si="47"/>
        <v>1</v>
      </c>
      <c r="I716" s="5">
        <f t="shared" si="48"/>
        <v>0</v>
      </c>
    </row>
    <row r="717" spans="1:9">
      <c r="A717">
        <v>716</v>
      </c>
      <c r="B717">
        <v>9</v>
      </c>
      <c r="C717">
        <v>6000</v>
      </c>
      <c r="D717">
        <v>6060</v>
      </c>
      <c r="E717" s="5">
        <f t="shared" si="45"/>
        <v>60</v>
      </c>
      <c r="F717" s="5">
        <f t="shared" si="46"/>
        <v>3600</v>
      </c>
      <c r="G717" s="6">
        <f>SQRT(SUM($F$2:F717)/A717)</f>
        <v>1106.5655963359848</v>
      </c>
      <c r="H717" s="5">
        <f t="shared" si="47"/>
        <v>1</v>
      </c>
      <c r="I717" s="5">
        <f t="shared" si="48"/>
        <v>1</v>
      </c>
    </row>
    <row r="718" spans="1:9">
      <c r="A718">
        <v>717</v>
      </c>
      <c r="B718">
        <v>8</v>
      </c>
      <c r="C718">
        <v>6000</v>
      </c>
      <c r="D718">
        <v>4879</v>
      </c>
      <c r="E718" s="5">
        <f t="shared" si="45"/>
        <v>1121</v>
      </c>
      <c r="F718" s="5">
        <f t="shared" si="46"/>
        <v>1256641</v>
      </c>
      <c r="G718" s="6">
        <f>SQRT(SUM($F$2:F718)/A718)</f>
        <v>1106.5858591172789</v>
      </c>
      <c r="H718" s="5">
        <f t="shared" si="47"/>
        <v>1</v>
      </c>
      <c r="I718" s="5">
        <f t="shared" si="48"/>
        <v>0</v>
      </c>
    </row>
    <row r="719" spans="1:9">
      <c r="A719">
        <v>718</v>
      </c>
      <c r="B719">
        <v>10</v>
      </c>
      <c r="C719">
        <v>6000</v>
      </c>
      <c r="D719">
        <v>6558</v>
      </c>
      <c r="E719" s="5">
        <f t="shared" si="45"/>
        <v>558</v>
      </c>
      <c r="F719" s="5">
        <f t="shared" si="46"/>
        <v>311364</v>
      </c>
      <c r="G719" s="6">
        <f>SQRT(SUM($F$2:F719)/A719)</f>
        <v>1106.011049449407</v>
      </c>
      <c r="H719" s="5">
        <f t="shared" si="47"/>
        <v>1</v>
      </c>
      <c r="I719" s="5">
        <f t="shared" si="48"/>
        <v>1</v>
      </c>
    </row>
    <row r="720" spans="1:9">
      <c r="A720">
        <v>719</v>
      </c>
      <c r="B720">
        <v>8</v>
      </c>
      <c r="C720">
        <v>6000</v>
      </c>
      <c r="D720">
        <v>5470</v>
      </c>
      <c r="E720" s="5">
        <f t="shared" si="45"/>
        <v>530</v>
      </c>
      <c r="F720" s="5">
        <f t="shared" si="46"/>
        <v>280900</v>
      </c>
      <c r="G720" s="6">
        <f>SQRT(SUM($F$2:F720)/A720)</f>
        <v>1105.4183765454827</v>
      </c>
      <c r="H720" s="5">
        <f t="shared" si="47"/>
        <v>1</v>
      </c>
      <c r="I720" s="5">
        <f t="shared" si="48"/>
        <v>1</v>
      </c>
    </row>
    <row r="721" spans="1:9">
      <c r="A721">
        <v>720</v>
      </c>
      <c r="B721">
        <v>9</v>
      </c>
      <c r="C721">
        <v>6000</v>
      </c>
      <c r="D721">
        <v>6494</v>
      </c>
      <c r="E721" s="5">
        <f t="shared" si="45"/>
        <v>494</v>
      </c>
      <c r="F721" s="5">
        <f t="shared" si="46"/>
        <v>244036</v>
      </c>
      <c r="G721" s="6">
        <f>SQRT(SUM($F$2:F721)/A721)</f>
        <v>1104.8038620547591</v>
      </c>
      <c r="H721" s="5">
        <f t="shared" si="47"/>
        <v>1</v>
      </c>
      <c r="I721" s="5">
        <f t="shared" si="48"/>
        <v>1</v>
      </c>
    </row>
    <row r="722" spans="1:9">
      <c r="A722">
        <v>721</v>
      </c>
      <c r="B722">
        <v>8</v>
      </c>
      <c r="C722">
        <v>6000</v>
      </c>
      <c r="D722">
        <v>5174</v>
      </c>
      <c r="E722" s="5">
        <f t="shared" si="45"/>
        <v>826</v>
      </c>
      <c r="F722" s="5">
        <f t="shared" si="46"/>
        <v>682276</v>
      </c>
      <c r="G722" s="6">
        <f>SQRT(SUM($F$2:F722)/A722)</f>
        <v>1104.4659116828134</v>
      </c>
      <c r="H722" s="5">
        <f t="shared" si="47"/>
        <v>1</v>
      </c>
      <c r="I722" s="5">
        <f t="shared" si="48"/>
        <v>0</v>
      </c>
    </row>
    <row r="723" spans="1:9">
      <c r="A723">
        <v>722</v>
      </c>
      <c r="B723">
        <v>9</v>
      </c>
      <c r="C723">
        <v>6000</v>
      </c>
      <c r="D723">
        <v>5794</v>
      </c>
      <c r="E723" s="5">
        <f t="shared" si="45"/>
        <v>206</v>
      </c>
      <c r="F723" s="5">
        <f t="shared" si="46"/>
        <v>42436</v>
      </c>
      <c r="G723" s="6">
        <f>SQRT(SUM($F$2:F723)/A723)</f>
        <v>1103.7274073568585</v>
      </c>
      <c r="H723" s="5">
        <f t="shared" si="47"/>
        <v>1</v>
      </c>
      <c r="I723" s="5">
        <f t="shared" si="48"/>
        <v>1</v>
      </c>
    </row>
    <row r="724" spans="1:9">
      <c r="A724">
        <v>723</v>
      </c>
      <c r="B724">
        <v>9</v>
      </c>
      <c r="C724">
        <v>6000</v>
      </c>
      <c r="D724">
        <v>6114</v>
      </c>
      <c r="E724" s="5">
        <f t="shared" si="45"/>
        <v>114</v>
      </c>
      <c r="F724" s="5">
        <f t="shared" si="46"/>
        <v>12996</v>
      </c>
      <c r="G724" s="6">
        <f>SQRT(SUM($F$2:F724)/A724)</f>
        <v>1102.9719947941282</v>
      </c>
      <c r="H724" s="5">
        <f t="shared" si="47"/>
        <v>1</v>
      </c>
      <c r="I724" s="5">
        <f t="shared" si="48"/>
        <v>1</v>
      </c>
    </row>
    <row r="725" spans="1:9">
      <c r="A725">
        <v>724</v>
      </c>
      <c r="B725">
        <v>8</v>
      </c>
      <c r="C725">
        <v>6000</v>
      </c>
      <c r="D725">
        <v>5361</v>
      </c>
      <c r="E725" s="5">
        <f t="shared" si="45"/>
        <v>639</v>
      </c>
      <c r="F725" s="5">
        <f t="shared" si="46"/>
        <v>408321</v>
      </c>
      <c r="G725" s="6">
        <f>SQRT(SUM($F$2:F725)/A725)</f>
        <v>1102.4658211211499</v>
      </c>
      <c r="H725" s="5">
        <f t="shared" si="47"/>
        <v>1</v>
      </c>
      <c r="I725" s="5">
        <f t="shared" si="48"/>
        <v>0</v>
      </c>
    </row>
    <row r="726" spans="1:9">
      <c r="A726">
        <v>725</v>
      </c>
      <c r="B726">
        <v>9</v>
      </c>
      <c r="C726">
        <v>6000</v>
      </c>
      <c r="D726">
        <v>5750</v>
      </c>
      <c r="E726" s="5">
        <f t="shared" si="45"/>
        <v>250</v>
      </c>
      <c r="F726" s="5">
        <f t="shared" si="46"/>
        <v>62500</v>
      </c>
      <c r="G726" s="6">
        <f>SQRT(SUM($F$2:F726)/A726)</f>
        <v>1101.744361111678</v>
      </c>
      <c r="H726" s="5">
        <f t="shared" si="47"/>
        <v>1</v>
      </c>
      <c r="I726" s="5">
        <f t="shared" si="48"/>
        <v>1</v>
      </c>
    </row>
    <row r="727" spans="1:9">
      <c r="A727">
        <v>726</v>
      </c>
      <c r="B727">
        <v>9</v>
      </c>
      <c r="C727">
        <v>6000</v>
      </c>
      <c r="D727">
        <v>5793</v>
      </c>
      <c r="E727" s="5">
        <f t="shared" si="45"/>
        <v>207</v>
      </c>
      <c r="F727" s="5">
        <f t="shared" si="46"/>
        <v>42849</v>
      </c>
      <c r="G727" s="6">
        <f>SQRT(SUM($F$2:F727)/A727)</f>
        <v>1101.012125774248</v>
      </c>
      <c r="H727" s="5">
        <f t="shared" si="47"/>
        <v>1</v>
      </c>
      <c r="I727" s="5">
        <f t="shared" si="48"/>
        <v>1</v>
      </c>
    </row>
    <row r="728" spans="1:9">
      <c r="A728">
        <v>727</v>
      </c>
      <c r="B728">
        <v>9</v>
      </c>
      <c r="C728">
        <v>6000</v>
      </c>
      <c r="D728">
        <v>5667</v>
      </c>
      <c r="E728" s="5">
        <f t="shared" si="45"/>
        <v>333</v>
      </c>
      <c r="F728" s="5">
        <f t="shared" si="46"/>
        <v>110889</v>
      </c>
      <c r="G728" s="6">
        <f>SQRT(SUM($F$2:F728)/A728)</f>
        <v>1100.3239487974035</v>
      </c>
      <c r="H728" s="5">
        <f t="shared" si="47"/>
        <v>1</v>
      </c>
      <c r="I728" s="5">
        <f t="shared" si="48"/>
        <v>1</v>
      </c>
    </row>
    <row r="729" spans="1:9">
      <c r="A729">
        <v>728</v>
      </c>
      <c r="B729">
        <v>9</v>
      </c>
      <c r="C729">
        <v>6000</v>
      </c>
      <c r="D729">
        <v>5578</v>
      </c>
      <c r="E729" s="5">
        <f t="shared" si="45"/>
        <v>422</v>
      </c>
      <c r="F729" s="5">
        <f t="shared" si="46"/>
        <v>178084</v>
      </c>
      <c r="G729" s="6">
        <f>SQRT(SUM($F$2:F729)/A729)</f>
        <v>1099.6792014737055</v>
      </c>
      <c r="H729" s="5">
        <f t="shared" si="47"/>
        <v>1</v>
      </c>
      <c r="I729" s="5">
        <f t="shared" si="48"/>
        <v>1</v>
      </c>
    </row>
    <row r="730" spans="1:9">
      <c r="A730">
        <v>729</v>
      </c>
      <c r="B730">
        <v>10</v>
      </c>
      <c r="C730">
        <v>6000</v>
      </c>
      <c r="D730">
        <v>5834</v>
      </c>
      <c r="E730" s="5">
        <f t="shared" si="45"/>
        <v>166</v>
      </c>
      <c r="F730" s="5">
        <f t="shared" si="46"/>
        <v>27556</v>
      </c>
      <c r="G730" s="6">
        <f>SQRT(SUM($F$2:F730)/A730)</f>
        <v>1098.9419028768041</v>
      </c>
      <c r="H730" s="5">
        <f t="shared" si="47"/>
        <v>1</v>
      </c>
      <c r="I730" s="5">
        <f t="shared" si="48"/>
        <v>1</v>
      </c>
    </row>
    <row r="731" spans="1:9">
      <c r="A731">
        <v>730</v>
      </c>
      <c r="B731">
        <v>9</v>
      </c>
      <c r="C731">
        <v>6000</v>
      </c>
      <c r="D731">
        <v>6074</v>
      </c>
      <c r="E731" s="5">
        <f t="shared" si="45"/>
        <v>74</v>
      </c>
      <c r="F731" s="5">
        <f t="shared" si="46"/>
        <v>5476</v>
      </c>
      <c r="G731" s="6">
        <f>SQRT(SUM($F$2:F731)/A731)</f>
        <v>1098.1923603239884</v>
      </c>
      <c r="H731" s="5">
        <f t="shared" si="47"/>
        <v>1</v>
      </c>
      <c r="I731" s="5">
        <f t="shared" si="48"/>
        <v>1</v>
      </c>
    </row>
    <row r="732" spans="1:9">
      <c r="A732">
        <v>731</v>
      </c>
      <c r="B732">
        <v>9</v>
      </c>
      <c r="C732">
        <v>6000</v>
      </c>
      <c r="D732">
        <v>5312</v>
      </c>
      <c r="E732" s="5">
        <f t="shared" si="45"/>
        <v>688</v>
      </c>
      <c r="F732" s="5">
        <f t="shared" si="46"/>
        <v>473344</v>
      </c>
      <c r="G732" s="6">
        <f>SQRT(SUM($F$2:F732)/A732)</f>
        <v>1097.7359239301275</v>
      </c>
      <c r="H732" s="5">
        <f t="shared" si="47"/>
        <v>1</v>
      </c>
      <c r="I732" s="5">
        <f t="shared" si="48"/>
        <v>0</v>
      </c>
    </row>
    <row r="733" spans="1:9">
      <c r="A733">
        <v>732</v>
      </c>
      <c r="B733">
        <v>10</v>
      </c>
      <c r="C733">
        <v>6000</v>
      </c>
      <c r="D733">
        <v>5663</v>
      </c>
      <c r="E733" s="5">
        <f t="shared" si="45"/>
        <v>337</v>
      </c>
      <c r="F733" s="5">
        <f t="shared" si="46"/>
        <v>113569</v>
      </c>
      <c r="G733" s="6">
        <f>SQRT(SUM($F$2:F733)/A733)</f>
        <v>1097.0565617718969</v>
      </c>
      <c r="H733" s="5">
        <f t="shared" si="47"/>
        <v>1</v>
      </c>
      <c r="I733" s="5">
        <f t="shared" si="48"/>
        <v>1</v>
      </c>
    </row>
    <row r="734" spans="1:9">
      <c r="A734">
        <v>733</v>
      </c>
      <c r="B734">
        <v>10</v>
      </c>
      <c r="C734">
        <v>6000</v>
      </c>
      <c r="D734">
        <v>3660</v>
      </c>
      <c r="E734" s="5">
        <f t="shared" si="45"/>
        <v>2340</v>
      </c>
      <c r="F734" s="5">
        <f t="shared" si="46"/>
        <v>5475600</v>
      </c>
      <c r="G734" s="6">
        <f>SQRT(SUM($F$2:F734)/A734)</f>
        <v>1099.709641077771</v>
      </c>
      <c r="H734" s="5">
        <f t="shared" si="47"/>
        <v>0</v>
      </c>
      <c r="I734" s="5">
        <f t="shared" si="48"/>
        <v>0</v>
      </c>
    </row>
    <row r="735" spans="1:9">
      <c r="A735">
        <v>734</v>
      </c>
      <c r="B735">
        <v>13</v>
      </c>
      <c r="C735">
        <v>6000</v>
      </c>
      <c r="D735">
        <v>2139</v>
      </c>
      <c r="E735" s="5">
        <f t="shared" si="45"/>
        <v>3861</v>
      </c>
      <c r="F735" s="5">
        <f t="shared" si="46"/>
        <v>14907321</v>
      </c>
      <c r="G735" s="6">
        <f>SQRT(SUM($F$2:F735)/A735)</f>
        <v>1108.1621565107771</v>
      </c>
      <c r="H735" s="5">
        <f t="shared" si="47"/>
        <v>0</v>
      </c>
      <c r="I735" s="5">
        <f t="shared" si="48"/>
        <v>0</v>
      </c>
    </row>
    <row r="736" spans="1:9">
      <c r="A736">
        <v>735</v>
      </c>
      <c r="B736">
        <v>16</v>
      </c>
      <c r="C736">
        <v>6000</v>
      </c>
      <c r="D736">
        <v>5614</v>
      </c>
      <c r="E736" s="5">
        <f t="shared" si="45"/>
        <v>386</v>
      </c>
      <c r="F736" s="5">
        <f t="shared" si="46"/>
        <v>148996</v>
      </c>
      <c r="G736" s="6">
        <f>SQRT(SUM($F$2:F736)/A736)</f>
        <v>1107.4995714131323</v>
      </c>
      <c r="H736" s="5">
        <f t="shared" si="47"/>
        <v>1</v>
      </c>
      <c r="I736" s="5">
        <f t="shared" si="48"/>
        <v>1</v>
      </c>
    </row>
    <row r="737" spans="1:9">
      <c r="A737">
        <v>736</v>
      </c>
      <c r="B737">
        <v>12</v>
      </c>
      <c r="C737">
        <v>6000</v>
      </c>
      <c r="D737">
        <v>7133</v>
      </c>
      <c r="E737" s="5">
        <f t="shared" si="45"/>
        <v>1133</v>
      </c>
      <c r="F737" s="5">
        <f t="shared" si="46"/>
        <v>1283689</v>
      </c>
      <c r="G737" s="6">
        <f>SQRT(SUM($F$2:F737)/A737)</f>
        <v>1107.5346170613045</v>
      </c>
      <c r="H737" s="5">
        <f t="shared" si="47"/>
        <v>1</v>
      </c>
      <c r="I737" s="5">
        <f t="shared" si="48"/>
        <v>0</v>
      </c>
    </row>
    <row r="738" spans="1:9">
      <c r="A738">
        <v>737</v>
      </c>
      <c r="B738">
        <v>10</v>
      </c>
      <c r="C738">
        <v>6000</v>
      </c>
      <c r="D738">
        <v>5845</v>
      </c>
      <c r="E738" s="5">
        <f t="shared" si="45"/>
        <v>155</v>
      </c>
      <c r="F738" s="5">
        <f t="shared" si="46"/>
        <v>24025</v>
      </c>
      <c r="G738" s="6">
        <f>SQRT(SUM($F$2:F738)/A738)</f>
        <v>1106.7977082072443</v>
      </c>
      <c r="H738" s="5">
        <f t="shared" si="47"/>
        <v>1</v>
      </c>
      <c r="I738" s="5">
        <f t="shared" si="48"/>
        <v>1</v>
      </c>
    </row>
    <row r="739" spans="1:9">
      <c r="A739">
        <v>738</v>
      </c>
      <c r="B739">
        <v>11</v>
      </c>
      <c r="C739">
        <v>6000</v>
      </c>
      <c r="D739">
        <v>6362</v>
      </c>
      <c r="E739" s="5">
        <f t="shared" si="45"/>
        <v>362</v>
      </c>
      <c r="F739" s="5">
        <f t="shared" si="46"/>
        <v>131044</v>
      </c>
      <c r="G739" s="6">
        <f>SQRT(SUM($F$2:F739)/A739)</f>
        <v>1106.1278588429102</v>
      </c>
      <c r="H739" s="5">
        <f t="shared" si="47"/>
        <v>1</v>
      </c>
      <c r="I739" s="5">
        <f t="shared" si="48"/>
        <v>1</v>
      </c>
    </row>
    <row r="740" spans="1:9">
      <c r="A740">
        <v>739</v>
      </c>
      <c r="B740">
        <v>11</v>
      </c>
      <c r="C740">
        <v>6000</v>
      </c>
      <c r="D740">
        <v>6289</v>
      </c>
      <c r="E740" s="5">
        <f t="shared" si="45"/>
        <v>289</v>
      </c>
      <c r="F740" s="5">
        <f t="shared" si="46"/>
        <v>83521</v>
      </c>
      <c r="G740" s="6">
        <f>SQRT(SUM($F$2:F740)/A740)</f>
        <v>1105.4303315279419</v>
      </c>
      <c r="H740" s="5">
        <f t="shared" si="47"/>
        <v>1</v>
      </c>
      <c r="I740" s="5">
        <f t="shared" si="48"/>
        <v>1</v>
      </c>
    </row>
    <row r="741" spans="1:9">
      <c r="A741">
        <v>740</v>
      </c>
      <c r="B741">
        <v>11</v>
      </c>
      <c r="C741">
        <v>6000</v>
      </c>
      <c r="D741">
        <v>6600</v>
      </c>
      <c r="E741" s="5">
        <f t="shared" si="45"/>
        <v>600</v>
      </c>
      <c r="F741" s="5">
        <f t="shared" si="46"/>
        <v>360000</v>
      </c>
      <c r="G741" s="6">
        <f>SQRT(SUM($F$2:F741)/A741)</f>
        <v>1104.9033374622122</v>
      </c>
      <c r="H741" s="5">
        <f t="shared" si="47"/>
        <v>1</v>
      </c>
      <c r="I741" s="5">
        <f t="shared" si="48"/>
        <v>1</v>
      </c>
    </row>
    <row r="742" spans="1:9">
      <c r="A742">
        <v>741</v>
      </c>
      <c r="B742">
        <v>10</v>
      </c>
      <c r="C742">
        <v>6000</v>
      </c>
      <c r="D742">
        <v>5980</v>
      </c>
      <c r="E742" s="5">
        <f t="shared" si="45"/>
        <v>20</v>
      </c>
      <c r="F742" s="5">
        <f t="shared" si="46"/>
        <v>400</v>
      </c>
      <c r="G742" s="6">
        <f>SQRT(SUM($F$2:F742)/A742)</f>
        <v>1104.1577813916936</v>
      </c>
      <c r="H742" s="5">
        <f t="shared" si="47"/>
        <v>1</v>
      </c>
      <c r="I742" s="5">
        <f t="shared" si="48"/>
        <v>1</v>
      </c>
    </row>
    <row r="743" spans="1:9">
      <c r="A743">
        <v>742</v>
      </c>
      <c r="B743">
        <v>11</v>
      </c>
      <c r="C743">
        <v>6000</v>
      </c>
      <c r="D743">
        <v>6615</v>
      </c>
      <c r="E743" s="5">
        <f t="shared" si="45"/>
        <v>615</v>
      </c>
      <c r="F743" s="5">
        <f t="shared" si="46"/>
        <v>378225</v>
      </c>
      <c r="G743" s="6">
        <f>SQRT(SUM($F$2:F743)/A743)</f>
        <v>1103.6444466810981</v>
      </c>
      <c r="H743" s="5">
        <f t="shared" si="47"/>
        <v>1</v>
      </c>
      <c r="I743" s="5">
        <f t="shared" si="48"/>
        <v>0</v>
      </c>
    </row>
    <row r="744" spans="1:9">
      <c r="A744">
        <v>743</v>
      </c>
      <c r="B744">
        <v>10</v>
      </c>
      <c r="C744">
        <v>6000</v>
      </c>
      <c r="D744">
        <v>6525</v>
      </c>
      <c r="E744" s="5">
        <f t="shared" si="45"/>
        <v>525</v>
      </c>
      <c r="F744" s="5">
        <f t="shared" si="46"/>
        <v>275625</v>
      </c>
      <c r="G744" s="6">
        <f>SQRT(SUM($F$2:F744)/A744)</f>
        <v>1103.0696646452413</v>
      </c>
      <c r="H744" s="5">
        <f t="shared" si="47"/>
        <v>1</v>
      </c>
      <c r="I744" s="5">
        <f t="shared" si="48"/>
        <v>1</v>
      </c>
    </row>
    <row r="745" spans="1:9">
      <c r="A745">
        <v>744</v>
      </c>
      <c r="B745">
        <v>10</v>
      </c>
      <c r="C745">
        <v>6000</v>
      </c>
      <c r="D745">
        <v>6073</v>
      </c>
      <c r="E745" s="5">
        <f t="shared" si="45"/>
        <v>73</v>
      </c>
      <c r="F745" s="5">
        <f t="shared" si="46"/>
        <v>5329</v>
      </c>
      <c r="G745" s="6">
        <f>SQRT(SUM($F$2:F745)/A745)</f>
        <v>1102.3313539850415</v>
      </c>
      <c r="H745" s="5">
        <f t="shared" si="47"/>
        <v>1</v>
      </c>
      <c r="I745" s="5">
        <f t="shared" si="48"/>
        <v>1</v>
      </c>
    </row>
    <row r="746" spans="1:9">
      <c r="A746">
        <v>745</v>
      </c>
      <c r="B746">
        <v>10</v>
      </c>
      <c r="C746">
        <v>6000</v>
      </c>
      <c r="D746">
        <v>6291</v>
      </c>
      <c r="E746" s="5">
        <f t="shared" si="45"/>
        <v>291</v>
      </c>
      <c r="F746" s="5">
        <f t="shared" si="46"/>
        <v>84681</v>
      </c>
      <c r="G746" s="6">
        <f>SQRT(SUM($F$2:F746)/A746)</f>
        <v>1101.642876274175</v>
      </c>
      <c r="H746" s="5">
        <f t="shared" si="47"/>
        <v>1</v>
      </c>
      <c r="I746" s="5">
        <f t="shared" si="48"/>
        <v>1</v>
      </c>
    </row>
    <row r="747" spans="1:9">
      <c r="A747">
        <v>746</v>
      </c>
      <c r="B747">
        <v>10</v>
      </c>
      <c r="C747">
        <v>6000</v>
      </c>
      <c r="D747">
        <v>6323</v>
      </c>
      <c r="E747" s="5">
        <f t="shared" si="45"/>
        <v>323</v>
      </c>
      <c r="F747" s="5">
        <f t="shared" si="46"/>
        <v>104329</v>
      </c>
      <c r="G747" s="6">
        <f>SQRT(SUM($F$2:F747)/A747)</f>
        <v>1100.9677768111144</v>
      </c>
      <c r="H747" s="5">
        <f t="shared" si="47"/>
        <v>1</v>
      </c>
      <c r="I747" s="5">
        <f t="shared" si="48"/>
        <v>1</v>
      </c>
    </row>
    <row r="748" spans="1:9">
      <c r="A748">
        <v>747</v>
      </c>
      <c r="B748">
        <v>10</v>
      </c>
      <c r="C748">
        <v>6000</v>
      </c>
      <c r="D748">
        <v>5895</v>
      </c>
      <c r="E748" s="5">
        <f t="shared" si="45"/>
        <v>105</v>
      </c>
      <c r="F748" s="5">
        <f t="shared" si="46"/>
        <v>11025</v>
      </c>
      <c r="G748" s="6">
        <f>SQRT(SUM($F$2:F748)/A748)</f>
        <v>1100.2373110207857</v>
      </c>
      <c r="H748" s="5">
        <f t="shared" si="47"/>
        <v>1</v>
      </c>
      <c r="I748" s="5">
        <f t="shared" si="48"/>
        <v>1</v>
      </c>
    </row>
    <row r="749" spans="1:9">
      <c r="A749">
        <v>748</v>
      </c>
      <c r="B749">
        <v>10</v>
      </c>
      <c r="C749">
        <v>6000</v>
      </c>
      <c r="D749">
        <v>6065</v>
      </c>
      <c r="E749" s="5">
        <f t="shared" si="45"/>
        <v>65</v>
      </c>
      <c r="F749" s="5">
        <f t="shared" si="46"/>
        <v>4225</v>
      </c>
      <c r="G749" s="6">
        <f>SQRT(SUM($F$2:F749)/A749)</f>
        <v>1099.5041809153195</v>
      </c>
      <c r="H749" s="5">
        <f t="shared" si="47"/>
        <v>1</v>
      </c>
      <c r="I749" s="5">
        <f t="shared" si="48"/>
        <v>1</v>
      </c>
    </row>
    <row r="750" spans="1:9">
      <c r="A750">
        <v>749</v>
      </c>
      <c r="B750">
        <v>10</v>
      </c>
      <c r="C750">
        <v>6000</v>
      </c>
      <c r="D750">
        <v>6590</v>
      </c>
      <c r="E750" s="5">
        <f t="shared" si="45"/>
        <v>590</v>
      </c>
      <c r="F750" s="5">
        <f t="shared" si="46"/>
        <v>348100</v>
      </c>
      <c r="G750" s="6">
        <f>SQRT(SUM($F$2:F750)/A750)</f>
        <v>1098.9814218420947</v>
      </c>
      <c r="H750" s="5">
        <f t="shared" si="47"/>
        <v>1</v>
      </c>
      <c r="I750" s="5">
        <f t="shared" si="48"/>
        <v>1</v>
      </c>
    </row>
    <row r="751" spans="1:9">
      <c r="A751">
        <v>750</v>
      </c>
      <c r="B751">
        <v>9</v>
      </c>
      <c r="C751">
        <v>6000</v>
      </c>
      <c r="D751">
        <v>5964</v>
      </c>
      <c r="E751" s="5">
        <f t="shared" si="45"/>
        <v>36</v>
      </c>
      <c r="F751" s="5">
        <f t="shared" si="46"/>
        <v>1296</v>
      </c>
      <c r="G751" s="6">
        <f>SQRT(SUM($F$2:F751)/A751)</f>
        <v>1098.2493098867244</v>
      </c>
      <c r="H751" s="5">
        <f t="shared" si="47"/>
        <v>1</v>
      </c>
      <c r="I751" s="5">
        <f t="shared" si="48"/>
        <v>1</v>
      </c>
    </row>
    <row r="752" spans="1:9">
      <c r="A752">
        <v>751</v>
      </c>
      <c r="B752">
        <v>10</v>
      </c>
      <c r="C752">
        <v>6000</v>
      </c>
      <c r="D752">
        <v>5841</v>
      </c>
      <c r="E752" s="5">
        <f t="shared" si="45"/>
        <v>159</v>
      </c>
      <c r="F752" s="5">
        <f t="shared" si="46"/>
        <v>25281</v>
      </c>
      <c r="G752" s="6">
        <f>SQRT(SUM($F$2:F752)/A752)</f>
        <v>1097.5332109483008</v>
      </c>
      <c r="H752" s="5">
        <f t="shared" si="47"/>
        <v>1</v>
      </c>
      <c r="I752" s="5">
        <f t="shared" si="48"/>
        <v>1</v>
      </c>
    </row>
    <row r="753" spans="1:9">
      <c r="A753">
        <v>752</v>
      </c>
      <c r="B753">
        <v>10</v>
      </c>
      <c r="C753">
        <v>6000</v>
      </c>
      <c r="D753">
        <v>6467</v>
      </c>
      <c r="E753" s="5">
        <f t="shared" si="45"/>
        <v>467</v>
      </c>
      <c r="F753" s="5">
        <f t="shared" si="46"/>
        <v>218089</v>
      </c>
      <c r="G753" s="6">
        <f>SQRT(SUM($F$2:F753)/A753)</f>
        <v>1096.9354252314306</v>
      </c>
      <c r="H753" s="5">
        <f t="shared" si="47"/>
        <v>1</v>
      </c>
      <c r="I753" s="5">
        <f t="shared" si="48"/>
        <v>1</v>
      </c>
    </row>
    <row r="754" spans="1:9">
      <c r="A754">
        <v>753</v>
      </c>
      <c r="B754">
        <v>9</v>
      </c>
      <c r="C754">
        <v>6000</v>
      </c>
      <c r="D754">
        <v>5116</v>
      </c>
      <c r="E754" s="5">
        <f t="shared" si="45"/>
        <v>884</v>
      </c>
      <c r="F754" s="5">
        <f t="shared" si="46"/>
        <v>781456</v>
      </c>
      <c r="G754" s="6">
        <f>SQRT(SUM($F$2:F754)/A754)</f>
        <v>1096.6800594168035</v>
      </c>
      <c r="H754" s="5">
        <f t="shared" si="47"/>
        <v>1</v>
      </c>
      <c r="I754" s="5">
        <f t="shared" si="48"/>
        <v>0</v>
      </c>
    </row>
    <row r="755" spans="1:9">
      <c r="A755">
        <v>754</v>
      </c>
      <c r="B755">
        <v>11</v>
      </c>
      <c r="C755">
        <v>6000</v>
      </c>
      <c r="D755">
        <v>6711</v>
      </c>
      <c r="E755" s="5">
        <f t="shared" si="45"/>
        <v>711</v>
      </c>
      <c r="F755" s="5">
        <f t="shared" si="46"/>
        <v>505521</v>
      </c>
      <c r="G755" s="6">
        <f>SQRT(SUM($F$2:F755)/A755)</f>
        <v>1096.2584105276092</v>
      </c>
      <c r="H755" s="5">
        <f t="shared" si="47"/>
        <v>1</v>
      </c>
      <c r="I755" s="5">
        <f t="shared" si="48"/>
        <v>0</v>
      </c>
    </row>
    <row r="756" spans="1:9">
      <c r="A756">
        <v>755</v>
      </c>
      <c r="B756">
        <v>9</v>
      </c>
      <c r="C756">
        <v>6000</v>
      </c>
      <c r="D756">
        <v>6647</v>
      </c>
      <c r="E756" s="5">
        <f t="shared" si="45"/>
        <v>647</v>
      </c>
      <c r="F756" s="5">
        <f t="shared" si="46"/>
        <v>418609</v>
      </c>
      <c r="G756" s="6">
        <f>SQRT(SUM($F$2:F756)/A756)</f>
        <v>1095.7851918852375</v>
      </c>
      <c r="H756" s="5">
        <f t="shared" si="47"/>
        <v>1</v>
      </c>
      <c r="I756" s="5">
        <f t="shared" si="48"/>
        <v>0</v>
      </c>
    </row>
    <row r="757" spans="1:9">
      <c r="A757">
        <v>756</v>
      </c>
      <c r="B757">
        <v>9</v>
      </c>
      <c r="C757">
        <v>6000</v>
      </c>
      <c r="D757">
        <v>6214</v>
      </c>
      <c r="E757" s="5">
        <f t="shared" si="45"/>
        <v>214</v>
      </c>
      <c r="F757" s="5">
        <f t="shared" si="46"/>
        <v>45796</v>
      </c>
      <c r="G757" s="6">
        <f>SQRT(SUM($F$2:F757)/A757)</f>
        <v>1095.0878851446016</v>
      </c>
      <c r="H757" s="5">
        <f t="shared" si="47"/>
        <v>1</v>
      </c>
      <c r="I757" s="5">
        <f t="shared" si="48"/>
        <v>1</v>
      </c>
    </row>
    <row r="758" spans="1:9">
      <c r="A758">
        <v>757</v>
      </c>
      <c r="B758">
        <v>9</v>
      </c>
      <c r="C758">
        <v>6000</v>
      </c>
      <c r="D758">
        <v>5767</v>
      </c>
      <c r="E758" s="5">
        <f t="shared" si="45"/>
        <v>233</v>
      </c>
      <c r="F758" s="5">
        <f t="shared" si="46"/>
        <v>54289</v>
      </c>
      <c r="G758" s="6">
        <f>SQRT(SUM($F$2:F758)/A758)</f>
        <v>1094.3971039508756</v>
      </c>
      <c r="H758" s="5">
        <f t="shared" si="47"/>
        <v>1</v>
      </c>
      <c r="I758" s="5">
        <f t="shared" si="48"/>
        <v>1</v>
      </c>
    </row>
    <row r="759" spans="1:9">
      <c r="A759">
        <v>758</v>
      </c>
      <c r="B759">
        <v>10</v>
      </c>
      <c r="C759">
        <v>6000</v>
      </c>
      <c r="D759">
        <v>7137</v>
      </c>
      <c r="E759" s="5">
        <f t="shared" si="45"/>
        <v>1137</v>
      </c>
      <c r="F759" s="5">
        <f t="shared" si="46"/>
        <v>1292769</v>
      </c>
      <c r="G759" s="6">
        <f>SQRT(SUM($F$2:F759)/A759)</f>
        <v>1094.4544007660622</v>
      </c>
      <c r="H759" s="5">
        <f t="shared" si="47"/>
        <v>1</v>
      </c>
      <c r="I759" s="5">
        <f t="shared" si="48"/>
        <v>0</v>
      </c>
    </row>
    <row r="760" spans="1:9">
      <c r="A760">
        <v>759</v>
      </c>
      <c r="B760">
        <v>8</v>
      </c>
      <c r="C760">
        <v>6000</v>
      </c>
      <c r="D760">
        <v>5030</v>
      </c>
      <c r="E760" s="5">
        <f t="shared" si="45"/>
        <v>970</v>
      </c>
      <c r="F760" s="5">
        <f t="shared" si="46"/>
        <v>940900</v>
      </c>
      <c r="G760" s="6">
        <f>SQRT(SUM($F$2:F760)/A760)</f>
        <v>1094.2997411969275</v>
      </c>
      <c r="H760" s="5">
        <f t="shared" si="47"/>
        <v>1</v>
      </c>
      <c r="I760" s="5">
        <f t="shared" si="48"/>
        <v>0</v>
      </c>
    </row>
    <row r="761" spans="1:9">
      <c r="A761">
        <v>760</v>
      </c>
      <c r="B761">
        <v>11</v>
      </c>
      <c r="C761">
        <v>6000</v>
      </c>
      <c r="D761">
        <v>6888</v>
      </c>
      <c r="E761" s="5">
        <f t="shared" si="45"/>
        <v>888</v>
      </c>
      <c r="F761" s="5">
        <f t="shared" si="46"/>
        <v>788544</v>
      </c>
      <c r="G761" s="6">
        <f>SQRT(SUM($F$2:F761)/A761)</f>
        <v>1094.053853432511</v>
      </c>
      <c r="H761" s="5">
        <f t="shared" si="47"/>
        <v>1</v>
      </c>
      <c r="I761" s="5">
        <f t="shared" si="48"/>
        <v>0</v>
      </c>
    </row>
    <row r="762" spans="1:9">
      <c r="A762">
        <v>761</v>
      </c>
      <c r="B762">
        <v>8</v>
      </c>
      <c r="C762">
        <v>6000</v>
      </c>
      <c r="D762">
        <v>4743</v>
      </c>
      <c r="E762" s="5">
        <f t="shared" si="45"/>
        <v>1257</v>
      </c>
      <c r="F762" s="5">
        <f t="shared" si="46"/>
        <v>1580049</v>
      </c>
      <c r="G762" s="6">
        <f>SQRT(SUM($F$2:F762)/A762)</f>
        <v>1094.2838957122797</v>
      </c>
      <c r="H762" s="5">
        <f t="shared" si="47"/>
        <v>0</v>
      </c>
      <c r="I762" s="5">
        <f t="shared" si="48"/>
        <v>0</v>
      </c>
    </row>
    <row r="763" spans="1:9">
      <c r="A763">
        <v>762</v>
      </c>
      <c r="B763">
        <v>11</v>
      </c>
      <c r="C763">
        <v>6000</v>
      </c>
      <c r="D763">
        <v>7013</v>
      </c>
      <c r="E763" s="5">
        <f t="shared" si="45"/>
        <v>1013</v>
      </c>
      <c r="F763" s="5">
        <f t="shared" si="46"/>
        <v>1026169</v>
      </c>
      <c r="G763" s="6">
        <f>SQRT(SUM($F$2:F763)/A763)</f>
        <v>1094.181180926136</v>
      </c>
      <c r="H763" s="5">
        <f t="shared" si="47"/>
        <v>1</v>
      </c>
      <c r="I763" s="5">
        <f t="shared" si="48"/>
        <v>0</v>
      </c>
    </row>
    <row r="764" spans="1:9">
      <c r="A764">
        <v>763</v>
      </c>
      <c r="B764">
        <v>8</v>
      </c>
      <c r="C764">
        <v>6000</v>
      </c>
      <c r="D764">
        <v>4856</v>
      </c>
      <c r="E764" s="5">
        <f t="shared" si="45"/>
        <v>1144</v>
      </c>
      <c r="F764" s="5">
        <f t="shared" si="46"/>
        <v>1308736</v>
      </c>
      <c r="G764" s="6">
        <f>SQRT(SUM($F$2:F764)/A764)</f>
        <v>1094.2479586545544</v>
      </c>
      <c r="H764" s="5">
        <f t="shared" si="47"/>
        <v>1</v>
      </c>
      <c r="I764" s="5">
        <f t="shared" si="48"/>
        <v>0</v>
      </c>
    </row>
    <row r="765" spans="1:9">
      <c r="A765">
        <v>764</v>
      </c>
      <c r="B765">
        <v>11</v>
      </c>
      <c r="C765">
        <v>6000</v>
      </c>
      <c r="D765">
        <v>6726</v>
      </c>
      <c r="E765" s="5">
        <f t="shared" si="45"/>
        <v>726</v>
      </c>
      <c r="F765" s="5">
        <f t="shared" si="46"/>
        <v>527076</v>
      </c>
      <c r="G765" s="6">
        <f>SQRT(SUM($F$2:F765)/A765)</f>
        <v>1093.8469891178081</v>
      </c>
      <c r="H765" s="5">
        <f t="shared" si="47"/>
        <v>1</v>
      </c>
      <c r="I765" s="5">
        <f t="shared" si="48"/>
        <v>0</v>
      </c>
    </row>
    <row r="766" spans="1:9">
      <c r="A766">
        <v>765</v>
      </c>
      <c r="B766">
        <v>9</v>
      </c>
      <c r="C766">
        <v>6000</v>
      </c>
      <c r="D766">
        <v>5447</v>
      </c>
      <c r="E766" s="5">
        <f t="shared" si="45"/>
        <v>553</v>
      </c>
      <c r="F766" s="5">
        <f t="shared" si="46"/>
        <v>305809</v>
      </c>
      <c r="G766" s="6">
        <f>SQRT(SUM($F$2:F766)/A766)</f>
        <v>1093.3146537141738</v>
      </c>
      <c r="H766" s="5">
        <f t="shared" si="47"/>
        <v>1</v>
      </c>
      <c r="I766" s="5">
        <f t="shared" si="48"/>
        <v>1</v>
      </c>
    </row>
    <row r="767" spans="1:9">
      <c r="A767">
        <v>766</v>
      </c>
      <c r="B767">
        <v>10</v>
      </c>
      <c r="C767">
        <v>6000</v>
      </c>
      <c r="D767">
        <v>6257</v>
      </c>
      <c r="E767" s="5">
        <f t="shared" si="45"/>
        <v>257</v>
      </c>
      <c r="F767" s="5">
        <f t="shared" si="46"/>
        <v>66049</v>
      </c>
      <c r="G767" s="6">
        <f>SQRT(SUM($F$2:F767)/A767)</f>
        <v>1092.6402270630276</v>
      </c>
      <c r="H767" s="5">
        <f t="shared" si="47"/>
        <v>1</v>
      </c>
      <c r="I767" s="5">
        <f t="shared" si="48"/>
        <v>1</v>
      </c>
    </row>
    <row r="768" spans="1:9">
      <c r="A768">
        <v>767</v>
      </c>
      <c r="B768">
        <v>9</v>
      </c>
      <c r="C768">
        <v>6000</v>
      </c>
      <c r="D768">
        <v>5654</v>
      </c>
      <c r="E768" s="5">
        <f t="shared" si="45"/>
        <v>346</v>
      </c>
      <c r="F768" s="5">
        <f t="shared" si="46"/>
        <v>119716</v>
      </c>
      <c r="G768" s="6">
        <f>SQRT(SUM($F$2:F768)/A768)</f>
        <v>1091.9991821517442</v>
      </c>
      <c r="H768" s="5">
        <f t="shared" si="47"/>
        <v>1</v>
      </c>
      <c r="I768" s="5">
        <f t="shared" si="48"/>
        <v>1</v>
      </c>
    </row>
    <row r="769" spans="1:9">
      <c r="A769">
        <v>768</v>
      </c>
      <c r="B769">
        <v>10</v>
      </c>
      <c r="C769">
        <v>6000</v>
      </c>
      <c r="D769">
        <v>6323</v>
      </c>
      <c r="E769" s="5">
        <f t="shared" si="45"/>
        <v>323</v>
      </c>
      <c r="F769" s="5">
        <f t="shared" si="46"/>
        <v>104329</v>
      </c>
      <c r="G769" s="6">
        <f>SQRT(SUM($F$2:F769)/A769)</f>
        <v>1091.3502525302849</v>
      </c>
      <c r="H769" s="5">
        <f t="shared" si="47"/>
        <v>1</v>
      </c>
      <c r="I769" s="5">
        <f t="shared" si="48"/>
        <v>1</v>
      </c>
    </row>
    <row r="770" spans="1:9">
      <c r="A770">
        <v>769</v>
      </c>
      <c r="B770">
        <v>9</v>
      </c>
      <c r="C770">
        <v>6000</v>
      </c>
      <c r="D770">
        <v>5650</v>
      </c>
      <c r="E770" s="5">
        <f t="shared" si="45"/>
        <v>350</v>
      </c>
      <c r="F770" s="5">
        <f t="shared" si="46"/>
        <v>122500</v>
      </c>
      <c r="G770" s="6">
        <f>SQRT(SUM($F$2:F770)/A770)</f>
        <v>1090.7134581797166</v>
      </c>
      <c r="H770" s="5">
        <f t="shared" si="47"/>
        <v>1</v>
      </c>
      <c r="I770" s="5">
        <f t="shared" si="48"/>
        <v>1</v>
      </c>
    </row>
    <row r="771" spans="1:9">
      <c r="A771">
        <v>770</v>
      </c>
      <c r="B771">
        <v>10</v>
      </c>
      <c r="C771">
        <v>6000</v>
      </c>
      <c r="D771">
        <v>5950</v>
      </c>
      <c r="E771" s="5">
        <f t="shared" ref="E771:E834" si="49">ABS(C771-D771)</f>
        <v>50</v>
      </c>
      <c r="F771" s="5">
        <f t="shared" ref="F771:F834" si="50">POWER(E771,2)</f>
        <v>2500</v>
      </c>
      <c r="G771" s="6">
        <f>SQRT(SUM($F$2:F771)/A771)</f>
        <v>1090.0064619134087</v>
      </c>
      <c r="H771" s="5">
        <f t="shared" ref="H771:H834" si="51">IF(ABS(E771)/C771&gt;0.2,0,1)</f>
        <v>1</v>
      </c>
      <c r="I771" s="5">
        <f t="shared" ref="I771:I834" si="52">IF(ABS(E771)/C771&gt;0.1,0,1)</f>
        <v>1</v>
      </c>
    </row>
    <row r="772" spans="1:9">
      <c r="A772">
        <v>771</v>
      </c>
      <c r="B772">
        <v>10</v>
      </c>
      <c r="C772">
        <v>6000</v>
      </c>
      <c r="D772">
        <v>6326</v>
      </c>
      <c r="E772" s="5">
        <f t="shared" si="49"/>
        <v>326</v>
      </c>
      <c r="F772" s="5">
        <f t="shared" si="50"/>
        <v>106276</v>
      </c>
      <c r="G772" s="6">
        <f>SQRT(SUM($F$2:F772)/A772)</f>
        <v>1089.3626231760579</v>
      </c>
      <c r="H772" s="5">
        <f t="shared" si="51"/>
        <v>1</v>
      </c>
      <c r="I772" s="5">
        <f t="shared" si="52"/>
        <v>1</v>
      </c>
    </row>
    <row r="773" spans="1:9">
      <c r="A773">
        <v>772</v>
      </c>
      <c r="B773">
        <v>9</v>
      </c>
      <c r="C773">
        <v>6000</v>
      </c>
      <c r="D773">
        <v>5071</v>
      </c>
      <c r="E773" s="5">
        <f t="shared" si="49"/>
        <v>929</v>
      </c>
      <c r="F773" s="5">
        <f t="shared" si="50"/>
        <v>863041</v>
      </c>
      <c r="G773" s="6">
        <f>SQRT(SUM($F$2:F773)/A773)</f>
        <v>1089.1701718337843</v>
      </c>
      <c r="H773" s="5">
        <f t="shared" si="51"/>
        <v>1</v>
      </c>
      <c r="I773" s="5">
        <f t="shared" si="52"/>
        <v>0</v>
      </c>
    </row>
    <row r="774" spans="1:9">
      <c r="A774">
        <v>773</v>
      </c>
      <c r="B774">
        <v>11</v>
      </c>
      <c r="C774">
        <v>6000</v>
      </c>
      <c r="D774">
        <v>6645</v>
      </c>
      <c r="E774" s="5">
        <f t="shared" si="49"/>
        <v>645</v>
      </c>
      <c r="F774" s="5">
        <f t="shared" si="50"/>
        <v>416025</v>
      </c>
      <c r="G774" s="6">
        <f>SQRT(SUM($F$2:F774)/A774)</f>
        <v>1088.7126339047431</v>
      </c>
      <c r="H774" s="5">
        <f t="shared" si="51"/>
        <v>1</v>
      </c>
      <c r="I774" s="5">
        <f t="shared" si="52"/>
        <v>0</v>
      </c>
    </row>
    <row r="775" spans="1:9">
      <c r="A775">
        <v>774</v>
      </c>
      <c r="B775">
        <v>9</v>
      </c>
      <c r="C775">
        <v>6000</v>
      </c>
      <c r="D775">
        <v>5456</v>
      </c>
      <c r="E775" s="5">
        <f t="shared" si="49"/>
        <v>544</v>
      </c>
      <c r="F775" s="5">
        <f t="shared" si="50"/>
        <v>295936</v>
      </c>
      <c r="G775" s="6">
        <f>SQRT(SUM($F$2:F775)/A775)</f>
        <v>1088.1847987960268</v>
      </c>
      <c r="H775" s="5">
        <f t="shared" si="51"/>
        <v>1</v>
      </c>
      <c r="I775" s="5">
        <f t="shared" si="52"/>
        <v>1</v>
      </c>
    </row>
    <row r="776" spans="1:9">
      <c r="A776">
        <v>775</v>
      </c>
      <c r="B776">
        <v>11</v>
      </c>
      <c r="C776">
        <v>6000</v>
      </c>
      <c r="D776">
        <v>6205</v>
      </c>
      <c r="E776" s="5">
        <f t="shared" si="49"/>
        <v>205</v>
      </c>
      <c r="F776" s="5">
        <f t="shared" si="50"/>
        <v>42025</v>
      </c>
      <c r="G776" s="6">
        <f>SQRT(SUM($F$2:F776)/A776)</f>
        <v>1087.5074489919152</v>
      </c>
      <c r="H776" s="5">
        <f t="shared" si="51"/>
        <v>1</v>
      </c>
      <c r="I776" s="5">
        <f t="shared" si="52"/>
        <v>1</v>
      </c>
    </row>
    <row r="777" spans="1:9">
      <c r="A777">
        <v>776</v>
      </c>
      <c r="B777">
        <v>10</v>
      </c>
      <c r="C777">
        <v>6000</v>
      </c>
      <c r="D777">
        <v>6344</v>
      </c>
      <c r="E777" s="5">
        <f t="shared" si="49"/>
        <v>344</v>
      </c>
      <c r="F777" s="5">
        <f t="shared" si="50"/>
        <v>118336</v>
      </c>
      <c r="G777" s="6">
        <f>SQRT(SUM($F$2:F777)/A777)</f>
        <v>1086.876664585554</v>
      </c>
      <c r="H777" s="5">
        <f t="shared" si="51"/>
        <v>1</v>
      </c>
      <c r="I777" s="5">
        <f t="shared" si="52"/>
        <v>1</v>
      </c>
    </row>
    <row r="778" spans="1:9">
      <c r="A778">
        <v>777</v>
      </c>
      <c r="B778">
        <v>9</v>
      </c>
      <c r="C778">
        <v>6000</v>
      </c>
      <c r="D778">
        <v>5498</v>
      </c>
      <c r="E778" s="5">
        <f t="shared" si="49"/>
        <v>502</v>
      </c>
      <c r="F778" s="5">
        <f t="shared" si="50"/>
        <v>252004</v>
      </c>
      <c r="G778" s="6">
        <f>SQRT(SUM($F$2:F778)/A778)</f>
        <v>1086.3263219377857</v>
      </c>
      <c r="H778" s="5">
        <f t="shared" si="51"/>
        <v>1</v>
      </c>
      <c r="I778" s="5">
        <f t="shared" si="52"/>
        <v>1</v>
      </c>
    </row>
    <row r="779" spans="1:9">
      <c r="A779">
        <v>778</v>
      </c>
      <c r="B779">
        <v>11</v>
      </c>
      <c r="C779">
        <v>6000</v>
      </c>
      <c r="D779">
        <v>7345</v>
      </c>
      <c r="E779" s="5">
        <f t="shared" si="49"/>
        <v>1345</v>
      </c>
      <c r="F779" s="5">
        <f t="shared" si="50"/>
        <v>1809025</v>
      </c>
      <c r="G779" s="6">
        <f>SQRT(SUM($F$2:F779)/A779)</f>
        <v>1086.6983290475584</v>
      </c>
      <c r="H779" s="5">
        <f t="shared" si="51"/>
        <v>0</v>
      </c>
      <c r="I779" s="5">
        <f t="shared" si="52"/>
        <v>0</v>
      </c>
    </row>
    <row r="780" spans="1:9">
      <c r="A780">
        <v>779</v>
      </c>
      <c r="B780">
        <v>8</v>
      </c>
      <c r="C780">
        <v>6000</v>
      </c>
      <c r="D780">
        <v>4767</v>
      </c>
      <c r="E780" s="5">
        <f t="shared" si="49"/>
        <v>1233</v>
      </c>
      <c r="F780" s="5">
        <f t="shared" si="50"/>
        <v>1520289</v>
      </c>
      <c r="G780" s="6">
        <f>SQRT(SUM($F$2:F780)/A780)</f>
        <v>1086.8987597712576</v>
      </c>
      <c r="H780" s="5">
        <f t="shared" si="51"/>
        <v>0</v>
      </c>
      <c r="I780" s="5">
        <f t="shared" si="52"/>
        <v>0</v>
      </c>
    </row>
    <row r="781" spans="1:9">
      <c r="A781">
        <v>780</v>
      </c>
      <c r="B781">
        <v>11</v>
      </c>
      <c r="C781">
        <v>6000</v>
      </c>
      <c r="D781">
        <v>7162</v>
      </c>
      <c r="E781" s="5">
        <f t="shared" si="49"/>
        <v>1162</v>
      </c>
      <c r="F781" s="5">
        <f t="shared" si="50"/>
        <v>1350244</v>
      </c>
      <c r="G781" s="6">
        <f>SQRT(SUM($F$2:F781)/A781)</f>
        <v>1086.9983652949281</v>
      </c>
      <c r="H781" s="5">
        <f t="shared" si="51"/>
        <v>1</v>
      </c>
      <c r="I781" s="5">
        <f t="shared" si="52"/>
        <v>0</v>
      </c>
    </row>
    <row r="782" spans="1:9">
      <c r="A782">
        <v>781</v>
      </c>
      <c r="B782">
        <v>8</v>
      </c>
      <c r="C782">
        <v>6000</v>
      </c>
      <c r="D782">
        <v>4378</v>
      </c>
      <c r="E782" s="5">
        <f t="shared" si="49"/>
        <v>1622</v>
      </c>
      <c r="F782" s="5">
        <f t="shared" si="50"/>
        <v>2630884</v>
      </c>
      <c r="G782" s="6">
        <f>SQRT(SUM($F$2:F782)/A782)</f>
        <v>1087.8516294668473</v>
      </c>
      <c r="H782" s="5">
        <f t="shared" si="51"/>
        <v>0</v>
      </c>
      <c r="I782" s="5">
        <f t="shared" si="52"/>
        <v>0</v>
      </c>
    </row>
    <row r="783" spans="1:9">
      <c r="A783">
        <v>782</v>
      </c>
      <c r="B783">
        <v>12</v>
      </c>
      <c r="C783">
        <v>6000</v>
      </c>
      <c r="D783">
        <v>7649</v>
      </c>
      <c r="E783" s="5">
        <f t="shared" si="49"/>
        <v>1649</v>
      </c>
      <c r="F783" s="5">
        <f t="shared" si="50"/>
        <v>2719201</v>
      </c>
      <c r="G783" s="6">
        <f>SQRT(SUM($F$2:F783)/A783)</f>
        <v>1088.7539118472364</v>
      </c>
      <c r="H783" s="5">
        <f t="shared" si="51"/>
        <v>0</v>
      </c>
      <c r="I783" s="5">
        <f t="shared" si="52"/>
        <v>0</v>
      </c>
    </row>
    <row r="784" spans="1:9">
      <c r="A784">
        <v>783</v>
      </c>
      <c r="B784">
        <v>8</v>
      </c>
      <c r="C784">
        <v>6000</v>
      </c>
      <c r="D784">
        <v>4432</v>
      </c>
      <c r="E784" s="5">
        <f t="shared" si="49"/>
        <v>1568</v>
      </c>
      <c r="F784" s="5">
        <f t="shared" si="50"/>
        <v>2458624</v>
      </c>
      <c r="G784" s="6">
        <f>SQRT(SUM($F$2:F784)/A784)</f>
        <v>1089.500428594705</v>
      </c>
      <c r="H784" s="5">
        <f t="shared" si="51"/>
        <v>0</v>
      </c>
      <c r="I784" s="5">
        <f t="shared" si="52"/>
        <v>0</v>
      </c>
    </row>
    <row r="785" spans="1:9">
      <c r="A785">
        <v>784</v>
      </c>
      <c r="B785">
        <v>12</v>
      </c>
      <c r="C785">
        <v>6000</v>
      </c>
      <c r="D785">
        <v>7342</v>
      </c>
      <c r="E785" s="5">
        <f t="shared" si="49"/>
        <v>1342</v>
      </c>
      <c r="F785" s="5">
        <f t="shared" si="50"/>
        <v>1800964</v>
      </c>
      <c r="G785" s="6">
        <f>SQRT(SUM($F$2:F785)/A785)</f>
        <v>1089.859755651981</v>
      </c>
      <c r="H785" s="5">
        <f t="shared" si="51"/>
        <v>0</v>
      </c>
      <c r="I785" s="5">
        <f t="shared" si="52"/>
        <v>0</v>
      </c>
    </row>
    <row r="786" spans="1:9">
      <c r="A786">
        <v>785</v>
      </c>
      <c r="B786">
        <v>8</v>
      </c>
      <c r="C786">
        <v>6000</v>
      </c>
      <c r="D786">
        <v>4654</v>
      </c>
      <c r="E786" s="5">
        <f t="shared" si="49"/>
        <v>1346</v>
      </c>
      <c r="F786" s="5">
        <f t="shared" si="50"/>
        <v>1811716</v>
      </c>
      <c r="G786" s="6">
        <f>SQRT(SUM($F$2:F786)/A786)</f>
        <v>1090.2243309153146</v>
      </c>
      <c r="H786" s="5">
        <f t="shared" si="51"/>
        <v>0</v>
      </c>
      <c r="I786" s="5">
        <f t="shared" si="52"/>
        <v>0</v>
      </c>
    </row>
    <row r="787" spans="1:9">
      <c r="A787">
        <v>786</v>
      </c>
      <c r="B787">
        <v>12</v>
      </c>
      <c r="C787">
        <v>6000</v>
      </c>
      <c r="D787">
        <v>7052</v>
      </c>
      <c r="E787" s="5">
        <f t="shared" si="49"/>
        <v>1052</v>
      </c>
      <c r="F787" s="5">
        <f t="shared" si="50"/>
        <v>1106704</v>
      </c>
      <c r="G787" s="6">
        <f>SQRT(SUM($F$2:F787)/A787)</f>
        <v>1090.1765509373886</v>
      </c>
      <c r="H787" s="5">
        <f t="shared" si="51"/>
        <v>1</v>
      </c>
      <c r="I787" s="5">
        <f t="shared" si="52"/>
        <v>0</v>
      </c>
    </row>
    <row r="788" spans="1:9">
      <c r="A788">
        <v>787</v>
      </c>
      <c r="B788">
        <v>9</v>
      </c>
      <c r="C788">
        <v>6000</v>
      </c>
      <c r="D788">
        <v>6056</v>
      </c>
      <c r="E788" s="5">
        <f t="shared" si="49"/>
        <v>56</v>
      </c>
      <c r="F788" s="5">
        <f t="shared" si="50"/>
        <v>3136</v>
      </c>
      <c r="G788" s="6">
        <f>SQRT(SUM($F$2:F788)/A788)</f>
        <v>1089.4855441688917</v>
      </c>
      <c r="H788" s="5">
        <f t="shared" si="51"/>
        <v>1</v>
      </c>
      <c r="I788" s="5">
        <f t="shared" si="52"/>
        <v>1</v>
      </c>
    </row>
    <row r="789" spans="1:9">
      <c r="A789">
        <v>788</v>
      </c>
      <c r="B789">
        <v>10</v>
      </c>
      <c r="C789">
        <v>6000</v>
      </c>
      <c r="D789">
        <v>7171</v>
      </c>
      <c r="E789" s="5">
        <f t="shared" si="49"/>
        <v>1171</v>
      </c>
      <c r="F789" s="5">
        <f t="shared" si="50"/>
        <v>1371241</v>
      </c>
      <c r="G789" s="6">
        <f>SQRT(SUM($F$2:F789)/A789)</f>
        <v>1089.5928534523418</v>
      </c>
      <c r="H789" s="5">
        <f t="shared" si="51"/>
        <v>1</v>
      </c>
      <c r="I789" s="5">
        <f t="shared" si="52"/>
        <v>0</v>
      </c>
    </row>
    <row r="790" spans="1:9">
      <c r="A790">
        <v>789</v>
      </c>
      <c r="B790">
        <v>8</v>
      </c>
      <c r="C790">
        <v>6000</v>
      </c>
      <c r="D790">
        <v>5223</v>
      </c>
      <c r="E790" s="5">
        <f t="shared" si="49"/>
        <v>777</v>
      </c>
      <c r="F790" s="5">
        <f t="shared" si="50"/>
        <v>603729</v>
      </c>
      <c r="G790" s="6">
        <f>SQRT(SUM($F$2:F790)/A790)</f>
        <v>1089.2534431303654</v>
      </c>
      <c r="H790" s="5">
        <f t="shared" si="51"/>
        <v>1</v>
      </c>
      <c r="I790" s="5">
        <f t="shared" si="52"/>
        <v>0</v>
      </c>
    </row>
    <row r="791" spans="1:9">
      <c r="A791">
        <v>790</v>
      </c>
      <c r="B791">
        <v>11</v>
      </c>
      <c r="C791">
        <v>6000</v>
      </c>
      <c r="D791">
        <v>6663</v>
      </c>
      <c r="E791" s="5">
        <f t="shared" si="49"/>
        <v>663</v>
      </c>
      <c r="F791" s="5">
        <f t="shared" si="50"/>
        <v>439569</v>
      </c>
      <c r="G791" s="6">
        <f>SQRT(SUM($F$2:F791)/A791)</f>
        <v>1088.8193675674001</v>
      </c>
      <c r="H791" s="5">
        <f t="shared" si="51"/>
        <v>1</v>
      </c>
      <c r="I791" s="5">
        <f t="shared" si="52"/>
        <v>0</v>
      </c>
    </row>
    <row r="792" spans="1:9">
      <c r="A792">
        <v>791</v>
      </c>
      <c r="B792">
        <v>9</v>
      </c>
      <c r="C792">
        <v>6000</v>
      </c>
      <c r="D792">
        <v>6399</v>
      </c>
      <c r="E792" s="5">
        <f t="shared" si="49"/>
        <v>399</v>
      </c>
      <c r="F792" s="5">
        <f t="shared" si="50"/>
        <v>159201</v>
      </c>
      <c r="G792" s="6">
        <f>SQRT(SUM($F$2:F792)/A792)</f>
        <v>1088.2233732039383</v>
      </c>
      <c r="H792" s="5">
        <f t="shared" si="51"/>
        <v>1</v>
      </c>
      <c r="I792" s="5">
        <f t="shared" si="52"/>
        <v>1</v>
      </c>
    </row>
    <row r="793" spans="1:9">
      <c r="A793">
        <v>792</v>
      </c>
      <c r="B793">
        <v>9</v>
      </c>
      <c r="C793">
        <v>6000</v>
      </c>
      <c r="D793">
        <v>5083</v>
      </c>
      <c r="E793" s="5">
        <f t="shared" si="49"/>
        <v>917</v>
      </c>
      <c r="F793" s="5">
        <f t="shared" si="50"/>
        <v>840889</v>
      </c>
      <c r="G793" s="6">
        <f>SQRT(SUM($F$2:F793)/A793)</f>
        <v>1088.0241718293066</v>
      </c>
      <c r="H793" s="5">
        <f t="shared" si="51"/>
        <v>1</v>
      </c>
      <c r="I793" s="5">
        <f t="shared" si="52"/>
        <v>0</v>
      </c>
    </row>
    <row r="794" spans="1:9">
      <c r="A794">
        <v>793</v>
      </c>
      <c r="B794">
        <v>11</v>
      </c>
      <c r="C794">
        <v>6000</v>
      </c>
      <c r="D794">
        <v>5922</v>
      </c>
      <c r="E794" s="5">
        <f t="shared" si="49"/>
        <v>78</v>
      </c>
      <c r="F794" s="5">
        <f t="shared" si="50"/>
        <v>6084</v>
      </c>
      <c r="G794" s="6">
        <f>SQRT(SUM($F$2:F794)/A794)</f>
        <v>1087.3414655937183</v>
      </c>
      <c r="H794" s="5">
        <f t="shared" si="51"/>
        <v>1</v>
      </c>
      <c r="I794" s="5">
        <f t="shared" si="52"/>
        <v>1</v>
      </c>
    </row>
    <row r="795" spans="1:9">
      <c r="A795">
        <v>794</v>
      </c>
      <c r="B795">
        <v>10</v>
      </c>
      <c r="C795">
        <v>6000</v>
      </c>
      <c r="D795">
        <v>2115</v>
      </c>
      <c r="E795" s="5">
        <f t="shared" si="49"/>
        <v>3885</v>
      </c>
      <c r="F795" s="5">
        <f t="shared" si="50"/>
        <v>15093225</v>
      </c>
      <c r="G795" s="6">
        <f>SQRT(SUM($F$2:F795)/A795)</f>
        <v>1095.3682052341046</v>
      </c>
      <c r="H795" s="5">
        <f t="shared" si="51"/>
        <v>0</v>
      </c>
      <c r="I795" s="5">
        <f t="shared" si="52"/>
        <v>0</v>
      </c>
    </row>
    <row r="796" spans="1:9">
      <c r="A796">
        <v>795</v>
      </c>
      <c r="B796">
        <v>15</v>
      </c>
      <c r="C796">
        <v>6000</v>
      </c>
      <c r="D796">
        <v>7015</v>
      </c>
      <c r="E796" s="5">
        <f t="shared" si="49"/>
        <v>1015</v>
      </c>
      <c r="F796" s="5">
        <f t="shared" si="50"/>
        <v>1030225</v>
      </c>
      <c r="G796" s="6">
        <f>SQRT(SUM($F$2:F796)/A796)</f>
        <v>1095.2708174337581</v>
      </c>
      <c r="H796" s="5">
        <f t="shared" si="51"/>
        <v>1</v>
      </c>
      <c r="I796" s="5">
        <f t="shared" si="52"/>
        <v>0</v>
      </c>
    </row>
    <row r="797" spans="1:9">
      <c r="A797">
        <v>796</v>
      </c>
      <c r="B797">
        <v>9</v>
      </c>
      <c r="C797">
        <v>6000</v>
      </c>
      <c r="D797">
        <v>5621</v>
      </c>
      <c r="E797" s="5">
        <f t="shared" si="49"/>
        <v>379</v>
      </c>
      <c r="F797" s="5">
        <f t="shared" si="50"/>
        <v>143641</v>
      </c>
      <c r="G797" s="6">
        <f>SQRT(SUM($F$2:F797)/A797)</f>
        <v>1094.6650442236776</v>
      </c>
      <c r="H797" s="5">
        <f t="shared" si="51"/>
        <v>1</v>
      </c>
      <c r="I797" s="5">
        <f t="shared" si="52"/>
        <v>1</v>
      </c>
    </row>
    <row r="798" spans="1:9">
      <c r="A798">
        <v>797</v>
      </c>
      <c r="B798">
        <v>11</v>
      </c>
      <c r="C798">
        <v>6000</v>
      </c>
      <c r="D798">
        <v>6344</v>
      </c>
      <c r="E798" s="5">
        <f t="shared" si="49"/>
        <v>344</v>
      </c>
      <c r="F798" s="5">
        <f t="shared" si="50"/>
        <v>118336</v>
      </c>
      <c r="G798" s="6">
        <f>SQRT(SUM($F$2:F798)/A798)</f>
        <v>1094.0459465898525</v>
      </c>
      <c r="H798" s="5">
        <f t="shared" si="51"/>
        <v>1</v>
      </c>
      <c r="I798" s="5">
        <f t="shared" si="52"/>
        <v>1</v>
      </c>
    </row>
    <row r="799" spans="1:9">
      <c r="A799">
        <v>798</v>
      </c>
      <c r="B799">
        <v>10</v>
      </c>
      <c r="C799">
        <v>6000</v>
      </c>
      <c r="D799">
        <v>6148</v>
      </c>
      <c r="E799" s="5">
        <f t="shared" si="49"/>
        <v>148</v>
      </c>
      <c r="F799" s="5">
        <f t="shared" si="50"/>
        <v>21904</v>
      </c>
      <c r="G799" s="6">
        <f>SQRT(SUM($F$2:F799)/A799)</f>
        <v>1093.3727915964932</v>
      </c>
      <c r="H799" s="5">
        <f t="shared" si="51"/>
        <v>1</v>
      </c>
      <c r="I799" s="5">
        <f t="shared" si="52"/>
        <v>1</v>
      </c>
    </row>
    <row r="800" spans="1:9">
      <c r="A800">
        <v>799</v>
      </c>
      <c r="B800">
        <v>10</v>
      </c>
      <c r="C800">
        <v>6000</v>
      </c>
      <c r="D800">
        <v>5444</v>
      </c>
      <c r="E800" s="5">
        <f t="shared" si="49"/>
        <v>556</v>
      </c>
      <c r="F800" s="5">
        <f t="shared" si="50"/>
        <v>309136</v>
      </c>
      <c r="G800" s="6">
        <f>SQRT(SUM($F$2:F800)/A800)</f>
        <v>1092.8653918511111</v>
      </c>
      <c r="H800" s="5">
        <f t="shared" si="51"/>
        <v>1</v>
      </c>
      <c r="I800" s="5">
        <f t="shared" si="52"/>
        <v>1</v>
      </c>
    </row>
    <row r="801" spans="1:9">
      <c r="A801">
        <v>800</v>
      </c>
      <c r="B801">
        <v>11</v>
      </c>
      <c r="C801">
        <v>6000</v>
      </c>
      <c r="D801">
        <v>7064</v>
      </c>
      <c r="E801" s="5">
        <f t="shared" si="49"/>
        <v>1064</v>
      </c>
      <c r="F801" s="5">
        <f t="shared" si="50"/>
        <v>1132096</v>
      </c>
      <c r="G801" s="6">
        <f>SQRT(SUM($F$2:F801)/A801)</f>
        <v>1092.8297860371486</v>
      </c>
      <c r="H801" s="5">
        <f t="shared" si="51"/>
        <v>1</v>
      </c>
      <c r="I801" s="5">
        <f t="shared" si="52"/>
        <v>0</v>
      </c>
    </row>
    <row r="802" spans="1:9">
      <c r="A802">
        <v>801</v>
      </c>
      <c r="B802">
        <v>1</v>
      </c>
      <c r="C802">
        <v>9000</v>
      </c>
      <c r="D802">
        <v>953</v>
      </c>
      <c r="E802" s="5">
        <f t="shared" si="49"/>
        <v>8047</v>
      </c>
      <c r="F802" s="5">
        <f t="shared" si="50"/>
        <v>64754209</v>
      </c>
      <c r="G802" s="6">
        <f>SQRT(SUM($F$2:F802)/A802)</f>
        <v>1128.5511365973214</v>
      </c>
      <c r="H802" s="5">
        <f t="shared" si="51"/>
        <v>0</v>
      </c>
      <c r="I802" s="5">
        <f t="shared" si="52"/>
        <v>0</v>
      </c>
    </row>
    <row r="803" spans="1:9">
      <c r="A803">
        <v>802</v>
      </c>
      <c r="B803">
        <v>12</v>
      </c>
      <c r="C803">
        <v>9000</v>
      </c>
      <c r="D803">
        <v>8075</v>
      </c>
      <c r="E803" s="5">
        <f t="shared" si="49"/>
        <v>925</v>
      </c>
      <c r="F803" s="5">
        <f t="shared" si="50"/>
        <v>855625</v>
      </c>
      <c r="G803" s="6">
        <f>SQRT(SUM($F$2:F803)/A803)</f>
        <v>1128.3201972760426</v>
      </c>
      <c r="H803" s="5">
        <f t="shared" si="51"/>
        <v>1</v>
      </c>
      <c r="I803" s="5">
        <f t="shared" si="52"/>
        <v>0</v>
      </c>
    </row>
    <row r="804" spans="1:9">
      <c r="A804">
        <v>803</v>
      </c>
      <c r="B804">
        <v>4</v>
      </c>
      <c r="C804">
        <v>9000</v>
      </c>
      <c r="D804">
        <v>3314</v>
      </c>
      <c r="E804" s="5">
        <f t="shared" si="49"/>
        <v>5686</v>
      </c>
      <c r="F804" s="5">
        <f t="shared" si="50"/>
        <v>32330596</v>
      </c>
      <c r="G804" s="6">
        <f>SQRT(SUM($F$2:F804)/A804)</f>
        <v>1145.3310837514291</v>
      </c>
      <c r="H804" s="5">
        <f t="shared" si="51"/>
        <v>0</v>
      </c>
      <c r="I804" s="5">
        <f t="shared" si="52"/>
        <v>0</v>
      </c>
    </row>
    <row r="805" spans="1:9">
      <c r="A805">
        <v>804</v>
      </c>
      <c r="B805">
        <v>11</v>
      </c>
      <c r="C805">
        <v>9000</v>
      </c>
      <c r="D805">
        <v>6997</v>
      </c>
      <c r="E805" s="5">
        <f t="shared" si="49"/>
        <v>2003</v>
      </c>
      <c r="F805" s="5">
        <f t="shared" si="50"/>
        <v>4012009</v>
      </c>
      <c r="G805" s="6">
        <f>SQRT(SUM($F$2:F805)/A805)</f>
        <v>1146.7963119466888</v>
      </c>
      <c r="H805" s="5">
        <f t="shared" si="51"/>
        <v>0</v>
      </c>
      <c r="I805" s="5">
        <f t="shared" si="52"/>
        <v>0</v>
      </c>
    </row>
    <row r="806" spans="1:9">
      <c r="A806">
        <v>805</v>
      </c>
      <c r="B806">
        <v>7</v>
      </c>
      <c r="C806">
        <v>9000</v>
      </c>
      <c r="D806">
        <v>5284</v>
      </c>
      <c r="E806" s="5">
        <f t="shared" si="49"/>
        <v>3716</v>
      </c>
      <c r="F806" s="5">
        <f t="shared" si="50"/>
        <v>13808656</v>
      </c>
      <c r="G806" s="6">
        <f>SQRT(SUM($F$2:F806)/A806)</f>
        <v>1153.5430960888118</v>
      </c>
      <c r="H806" s="5">
        <f t="shared" si="51"/>
        <v>0</v>
      </c>
      <c r="I806" s="5">
        <f t="shared" si="52"/>
        <v>0</v>
      </c>
    </row>
    <row r="807" spans="1:9">
      <c r="A807">
        <v>806</v>
      </c>
      <c r="B807">
        <v>10</v>
      </c>
      <c r="C807">
        <v>9000</v>
      </c>
      <c r="D807">
        <v>7043</v>
      </c>
      <c r="E807" s="5">
        <f t="shared" si="49"/>
        <v>1957</v>
      </c>
      <c r="F807" s="5">
        <f t="shared" si="50"/>
        <v>3829849</v>
      </c>
      <c r="G807" s="6">
        <f>SQRT(SUM($F$2:F807)/A807)</f>
        <v>1154.8863161479603</v>
      </c>
      <c r="H807" s="5">
        <f t="shared" si="51"/>
        <v>0</v>
      </c>
      <c r="I807" s="5">
        <f t="shared" si="52"/>
        <v>0</v>
      </c>
    </row>
    <row r="808" spans="1:9">
      <c r="A808">
        <v>807</v>
      </c>
      <c r="B808">
        <v>9</v>
      </c>
      <c r="C808">
        <v>9000</v>
      </c>
      <c r="D808">
        <v>6535</v>
      </c>
      <c r="E808" s="5">
        <f t="shared" si="49"/>
        <v>2465</v>
      </c>
      <c r="F808" s="5">
        <f t="shared" si="50"/>
        <v>6076225</v>
      </c>
      <c r="G808" s="6">
        <f>SQRT(SUM($F$2:F808)/A808)</f>
        <v>1157.427777754928</v>
      </c>
      <c r="H808" s="5">
        <f t="shared" si="51"/>
        <v>0</v>
      </c>
      <c r="I808" s="5">
        <f t="shared" si="52"/>
        <v>0</v>
      </c>
    </row>
    <row r="809" spans="1:9">
      <c r="A809">
        <v>808</v>
      </c>
      <c r="B809">
        <v>10</v>
      </c>
      <c r="C809">
        <v>9000</v>
      </c>
      <c r="D809">
        <v>6955</v>
      </c>
      <c r="E809" s="5">
        <f t="shared" si="49"/>
        <v>2045</v>
      </c>
      <c r="F809" s="5">
        <f t="shared" si="50"/>
        <v>4182025</v>
      </c>
      <c r="G809" s="6">
        <f>SQRT(SUM($F$2:F809)/A809)</f>
        <v>1158.9464461738557</v>
      </c>
      <c r="H809" s="5">
        <f t="shared" si="51"/>
        <v>0</v>
      </c>
      <c r="I809" s="5">
        <f t="shared" si="52"/>
        <v>0</v>
      </c>
    </row>
    <row r="810" spans="1:9">
      <c r="A810">
        <v>809</v>
      </c>
      <c r="B810">
        <v>10</v>
      </c>
      <c r="C810">
        <v>9000</v>
      </c>
      <c r="D810">
        <v>6657</v>
      </c>
      <c r="E810" s="5">
        <f t="shared" si="49"/>
        <v>2343</v>
      </c>
      <c r="F810" s="5">
        <f t="shared" si="50"/>
        <v>5489649</v>
      </c>
      <c r="G810" s="6">
        <f>SQRT(SUM($F$2:F810)/A810)</f>
        <v>1161.1555963402309</v>
      </c>
      <c r="H810" s="5">
        <f t="shared" si="51"/>
        <v>0</v>
      </c>
      <c r="I810" s="5">
        <f t="shared" si="52"/>
        <v>0</v>
      </c>
    </row>
    <row r="811" spans="1:9">
      <c r="A811">
        <v>810</v>
      </c>
      <c r="B811">
        <v>11</v>
      </c>
      <c r="C811">
        <v>9000</v>
      </c>
      <c r="D811">
        <v>7217</v>
      </c>
      <c r="E811" s="5">
        <f t="shared" si="49"/>
        <v>1783</v>
      </c>
      <c r="F811" s="5">
        <f t="shared" si="50"/>
        <v>3179089</v>
      </c>
      <c r="G811" s="6">
        <f>SQRT(SUM($F$2:F811)/A811)</f>
        <v>1162.1284671128551</v>
      </c>
      <c r="H811" s="5">
        <f t="shared" si="51"/>
        <v>1</v>
      </c>
      <c r="I811" s="5">
        <f t="shared" si="52"/>
        <v>0</v>
      </c>
    </row>
    <row r="812" spans="1:9">
      <c r="A812">
        <v>811</v>
      </c>
      <c r="B812">
        <v>11</v>
      </c>
      <c r="C812">
        <v>9000</v>
      </c>
      <c r="D812">
        <v>6926</v>
      </c>
      <c r="E812" s="5">
        <f t="shared" si="49"/>
        <v>2074</v>
      </c>
      <c r="F812" s="5">
        <f t="shared" si="50"/>
        <v>4301476</v>
      </c>
      <c r="G812" s="6">
        <f>SQRT(SUM($F$2:F812)/A812)</f>
        <v>1163.6929189514542</v>
      </c>
      <c r="H812" s="5">
        <f t="shared" si="51"/>
        <v>0</v>
      </c>
      <c r="I812" s="5">
        <f t="shared" si="52"/>
        <v>0</v>
      </c>
    </row>
    <row r="813" spans="1:9">
      <c r="A813">
        <v>812</v>
      </c>
      <c r="B813">
        <v>12</v>
      </c>
      <c r="C813">
        <v>9000</v>
      </c>
      <c r="D813">
        <v>7214</v>
      </c>
      <c r="E813" s="5">
        <f t="shared" si="49"/>
        <v>1786</v>
      </c>
      <c r="F813" s="5">
        <f t="shared" si="50"/>
        <v>3189796</v>
      </c>
      <c r="G813" s="6">
        <f>SQRT(SUM($F$2:F813)/A813)</f>
        <v>1164.6638222961667</v>
      </c>
      <c r="H813" s="5">
        <f t="shared" si="51"/>
        <v>1</v>
      </c>
      <c r="I813" s="5">
        <f t="shared" si="52"/>
        <v>0</v>
      </c>
    </row>
    <row r="814" spans="1:9">
      <c r="A814">
        <v>813</v>
      </c>
      <c r="B814">
        <v>12</v>
      </c>
      <c r="C814">
        <v>9000</v>
      </c>
      <c r="D814">
        <v>7607</v>
      </c>
      <c r="E814" s="5">
        <f t="shared" si="49"/>
        <v>1393</v>
      </c>
      <c r="F814" s="5">
        <f t="shared" si="50"/>
        <v>1940449</v>
      </c>
      <c r="G814" s="6">
        <f>SQRT(SUM($F$2:F814)/A814)</f>
        <v>1164.9721691875518</v>
      </c>
      <c r="H814" s="5">
        <f t="shared" si="51"/>
        <v>1</v>
      </c>
      <c r="I814" s="5">
        <f t="shared" si="52"/>
        <v>0</v>
      </c>
    </row>
    <row r="815" spans="1:9">
      <c r="A815">
        <v>814</v>
      </c>
      <c r="B815">
        <v>12</v>
      </c>
      <c r="C815">
        <v>9000</v>
      </c>
      <c r="D815">
        <v>6968</v>
      </c>
      <c r="E815" s="5">
        <f t="shared" si="49"/>
        <v>2032</v>
      </c>
      <c r="F815" s="5">
        <f t="shared" si="50"/>
        <v>4129024</v>
      </c>
      <c r="G815" s="6">
        <f>SQRT(SUM($F$2:F815)/A815)</f>
        <v>1166.4327640804647</v>
      </c>
      <c r="H815" s="5">
        <f t="shared" si="51"/>
        <v>0</v>
      </c>
      <c r="I815" s="5">
        <f t="shared" si="52"/>
        <v>0</v>
      </c>
    </row>
    <row r="816" spans="1:9">
      <c r="A816">
        <v>815</v>
      </c>
      <c r="B816">
        <v>13</v>
      </c>
      <c r="C816">
        <v>9000</v>
      </c>
      <c r="D816">
        <v>8054</v>
      </c>
      <c r="E816" s="5">
        <f t="shared" si="49"/>
        <v>946</v>
      </c>
      <c r="F816" s="5">
        <f t="shared" si="50"/>
        <v>894916</v>
      </c>
      <c r="G816" s="6">
        <f>SQRT(SUM($F$2:F816)/A816)</f>
        <v>1166.1878254259814</v>
      </c>
      <c r="H816" s="5">
        <f t="shared" si="51"/>
        <v>1</v>
      </c>
      <c r="I816" s="5">
        <f t="shared" si="52"/>
        <v>0</v>
      </c>
    </row>
    <row r="817" spans="1:9">
      <c r="A817">
        <v>816</v>
      </c>
      <c r="B817">
        <v>12</v>
      </c>
      <c r="C817">
        <v>9000</v>
      </c>
      <c r="D817">
        <v>7525</v>
      </c>
      <c r="E817" s="5">
        <f t="shared" si="49"/>
        <v>1475</v>
      </c>
      <c r="F817" s="5">
        <f t="shared" si="50"/>
        <v>2175625</v>
      </c>
      <c r="G817" s="6">
        <f>SQRT(SUM($F$2:F817)/A817)</f>
        <v>1166.6163002083267</v>
      </c>
      <c r="H817" s="5">
        <f t="shared" si="51"/>
        <v>1</v>
      </c>
      <c r="I817" s="5">
        <f t="shared" si="52"/>
        <v>0</v>
      </c>
    </row>
    <row r="818" spans="1:9">
      <c r="A818">
        <v>817</v>
      </c>
      <c r="B818">
        <v>13</v>
      </c>
      <c r="C818">
        <v>9000</v>
      </c>
      <c r="D818">
        <v>8292</v>
      </c>
      <c r="E818" s="5">
        <f t="shared" si="49"/>
        <v>708</v>
      </c>
      <c r="F818" s="5">
        <f t="shared" si="50"/>
        <v>501264</v>
      </c>
      <c r="G818" s="6">
        <f>SQRT(SUM($F$2:F818)/A818)</f>
        <v>1166.1652075540883</v>
      </c>
      <c r="H818" s="5">
        <f t="shared" si="51"/>
        <v>1</v>
      </c>
      <c r="I818" s="5">
        <f t="shared" si="52"/>
        <v>1</v>
      </c>
    </row>
    <row r="819" spans="1:9">
      <c r="A819">
        <v>818</v>
      </c>
      <c r="B819">
        <v>12</v>
      </c>
      <c r="C819">
        <v>9000</v>
      </c>
      <c r="D819">
        <v>7365</v>
      </c>
      <c r="E819" s="5">
        <f t="shared" si="49"/>
        <v>1635</v>
      </c>
      <c r="F819" s="5">
        <f t="shared" si="50"/>
        <v>2673225</v>
      </c>
      <c r="G819" s="6">
        <f>SQRT(SUM($F$2:F819)/A819)</f>
        <v>1166.8533638020403</v>
      </c>
      <c r="H819" s="5">
        <f t="shared" si="51"/>
        <v>1</v>
      </c>
      <c r="I819" s="5">
        <f t="shared" si="52"/>
        <v>0</v>
      </c>
    </row>
    <row r="820" spans="1:9">
      <c r="A820">
        <v>819</v>
      </c>
      <c r="B820">
        <v>14</v>
      </c>
      <c r="C820">
        <v>9000</v>
      </c>
      <c r="D820">
        <v>9008</v>
      </c>
      <c r="E820" s="5">
        <f t="shared" si="49"/>
        <v>8</v>
      </c>
      <c r="F820" s="5">
        <f t="shared" si="50"/>
        <v>64</v>
      </c>
      <c r="G820" s="6">
        <f>SQRT(SUM($F$2:F820)/A820)</f>
        <v>1166.1408150341024</v>
      </c>
      <c r="H820" s="5">
        <f t="shared" si="51"/>
        <v>1</v>
      </c>
      <c r="I820" s="5">
        <f t="shared" si="52"/>
        <v>1</v>
      </c>
    </row>
    <row r="821" spans="1:9">
      <c r="A821">
        <v>820</v>
      </c>
      <c r="B821">
        <v>12</v>
      </c>
      <c r="C821">
        <v>9000</v>
      </c>
      <c r="D821">
        <v>6816</v>
      </c>
      <c r="E821" s="5">
        <f t="shared" si="49"/>
        <v>2184</v>
      </c>
      <c r="F821" s="5">
        <f t="shared" si="50"/>
        <v>4769856</v>
      </c>
      <c r="G821" s="6">
        <f>SQRT(SUM($F$2:F821)/A821)</f>
        <v>1167.9224727861967</v>
      </c>
      <c r="H821" s="5">
        <f t="shared" si="51"/>
        <v>0</v>
      </c>
      <c r="I821" s="5">
        <f t="shared" si="52"/>
        <v>0</v>
      </c>
    </row>
    <row r="822" spans="1:9">
      <c r="A822">
        <v>821</v>
      </c>
      <c r="B822">
        <v>15</v>
      </c>
      <c r="C822">
        <v>9000</v>
      </c>
      <c r="D822">
        <v>9455</v>
      </c>
      <c r="E822" s="5">
        <f t="shared" si="49"/>
        <v>455</v>
      </c>
      <c r="F822" s="5">
        <f t="shared" si="50"/>
        <v>207025</v>
      </c>
      <c r="G822" s="6">
        <f>SQRT(SUM($F$2:F822)/A822)</f>
        <v>1167.3189896638023</v>
      </c>
      <c r="H822" s="5">
        <f t="shared" si="51"/>
        <v>1</v>
      </c>
      <c r="I822" s="5">
        <f t="shared" si="52"/>
        <v>1</v>
      </c>
    </row>
    <row r="823" spans="1:9">
      <c r="A823">
        <v>822</v>
      </c>
      <c r="B823">
        <v>12</v>
      </c>
      <c r="C823">
        <v>9000</v>
      </c>
      <c r="D823">
        <v>7342</v>
      </c>
      <c r="E823" s="5">
        <f t="shared" si="49"/>
        <v>1658</v>
      </c>
      <c r="F823" s="5">
        <f t="shared" si="50"/>
        <v>2748964</v>
      </c>
      <c r="G823" s="6">
        <f>SQRT(SUM($F$2:F823)/A823)</f>
        <v>1168.0411623458767</v>
      </c>
      <c r="H823" s="5">
        <f t="shared" si="51"/>
        <v>1</v>
      </c>
      <c r="I823" s="5">
        <f t="shared" si="52"/>
        <v>0</v>
      </c>
    </row>
    <row r="824" spans="1:9">
      <c r="A824">
        <v>823</v>
      </c>
      <c r="B824">
        <v>15</v>
      </c>
      <c r="C824">
        <v>9000</v>
      </c>
      <c r="D824">
        <v>9384</v>
      </c>
      <c r="E824" s="5">
        <f t="shared" si="49"/>
        <v>384</v>
      </c>
      <c r="F824" s="5">
        <f t="shared" si="50"/>
        <v>147456</v>
      </c>
      <c r="G824" s="6">
        <f>SQRT(SUM($F$2:F824)/A824)</f>
        <v>1167.4080630448855</v>
      </c>
      <c r="H824" s="5">
        <f t="shared" si="51"/>
        <v>1</v>
      </c>
      <c r="I824" s="5">
        <f t="shared" si="52"/>
        <v>1</v>
      </c>
    </row>
    <row r="825" spans="1:9">
      <c r="A825">
        <v>824</v>
      </c>
      <c r="B825">
        <v>12</v>
      </c>
      <c r="C825">
        <v>9000</v>
      </c>
      <c r="D825">
        <v>7185</v>
      </c>
      <c r="E825" s="5">
        <f t="shared" si="49"/>
        <v>1815</v>
      </c>
      <c r="F825" s="5">
        <f t="shared" si="50"/>
        <v>3294225</v>
      </c>
      <c r="G825" s="6">
        <f>SQRT(SUM($F$2:F825)/A825)</f>
        <v>1168.4115274905564</v>
      </c>
      <c r="H825" s="5">
        <f t="shared" si="51"/>
        <v>0</v>
      </c>
      <c r="I825" s="5">
        <f t="shared" si="52"/>
        <v>0</v>
      </c>
    </row>
    <row r="826" spans="1:9">
      <c r="A826">
        <v>825</v>
      </c>
      <c r="B826">
        <v>15</v>
      </c>
      <c r="C826">
        <v>9000</v>
      </c>
      <c r="D826">
        <v>9211</v>
      </c>
      <c r="E826" s="5">
        <f t="shared" si="49"/>
        <v>211</v>
      </c>
      <c r="F826" s="5">
        <f t="shared" si="50"/>
        <v>44521</v>
      </c>
      <c r="G826" s="6">
        <f>SQRT(SUM($F$2:F826)/A826)</f>
        <v>1167.7262916116997</v>
      </c>
      <c r="H826" s="5">
        <f t="shared" si="51"/>
        <v>1</v>
      </c>
      <c r="I826" s="5">
        <f t="shared" si="52"/>
        <v>1</v>
      </c>
    </row>
    <row r="827" spans="1:9">
      <c r="A827">
        <v>826</v>
      </c>
      <c r="B827">
        <v>13</v>
      </c>
      <c r="C827">
        <v>9000</v>
      </c>
      <c r="D827">
        <v>8007</v>
      </c>
      <c r="E827" s="5">
        <f t="shared" si="49"/>
        <v>993</v>
      </c>
      <c r="F827" s="5">
        <f t="shared" si="50"/>
        <v>986049</v>
      </c>
      <c r="G827" s="6">
        <f>SQRT(SUM($F$2:F827)/A827)</f>
        <v>1167.530567958991</v>
      </c>
      <c r="H827" s="5">
        <f t="shared" si="51"/>
        <v>1</v>
      </c>
      <c r="I827" s="5">
        <f t="shared" si="52"/>
        <v>0</v>
      </c>
    </row>
    <row r="828" spans="1:9">
      <c r="A828">
        <v>827</v>
      </c>
      <c r="B828">
        <v>15</v>
      </c>
      <c r="C828">
        <v>9000</v>
      </c>
      <c r="D828">
        <v>9244</v>
      </c>
      <c r="E828" s="5">
        <f t="shared" si="49"/>
        <v>244</v>
      </c>
      <c r="F828" s="5">
        <f t="shared" si="50"/>
        <v>59536</v>
      </c>
      <c r="G828" s="6">
        <f>SQRT(SUM($F$2:F828)/A828)</f>
        <v>1166.8553198078869</v>
      </c>
      <c r="H828" s="5">
        <f t="shared" si="51"/>
        <v>1</v>
      </c>
      <c r="I828" s="5">
        <f t="shared" si="52"/>
        <v>1</v>
      </c>
    </row>
    <row r="829" spans="1:9">
      <c r="A829">
        <v>828</v>
      </c>
      <c r="B829">
        <v>13</v>
      </c>
      <c r="C829">
        <v>9000</v>
      </c>
      <c r="D829">
        <v>8303</v>
      </c>
      <c r="E829" s="5">
        <f t="shared" si="49"/>
        <v>697</v>
      </c>
      <c r="F829" s="5">
        <f t="shared" si="50"/>
        <v>485809</v>
      </c>
      <c r="G829" s="6">
        <f>SQRT(SUM($F$2:F829)/A829)</f>
        <v>1166.402022261721</v>
      </c>
      <c r="H829" s="5">
        <f t="shared" si="51"/>
        <v>1</v>
      </c>
      <c r="I829" s="5">
        <f t="shared" si="52"/>
        <v>1</v>
      </c>
    </row>
    <row r="830" spans="1:9">
      <c r="A830">
        <v>829</v>
      </c>
      <c r="B830">
        <v>15</v>
      </c>
      <c r="C830">
        <v>9000</v>
      </c>
      <c r="D830">
        <v>8568</v>
      </c>
      <c r="E830" s="5">
        <f t="shared" si="49"/>
        <v>432</v>
      </c>
      <c r="F830" s="5">
        <f t="shared" si="50"/>
        <v>186624</v>
      </c>
      <c r="G830" s="6">
        <f>SQRT(SUM($F$2:F830)/A830)</f>
        <v>1165.7948664699015</v>
      </c>
      <c r="H830" s="5">
        <f t="shared" si="51"/>
        <v>1</v>
      </c>
      <c r="I830" s="5">
        <f t="shared" si="52"/>
        <v>1</v>
      </c>
    </row>
    <row r="831" spans="1:9">
      <c r="A831">
        <v>830</v>
      </c>
      <c r="B831">
        <v>14</v>
      </c>
      <c r="C831">
        <v>9000</v>
      </c>
      <c r="D831">
        <v>8382</v>
      </c>
      <c r="E831" s="5">
        <f t="shared" si="49"/>
        <v>618</v>
      </c>
      <c r="F831" s="5">
        <f t="shared" si="50"/>
        <v>381924</v>
      </c>
      <c r="G831" s="6">
        <f>SQRT(SUM($F$2:F831)/A831)</f>
        <v>1165.2898253689652</v>
      </c>
      <c r="H831" s="5">
        <f t="shared" si="51"/>
        <v>1</v>
      </c>
      <c r="I831" s="5">
        <f t="shared" si="52"/>
        <v>1</v>
      </c>
    </row>
    <row r="832" spans="1:9">
      <c r="A832">
        <v>831</v>
      </c>
      <c r="B832">
        <v>15</v>
      </c>
      <c r="C832">
        <v>9000</v>
      </c>
      <c r="D832">
        <v>8644</v>
      </c>
      <c r="E832" s="5">
        <f t="shared" si="49"/>
        <v>356</v>
      </c>
      <c r="F832" s="5">
        <f t="shared" si="50"/>
        <v>126736</v>
      </c>
      <c r="G832" s="6">
        <f>SQRT(SUM($F$2:F832)/A832)</f>
        <v>1164.6539535537065</v>
      </c>
      <c r="H832" s="5">
        <f t="shared" si="51"/>
        <v>1</v>
      </c>
      <c r="I832" s="5">
        <f t="shared" si="52"/>
        <v>1</v>
      </c>
    </row>
    <row r="833" spans="1:9">
      <c r="A833">
        <v>832</v>
      </c>
      <c r="B833">
        <v>15</v>
      </c>
      <c r="C833">
        <v>9000</v>
      </c>
      <c r="D833">
        <v>8952</v>
      </c>
      <c r="E833" s="5">
        <f t="shared" si="49"/>
        <v>48</v>
      </c>
      <c r="F833" s="5">
        <f t="shared" si="50"/>
        <v>2304</v>
      </c>
      <c r="G833" s="6">
        <f>SQRT(SUM($F$2:F833)/A833)</f>
        <v>1163.9550204640477</v>
      </c>
      <c r="H833" s="5">
        <f t="shared" si="51"/>
        <v>1</v>
      </c>
      <c r="I833" s="5">
        <f t="shared" si="52"/>
        <v>1</v>
      </c>
    </row>
    <row r="834" spans="1:9">
      <c r="A834">
        <v>833</v>
      </c>
      <c r="B834">
        <v>14</v>
      </c>
      <c r="C834">
        <v>9000</v>
      </c>
      <c r="D834">
        <v>8043</v>
      </c>
      <c r="E834" s="5">
        <f t="shared" si="49"/>
        <v>957</v>
      </c>
      <c r="F834" s="5">
        <f t="shared" si="50"/>
        <v>915849</v>
      </c>
      <c r="G834" s="6">
        <f>SQRT(SUM($F$2:F834)/A834)</f>
        <v>1163.7286402504906</v>
      </c>
      <c r="H834" s="5">
        <f t="shared" si="51"/>
        <v>1</v>
      </c>
      <c r="I834" s="5">
        <f t="shared" si="52"/>
        <v>0</v>
      </c>
    </row>
    <row r="835" spans="1:9">
      <c r="A835">
        <v>834</v>
      </c>
      <c r="B835">
        <v>15</v>
      </c>
      <c r="C835">
        <v>9000</v>
      </c>
      <c r="D835">
        <v>8398</v>
      </c>
      <c r="E835" s="5">
        <f t="shared" ref="E835:E898" si="53">ABS(C835-D835)</f>
        <v>602</v>
      </c>
      <c r="F835" s="5">
        <f t="shared" ref="F835:F898" si="54">POWER(E835,2)</f>
        <v>362404</v>
      </c>
      <c r="G835" s="6">
        <f>SQRT(SUM($F$2:F835)/A835)</f>
        <v>1163.2175493630943</v>
      </c>
      <c r="H835" s="5">
        <f t="shared" ref="H835:H898" si="55">IF(ABS(E835)/C835&gt;0.2,0,1)</f>
        <v>1</v>
      </c>
      <c r="I835" s="5">
        <f t="shared" ref="I835:I898" si="56">IF(ABS(E835)/C835&gt;0.1,0,1)</f>
        <v>1</v>
      </c>
    </row>
    <row r="836" spans="1:9">
      <c r="A836">
        <v>835</v>
      </c>
      <c r="B836">
        <v>15</v>
      </c>
      <c r="C836">
        <v>9000</v>
      </c>
      <c r="D836">
        <v>9171</v>
      </c>
      <c r="E836" s="5">
        <f t="shared" si="53"/>
        <v>171</v>
      </c>
      <c r="F836" s="5">
        <f t="shared" si="54"/>
        <v>29241</v>
      </c>
      <c r="G836" s="6">
        <f>SQRT(SUM($F$2:F836)/A836)</f>
        <v>1162.5358648771867</v>
      </c>
      <c r="H836" s="5">
        <f t="shared" si="55"/>
        <v>1</v>
      </c>
      <c r="I836" s="5">
        <f t="shared" si="56"/>
        <v>1</v>
      </c>
    </row>
    <row r="837" spans="1:9">
      <c r="A837">
        <v>836</v>
      </c>
      <c r="B837">
        <v>14</v>
      </c>
      <c r="C837">
        <v>9000</v>
      </c>
      <c r="D837">
        <v>8757</v>
      </c>
      <c r="E837" s="5">
        <f t="shared" si="53"/>
        <v>243</v>
      </c>
      <c r="F837" s="5">
        <f t="shared" si="54"/>
        <v>59049</v>
      </c>
      <c r="G837" s="6">
        <f>SQRT(SUM($F$2:F837)/A837)</f>
        <v>1161.8707567980152</v>
      </c>
      <c r="H837" s="5">
        <f t="shared" si="55"/>
        <v>1</v>
      </c>
      <c r="I837" s="5">
        <f t="shared" si="56"/>
        <v>1</v>
      </c>
    </row>
    <row r="838" spans="1:9">
      <c r="A838">
        <v>837</v>
      </c>
      <c r="B838">
        <v>15</v>
      </c>
      <c r="C838">
        <v>9000</v>
      </c>
      <c r="D838">
        <v>8748</v>
      </c>
      <c r="E838" s="5">
        <f t="shared" si="53"/>
        <v>252</v>
      </c>
      <c r="F838" s="5">
        <f t="shared" si="54"/>
        <v>63504</v>
      </c>
      <c r="G838" s="6">
        <f>SQRT(SUM($F$2:F838)/A838)</f>
        <v>1161.2091502229603</v>
      </c>
      <c r="H838" s="5">
        <f t="shared" si="55"/>
        <v>1</v>
      </c>
      <c r="I838" s="5">
        <f t="shared" si="56"/>
        <v>1</v>
      </c>
    </row>
    <row r="839" spans="1:9">
      <c r="A839">
        <v>838</v>
      </c>
      <c r="B839">
        <v>15</v>
      </c>
      <c r="C839">
        <v>9000</v>
      </c>
      <c r="D839">
        <v>9773</v>
      </c>
      <c r="E839" s="5">
        <f t="shared" si="53"/>
        <v>773</v>
      </c>
      <c r="F839" s="5">
        <f t="shared" si="54"/>
        <v>597529</v>
      </c>
      <c r="G839" s="6">
        <f>SQRT(SUM($F$2:F839)/A839)</f>
        <v>1160.8232661052521</v>
      </c>
      <c r="H839" s="5">
        <f t="shared" si="55"/>
        <v>1</v>
      </c>
      <c r="I839" s="5">
        <f t="shared" si="56"/>
        <v>1</v>
      </c>
    </row>
    <row r="840" spans="1:9">
      <c r="A840">
        <v>839</v>
      </c>
      <c r="B840">
        <v>14</v>
      </c>
      <c r="C840">
        <v>9000</v>
      </c>
      <c r="D840">
        <v>8583</v>
      </c>
      <c r="E840" s="5">
        <f t="shared" si="53"/>
        <v>417</v>
      </c>
      <c r="F840" s="5">
        <f t="shared" si="54"/>
        <v>173889</v>
      </c>
      <c r="G840" s="6">
        <f>SQRT(SUM($F$2:F840)/A840)</f>
        <v>1160.2205916185651</v>
      </c>
      <c r="H840" s="5">
        <f t="shared" si="55"/>
        <v>1</v>
      </c>
      <c r="I840" s="5">
        <f t="shared" si="56"/>
        <v>1</v>
      </c>
    </row>
    <row r="841" spans="1:9">
      <c r="A841">
        <v>840</v>
      </c>
      <c r="B841">
        <v>15</v>
      </c>
      <c r="C841">
        <v>9000</v>
      </c>
      <c r="D841">
        <v>8702</v>
      </c>
      <c r="E841" s="5">
        <f t="shared" si="53"/>
        <v>298</v>
      </c>
      <c r="F841" s="5">
        <f t="shared" si="54"/>
        <v>88804</v>
      </c>
      <c r="G841" s="6">
        <f>SQRT(SUM($F$2:F841)/A841)</f>
        <v>1159.5753646014027</v>
      </c>
      <c r="H841" s="5">
        <f t="shared" si="55"/>
        <v>1</v>
      </c>
      <c r="I841" s="5">
        <f t="shared" si="56"/>
        <v>1</v>
      </c>
    </row>
    <row r="842" spans="1:9">
      <c r="A842">
        <v>841</v>
      </c>
      <c r="B842">
        <v>15</v>
      </c>
      <c r="C842">
        <v>9000</v>
      </c>
      <c r="D842">
        <v>8260</v>
      </c>
      <c r="E842" s="5">
        <f t="shared" si="53"/>
        <v>740</v>
      </c>
      <c r="F842" s="5">
        <f t="shared" si="54"/>
        <v>547600</v>
      </c>
      <c r="G842" s="6">
        <f>SQRT(SUM($F$2:F842)/A842)</f>
        <v>1159.1666519494411</v>
      </c>
      <c r="H842" s="5">
        <f t="shared" si="55"/>
        <v>1</v>
      </c>
      <c r="I842" s="5">
        <f t="shared" si="56"/>
        <v>1</v>
      </c>
    </row>
    <row r="843" spans="1:9">
      <c r="A843">
        <v>842</v>
      </c>
      <c r="B843">
        <v>16</v>
      </c>
      <c r="C843">
        <v>9000</v>
      </c>
      <c r="D843">
        <v>7002</v>
      </c>
      <c r="E843" s="5">
        <f t="shared" si="53"/>
        <v>1998</v>
      </c>
      <c r="F843" s="5">
        <f t="shared" si="54"/>
        <v>3992004</v>
      </c>
      <c r="G843" s="6">
        <f>SQRT(SUM($F$2:F843)/A843)</f>
        <v>1160.5225633103796</v>
      </c>
      <c r="H843" s="5">
        <f t="shared" si="55"/>
        <v>0</v>
      </c>
      <c r="I843" s="5">
        <f t="shared" si="56"/>
        <v>0</v>
      </c>
    </row>
    <row r="844" spans="1:9">
      <c r="A844">
        <v>843</v>
      </c>
      <c r="B844">
        <v>18</v>
      </c>
      <c r="C844">
        <v>9000</v>
      </c>
      <c r="D844">
        <v>2149</v>
      </c>
      <c r="E844" s="5">
        <f t="shared" si="53"/>
        <v>6851</v>
      </c>
      <c r="F844" s="5">
        <f t="shared" si="54"/>
        <v>46936201</v>
      </c>
      <c r="G844" s="6">
        <f>SQRT(SUM($F$2:F844)/A844)</f>
        <v>1183.5930714222948</v>
      </c>
      <c r="H844" s="5">
        <f t="shared" si="55"/>
        <v>0</v>
      </c>
      <c r="I844" s="5">
        <f t="shared" si="56"/>
        <v>0</v>
      </c>
    </row>
    <row r="845" spans="1:9">
      <c r="A845">
        <v>844</v>
      </c>
      <c r="B845">
        <v>25</v>
      </c>
      <c r="C845">
        <v>9000</v>
      </c>
      <c r="D845">
        <v>6373</v>
      </c>
      <c r="E845" s="5">
        <f t="shared" si="53"/>
        <v>2627</v>
      </c>
      <c r="F845" s="5">
        <f t="shared" si="54"/>
        <v>6901129</v>
      </c>
      <c r="G845" s="6">
        <f>SQRT(SUM($F$2:F845)/A845)</f>
        <v>1186.3428789942157</v>
      </c>
      <c r="H845" s="5">
        <f t="shared" si="55"/>
        <v>0</v>
      </c>
      <c r="I845" s="5">
        <f t="shared" si="56"/>
        <v>0</v>
      </c>
    </row>
    <row r="846" spans="1:9">
      <c r="A846">
        <v>845</v>
      </c>
      <c r="B846">
        <v>21</v>
      </c>
      <c r="C846">
        <v>9000</v>
      </c>
      <c r="D846">
        <v>8503</v>
      </c>
      <c r="E846" s="5">
        <f t="shared" si="53"/>
        <v>497</v>
      </c>
      <c r="F846" s="5">
        <f t="shared" si="54"/>
        <v>247009</v>
      </c>
      <c r="G846" s="6">
        <f>SQRT(SUM($F$2:F846)/A846)</f>
        <v>1185.7639611649668</v>
      </c>
      <c r="H846" s="5">
        <f t="shared" si="55"/>
        <v>1</v>
      </c>
      <c r="I846" s="5">
        <f t="shared" si="56"/>
        <v>1</v>
      </c>
    </row>
    <row r="847" spans="1:9">
      <c r="A847">
        <v>846</v>
      </c>
      <c r="B847">
        <v>19</v>
      </c>
      <c r="C847">
        <v>9000</v>
      </c>
      <c r="D847">
        <v>10290</v>
      </c>
      <c r="E847" s="5">
        <f t="shared" si="53"/>
        <v>1290</v>
      </c>
      <c r="F847" s="5">
        <f t="shared" si="54"/>
        <v>1664100</v>
      </c>
      <c r="G847" s="6">
        <f>SQRT(SUM($F$2:F847)/A847)</f>
        <v>1185.8925801201069</v>
      </c>
      <c r="H847" s="5">
        <f t="shared" si="55"/>
        <v>1</v>
      </c>
      <c r="I847" s="5">
        <f t="shared" si="56"/>
        <v>0</v>
      </c>
    </row>
    <row r="848" spans="1:9">
      <c r="A848">
        <v>847</v>
      </c>
      <c r="B848">
        <v>16</v>
      </c>
      <c r="C848">
        <v>9000</v>
      </c>
      <c r="D848">
        <v>9735</v>
      </c>
      <c r="E848" s="5">
        <f t="shared" si="53"/>
        <v>735</v>
      </c>
      <c r="F848" s="5">
        <f t="shared" si="54"/>
        <v>540225</v>
      </c>
      <c r="G848" s="6">
        <f>SQRT(SUM($F$2:F848)/A848)</f>
        <v>1185.4613626208254</v>
      </c>
      <c r="H848" s="5">
        <f t="shared" si="55"/>
        <v>1</v>
      </c>
      <c r="I848" s="5">
        <f t="shared" si="56"/>
        <v>1</v>
      </c>
    </row>
    <row r="849" spans="1:9">
      <c r="A849">
        <v>848</v>
      </c>
      <c r="B849">
        <v>17</v>
      </c>
      <c r="C849">
        <v>9000</v>
      </c>
      <c r="D849">
        <v>9341</v>
      </c>
      <c r="E849" s="5">
        <f t="shared" si="53"/>
        <v>341</v>
      </c>
      <c r="F849" s="5">
        <f t="shared" si="54"/>
        <v>116281</v>
      </c>
      <c r="G849" s="6">
        <f>SQRT(SUM($F$2:F849)/A849)</f>
        <v>1184.8200499263789</v>
      </c>
      <c r="H849" s="5">
        <f t="shared" si="55"/>
        <v>1</v>
      </c>
      <c r="I849" s="5">
        <f t="shared" si="56"/>
        <v>1</v>
      </c>
    </row>
    <row r="850" spans="1:9">
      <c r="A850">
        <v>849</v>
      </c>
      <c r="B850">
        <v>17</v>
      </c>
      <c r="C850">
        <v>9000</v>
      </c>
      <c r="D850">
        <v>9850</v>
      </c>
      <c r="E850" s="5">
        <f t="shared" si="53"/>
        <v>850</v>
      </c>
      <c r="F850" s="5">
        <f t="shared" si="54"/>
        <v>722500</v>
      </c>
      <c r="G850" s="6">
        <f>SQRT(SUM($F$2:F850)/A850)</f>
        <v>1184.4813543979374</v>
      </c>
      <c r="H850" s="5">
        <f t="shared" si="55"/>
        <v>1</v>
      </c>
      <c r="I850" s="5">
        <f t="shared" si="56"/>
        <v>1</v>
      </c>
    </row>
    <row r="851" spans="1:9">
      <c r="A851">
        <v>850</v>
      </c>
      <c r="B851">
        <v>16</v>
      </c>
      <c r="C851">
        <v>9000</v>
      </c>
      <c r="D851">
        <v>8858</v>
      </c>
      <c r="E851" s="5">
        <f t="shared" si="53"/>
        <v>142</v>
      </c>
      <c r="F851" s="5">
        <f t="shared" si="54"/>
        <v>20164</v>
      </c>
      <c r="G851" s="6">
        <f>SQRT(SUM($F$2:F851)/A851)</f>
        <v>1183.794415279553</v>
      </c>
      <c r="H851" s="5">
        <f t="shared" si="55"/>
        <v>1</v>
      </c>
      <c r="I851" s="5">
        <f t="shared" si="56"/>
        <v>1</v>
      </c>
    </row>
    <row r="852" spans="1:9">
      <c r="A852">
        <v>851</v>
      </c>
      <c r="B852">
        <v>17</v>
      </c>
      <c r="C852">
        <v>9000</v>
      </c>
      <c r="D852">
        <v>9661</v>
      </c>
      <c r="E852" s="5">
        <f t="shared" si="53"/>
        <v>661</v>
      </c>
      <c r="F852" s="5">
        <f t="shared" si="54"/>
        <v>436921</v>
      </c>
      <c r="G852" s="6">
        <f>SQRT(SUM($F$2:F852)/A852)</f>
        <v>1183.3156408976217</v>
      </c>
      <c r="H852" s="5">
        <f t="shared" si="55"/>
        <v>1</v>
      </c>
      <c r="I852" s="5">
        <f t="shared" si="56"/>
        <v>1</v>
      </c>
    </row>
    <row r="853" spans="1:9">
      <c r="A853">
        <v>852</v>
      </c>
      <c r="B853">
        <v>16</v>
      </c>
      <c r="C853">
        <v>9000</v>
      </c>
      <c r="D853">
        <v>9591</v>
      </c>
      <c r="E853" s="5">
        <f t="shared" si="53"/>
        <v>591</v>
      </c>
      <c r="F853" s="5">
        <f t="shared" si="54"/>
        <v>349281</v>
      </c>
      <c r="G853" s="6">
        <f>SQRT(SUM($F$2:F853)/A853)</f>
        <v>1182.7943146824261</v>
      </c>
      <c r="H853" s="5">
        <f t="shared" si="55"/>
        <v>1</v>
      </c>
      <c r="I853" s="5">
        <f t="shared" si="56"/>
        <v>1</v>
      </c>
    </row>
    <row r="854" spans="1:9">
      <c r="A854">
        <v>853</v>
      </c>
      <c r="B854">
        <v>16</v>
      </c>
      <c r="C854">
        <v>9000</v>
      </c>
      <c r="D854">
        <v>9940</v>
      </c>
      <c r="E854" s="5">
        <f t="shared" si="53"/>
        <v>940</v>
      </c>
      <c r="F854" s="5">
        <f t="shared" si="54"/>
        <v>883600</v>
      </c>
      <c r="G854" s="6">
        <f>SQRT(SUM($F$2:F854)/A854)</f>
        <v>1182.5388651725621</v>
      </c>
      <c r="H854" s="5">
        <f t="shared" si="55"/>
        <v>1</v>
      </c>
      <c r="I854" s="5">
        <f t="shared" si="56"/>
        <v>0</v>
      </c>
    </row>
    <row r="855" spans="1:9">
      <c r="A855">
        <v>854</v>
      </c>
      <c r="B855">
        <v>16</v>
      </c>
      <c r="C855">
        <v>9000</v>
      </c>
      <c r="D855">
        <v>9330</v>
      </c>
      <c r="E855" s="5">
        <f t="shared" si="53"/>
        <v>330</v>
      </c>
      <c r="F855" s="5">
        <f t="shared" si="54"/>
        <v>108900</v>
      </c>
      <c r="G855" s="6">
        <f>SQRT(SUM($F$2:F855)/A855)</f>
        <v>1181.9002566323584</v>
      </c>
      <c r="H855" s="5">
        <f t="shared" si="55"/>
        <v>1</v>
      </c>
      <c r="I855" s="5">
        <f t="shared" si="56"/>
        <v>1</v>
      </c>
    </row>
    <row r="856" spans="1:9">
      <c r="A856">
        <v>855</v>
      </c>
      <c r="B856">
        <v>16</v>
      </c>
      <c r="C856">
        <v>9000</v>
      </c>
      <c r="D856">
        <v>9795</v>
      </c>
      <c r="E856" s="5">
        <f t="shared" si="53"/>
        <v>795</v>
      </c>
      <c r="F856" s="5">
        <f t="shared" si="54"/>
        <v>632025</v>
      </c>
      <c r="G856" s="6">
        <f>SQRT(SUM($F$2:F856)/A856)</f>
        <v>1181.5217474791066</v>
      </c>
      <c r="H856" s="5">
        <f t="shared" si="55"/>
        <v>1</v>
      </c>
      <c r="I856" s="5">
        <f t="shared" si="56"/>
        <v>1</v>
      </c>
    </row>
    <row r="857" spans="1:9">
      <c r="A857">
        <v>856</v>
      </c>
      <c r="B857">
        <v>15</v>
      </c>
      <c r="C857">
        <v>9000</v>
      </c>
      <c r="D857">
        <v>9028</v>
      </c>
      <c r="E857" s="5">
        <f t="shared" si="53"/>
        <v>28</v>
      </c>
      <c r="F857" s="5">
        <f t="shared" si="54"/>
        <v>784</v>
      </c>
      <c r="G857" s="6">
        <f>SQRT(SUM($F$2:F857)/A857)</f>
        <v>1180.8317924084772</v>
      </c>
      <c r="H857" s="5">
        <f t="shared" si="55"/>
        <v>1</v>
      </c>
      <c r="I857" s="5">
        <f t="shared" si="56"/>
        <v>1</v>
      </c>
    </row>
    <row r="858" spans="1:9">
      <c r="A858">
        <v>857</v>
      </c>
      <c r="B858">
        <v>16</v>
      </c>
      <c r="C858">
        <v>9000</v>
      </c>
      <c r="D858">
        <v>9294</v>
      </c>
      <c r="E858" s="5">
        <f t="shared" si="53"/>
        <v>294</v>
      </c>
      <c r="F858" s="5">
        <f t="shared" si="54"/>
        <v>86436</v>
      </c>
      <c r="G858" s="6">
        <f>SQRT(SUM($F$2:F858)/A858)</f>
        <v>1180.185388795049</v>
      </c>
      <c r="H858" s="5">
        <f t="shared" si="55"/>
        <v>1</v>
      </c>
      <c r="I858" s="5">
        <f t="shared" si="56"/>
        <v>1</v>
      </c>
    </row>
    <row r="859" spans="1:9">
      <c r="A859">
        <v>858</v>
      </c>
      <c r="B859">
        <v>16</v>
      </c>
      <c r="C859">
        <v>9000</v>
      </c>
      <c r="D859">
        <v>8864</v>
      </c>
      <c r="E859" s="5">
        <f t="shared" si="53"/>
        <v>136</v>
      </c>
      <c r="F859" s="5">
        <f t="shared" si="54"/>
        <v>18496</v>
      </c>
      <c r="G859" s="6">
        <f>SQRT(SUM($F$2:F859)/A859)</f>
        <v>1179.506572785737</v>
      </c>
      <c r="H859" s="5">
        <f t="shared" si="55"/>
        <v>1</v>
      </c>
      <c r="I859" s="5">
        <f t="shared" si="56"/>
        <v>1</v>
      </c>
    </row>
    <row r="860" spans="1:9">
      <c r="A860">
        <v>859</v>
      </c>
      <c r="B860">
        <v>16</v>
      </c>
      <c r="C860">
        <v>9000</v>
      </c>
      <c r="D860">
        <v>8275</v>
      </c>
      <c r="E860" s="5">
        <f t="shared" si="53"/>
        <v>725</v>
      </c>
      <c r="F860" s="5">
        <f t="shared" si="54"/>
        <v>525625</v>
      </c>
      <c r="G860" s="6">
        <f>SQRT(SUM($F$2:F860)/A860)</f>
        <v>1179.0793270053384</v>
      </c>
      <c r="H860" s="5">
        <f t="shared" si="55"/>
        <v>1</v>
      </c>
      <c r="I860" s="5">
        <f t="shared" si="56"/>
        <v>1</v>
      </c>
    </row>
    <row r="861" spans="1:9">
      <c r="A861">
        <v>860</v>
      </c>
      <c r="B861">
        <v>17</v>
      </c>
      <c r="C861">
        <v>9000</v>
      </c>
      <c r="D861">
        <v>10154</v>
      </c>
      <c r="E861" s="5">
        <f t="shared" si="53"/>
        <v>1154</v>
      </c>
      <c r="F861" s="5">
        <f t="shared" si="54"/>
        <v>1331716</v>
      </c>
      <c r="G861" s="6">
        <f>SQRT(SUM($F$2:F861)/A861)</f>
        <v>1179.0504747859709</v>
      </c>
      <c r="H861" s="5">
        <f t="shared" si="55"/>
        <v>1</v>
      </c>
      <c r="I861" s="5">
        <f t="shared" si="56"/>
        <v>0</v>
      </c>
    </row>
    <row r="862" spans="1:9">
      <c r="A862">
        <v>861</v>
      </c>
      <c r="B862">
        <v>15</v>
      </c>
      <c r="C862">
        <v>9000</v>
      </c>
      <c r="D862">
        <v>8719</v>
      </c>
      <c r="E862" s="5">
        <f t="shared" si="53"/>
        <v>281</v>
      </c>
      <c r="F862" s="5">
        <f t="shared" si="54"/>
        <v>78961</v>
      </c>
      <c r="G862" s="6">
        <f>SQRT(SUM($F$2:F862)/A862)</f>
        <v>1178.4044903415563</v>
      </c>
      <c r="H862" s="5">
        <f t="shared" si="55"/>
        <v>1</v>
      </c>
      <c r="I862" s="5">
        <f t="shared" si="56"/>
        <v>1</v>
      </c>
    </row>
    <row r="863" spans="1:9">
      <c r="A863">
        <v>862</v>
      </c>
      <c r="B863">
        <v>17</v>
      </c>
      <c r="C863">
        <v>9000</v>
      </c>
      <c r="D863">
        <v>10196</v>
      </c>
      <c r="E863" s="5">
        <f t="shared" si="53"/>
        <v>1196</v>
      </c>
      <c r="F863" s="5">
        <f t="shared" si="54"/>
        <v>1430416</v>
      </c>
      <c r="G863" s="6">
        <f>SQRT(SUM($F$2:F863)/A863)</f>
        <v>1178.4250549817823</v>
      </c>
      <c r="H863" s="5">
        <f t="shared" si="55"/>
        <v>1</v>
      </c>
      <c r="I863" s="5">
        <f t="shared" si="56"/>
        <v>0</v>
      </c>
    </row>
    <row r="864" spans="1:9">
      <c r="A864">
        <v>863</v>
      </c>
      <c r="B864">
        <v>15</v>
      </c>
      <c r="C864">
        <v>9000</v>
      </c>
      <c r="D864">
        <v>8994</v>
      </c>
      <c r="E864" s="5">
        <f t="shared" si="53"/>
        <v>6</v>
      </c>
      <c r="F864" s="5">
        <f t="shared" si="54"/>
        <v>36</v>
      </c>
      <c r="G864" s="6">
        <f>SQRT(SUM($F$2:F864)/A864)</f>
        <v>1177.7421256303762</v>
      </c>
      <c r="H864" s="5">
        <f t="shared" si="55"/>
        <v>1</v>
      </c>
      <c r="I864" s="5">
        <f t="shared" si="56"/>
        <v>1</v>
      </c>
    </row>
    <row r="865" spans="1:9">
      <c r="A865">
        <v>864</v>
      </c>
      <c r="B865">
        <v>16</v>
      </c>
      <c r="C865">
        <v>9000</v>
      </c>
      <c r="D865">
        <v>9170</v>
      </c>
      <c r="E865" s="5">
        <f t="shared" si="53"/>
        <v>170</v>
      </c>
      <c r="F865" s="5">
        <f t="shared" si="54"/>
        <v>28900</v>
      </c>
      <c r="G865" s="6">
        <f>SQRT(SUM($F$2:F865)/A865)</f>
        <v>1177.0745732220732</v>
      </c>
      <c r="H865" s="5">
        <f t="shared" si="55"/>
        <v>1</v>
      </c>
      <c r="I865" s="5">
        <f t="shared" si="56"/>
        <v>1</v>
      </c>
    </row>
    <row r="866" spans="1:9">
      <c r="A866">
        <v>865</v>
      </c>
      <c r="B866">
        <v>16</v>
      </c>
      <c r="C866">
        <v>9000</v>
      </c>
      <c r="D866">
        <v>9774</v>
      </c>
      <c r="E866" s="5">
        <f t="shared" si="53"/>
        <v>774</v>
      </c>
      <c r="F866" s="5">
        <f t="shared" si="54"/>
        <v>599076</v>
      </c>
      <c r="G866" s="6">
        <f>SQRT(SUM($F$2:F866)/A866)</f>
        <v>1176.6883125837098</v>
      </c>
      <c r="H866" s="5">
        <f t="shared" si="55"/>
        <v>1</v>
      </c>
      <c r="I866" s="5">
        <f t="shared" si="56"/>
        <v>1</v>
      </c>
    </row>
    <row r="867" spans="1:9">
      <c r="A867">
        <v>866</v>
      </c>
      <c r="B867">
        <v>15</v>
      </c>
      <c r="C867">
        <v>9000</v>
      </c>
      <c r="D867">
        <v>8785</v>
      </c>
      <c r="E867" s="5">
        <f t="shared" si="53"/>
        <v>215</v>
      </c>
      <c r="F867" s="5">
        <f t="shared" si="54"/>
        <v>46225</v>
      </c>
      <c r="G867" s="6">
        <f>SQRT(SUM($F$2:F867)/A867)</f>
        <v>1176.0314292708313</v>
      </c>
      <c r="H867" s="5">
        <f t="shared" si="55"/>
        <v>1</v>
      </c>
      <c r="I867" s="5">
        <f t="shared" si="56"/>
        <v>1</v>
      </c>
    </row>
    <row r="868" spans="1:9">
      <c r="A868">
        <v>867</v>
      </c>
      <c r="B868">
        <v>16</v>
      </c>
      <c r="C868">
        <v>9000</v>
      </c>
      <c r="D868">
        <v>9526</v>
      </c>
      <c r="E868" s="5">
        <f t="shared" si="53"/>
        <v>526</v>
      </c>
      <c r="F868" s="5">
        <f t="shared" si="54"/>
        <v>276676</v>
      </c>
      <c r="G868" s="6">
        <f>SQRT(SUM($F$2:F868)/A868)</f>
        <v>1175.488761385247</v>
      </c>
      <c r="H868" s="5">
        <f t="shared" si="55"/>
        <v>1</v>
      </c>
      <c r="I868" s="5">
        <f t="shared" si="56"/>
        <v>1</v>
      </c>
    </row>
    <row r="869" spans="1:9">
      <c r="A869">
        <v>868</v>
      </c>
      <c r="B869">
        <v>15</v>
      </c>
      <c r="C869">
        <v>9000</v>
      </c>
      <c r="D869">
        <v>9083</v>
      </c>
      <c r="E869" s="5">
        <f t="shared" si="53"/>
        <v>83</v>
      </c>
      <c r="F869" s="5">
        <f t="shared" si="54"/>
        <v>6889</v>
      </c>
      <c r="G869" s="6">
        <f>SQRT(SUM($F$2:F869)/A869)</f>
        <v>1174.8148192149283</v>
      </c>
      <c r="H869" s="5">
        <f t="shared" si="55"/>
        <v>1</v>
      </c>
      <c r="I869" s="5">
        <f t="shared" si="56"/>
        <v>1</v>
      </c>
    </row>
    <row r="870" spans="1:9">
      <c r="A870">
        <v>869</v>
      </c>
      <c r="B870">
        <v>15</v>
      </c>
      <c r="C870">
        <v>9000</v>
      </c>
      <c r="D870">
        <v>8679</v>
      </c>
      <c r="E870" s="5">
        <f t="shared" si="53"/>
        <v>321</v>
      </c>
      <c r="F870" s="5">
        <f t="shared" si="54"/>
        <v>103041</v>
      </c>
      <c r="G870" s="6">
        <f>SQRT(SUM($F$2:F870)/A870)</f>
        <v>1174.1891597902486</v>
      </c>
      <c r="H870" s="5">
        <f t="shared" si="55"/>
        <v>1</v>
      </c>
      <c r="I870" s="5">
        <f t="shared" si="56"/>
        <v>1</v>
      </c>
    </row>
    <row r="871" spans="1:9">
      <c r="A871">
        <v>870</v>
      </c>
      <c r="B871">
        <v>16</v>
      </c>
      <c r="C871">
        <v>9000</v>
      </c>
      <c r="D871">
        <v>9588</v>
      </c>
      <c r="E871" s="5">
        <f t="shared" si="53"/>
        <v>588</v>
      </c>
      <c r="F871" s="5">
        <f t="shared" si="54"/>
        <v>345744</v>
      </c>
      <c r="G871" s="6">
        <f>SQRT(SUM($F$2:F871)/A871)</f>
        <v>1173.6834556314529</v>
      </c>
      <c r="H871" s="5">
        <f t="shared" si="55"/>
        <v>1</v>
      </c>
      <c r="I871" s="5">
        <f t="shared" si="56"/>
        <v>1</v>
      </c>
    </row>
    <row r="872" spans="1:9">
      <c r="A872">
        <v>871</v>
      </c>
      <c r="B872">
        <v>15</v>
      </c>
      <c r="C872">
        <v>9000</v>
      </c>
      <c r="D872">
        <v>8827</v>
      </c>
      <c r="E872" s="5">
        <f t="shared" si="53"/>
        <v>173</v>
      </c>
      <c r="F872" s="5">
        <f t="shared" si="54"/>
        <v>29929</v>
      </c>
      <c r="G872" s="6">
        <f>SQRT(SUM($F$2:F872)/A872)</f>
        <v>1173.0241525462918</v>
      </c>
      <c r="H872" s="5">
        <f t="shared" si="55"/>
        <v>1</v>
      </c>
      <c r="I872" s="5">
        <f t="shared" si="56"/>
        <v>1</v>
      </c>
    </row>
    <row r="873" spans="1:9">
      <c r="A873">
        <v>872</v>
      </c>
      <c r="B873">
        <v>16</v>
      </c>
      <c r="C873">
        <v>9000</v>
      </c>
      <c r="D873">
        <v>9184</v>
      </c>
      <c r="E873" s="5">
        <f t="shared" si="53"/>
        <v>184</v>
      </c>
      <c r="F873" s="5">
        <f t="shared" si="54"/>
        <v>33856</v>
      </c>
      <c r="G873" s="6">
        <f>SQRT(SUM($F$2:F873)/A873)</f>
        <v>1172.3679127883788</v>
      </c>
      <c r="H873" s="5">
        <f t="shared" si="55"/>
        <v>1</v>
      </c>
      <c r="I873" s="5">
        <f t="shared" si="56"/>
        <v>1</v>
      </c>
    </row>
    <row r="874" spans="1:9">
      <c r="A874">
        <v>873</v>
      </c>
      <c r="B874">
        <v>15</v>
      </c>
      <c r="C874">
        <v>9000</v>
      </c>
      <c r="D874">
        <v>8397</v>
      </c>
      <c r="E874" s="5">
        <f t="shared" si="53"/>
        <v>603</v>
      </c>
      <c r="F874" s="5">
        <f t="shared" si="54"/>
        <v>363609</v>
      </c>
      <c r="G874" s="6">
        <f>SQRT(SUM($F$2:F874)/A874)</f>
        <v>1171.8739836039883</v>
      </c>
      <c r="H874" s="5">
        <f t="shared" si="55"/>
        <v>1</v>
      </c>
      <c r="I874" s="5">
        <f t="shared" si="56"/>
        <v>1</v>
      </c>
    </row>
    <row r="875" spans="1:9">
      <c r="A875">
        <v>874</v>
      </c>
      <c r="B875">
        <v>16</v>
      </c>
      <c r="C875">
        <v>9000</v>
      </c>
      <c r="D875">
        <v>10390</v>
      </c>
      <c r="E875" s="5">
        <f t="shared" si="53"/>
        <v>1390</v>
      </c>
      <c r="F875" s="5">
        <f t="shared" si="54"/>
        <v>1932100</v>
      </c>
      <c r="G875" s="6">
        <f>SQRT(SUM($F$2:F875)/A875)</f>
        <v>1172.1467509321619</v>
      </c>
      <c r="H875" s="5">
        <f t="shared" si="55"/>
        <v>1</v>
      </c>
      <c r="I875" s="5">
        <f t="shared" si="56"/>
        <v>0</v>
      </c>
    </row>
    <row r="876" spans="1:9">
      <c r="A876">
        <v>875</v>
      </c>
      <c r="B876">
        <v>14</v>
      </c>
      <c r="C876">
        <v>9000</v>
      </c>
      <c r="D876">
        <v>8887</v>
      </c>
      <c r="E876" s="5">
        <f t="shared" si="53"/>
        <v>113</v>
      </c>
      <c r="F876" s="5">
        <f t="shared" si="54"/>
        <v>12769</v>
      </c>
      <c r="G876" s="6">
        <f>SQRT(SUM($F$2:F876)/A876)</f>
        <v>1171.4829898161438</v>
      </c>
      <c r="H876" s="5">
        <f t="shared" si="55"/>
        <v>1</v>
      </c>
      <c r="I876" s="5">
        <f t="shared" si="56"/>
        <v>1</v>
      </c>
    </row>
    <row r="877" spans="1:9">
      <c r="A877">
        <v>876</v>
      </c>
      <c r="B877">
        <v>15</v>
      </c>
      <c r="C877">
        <v>9000</v>
      </c>
      <c r="D877">
        <v>9522</v>
      </c>
      <c r="E877" s="5">
        <f t="shared" si="53"/>
        <v>522</v>
      </c>
      <c r="F877" s="5">
        <f t="shared" si="54"/>
        <v>272484</v>
      </c>
      <c r="G877" s="6">
        <f>SQRT(SUM($F$2:F877)/A877)</f>
        <v>1170.9469736365063</v>
      </c>
      <c r="H877" s="5">
        <f t="shared" si="55"/>
        <v>1</v>
      </c>
      <c r="I877" s="5">
        <f t="shared" si="56"/>
        <v>1</v>
      </c>
    </row>
    <row r="878" spans="1:9">
      <c r="A878">
        <v>877</v>
      </c>
      <c r="B878">
        <v>15</v>
      </c>
      <c r="C878">
        <v>9000</v>
      </c>
      <c r="D878">
        <v>9337</v>
      </c>
      <c r="E878" s="5">
        <f t="shared" si="53"/>
        <v>337</v>
      </c>
      <c r="F878" s="5">
        <f t="shared" si="54"/>
        <v>113569</v>
      </c>
      <c r="G878" s="6">
        <f>SQRT(SUM($F$2:F878)/A878)</f>
        <v>1170.3345227313946</v>
      </c>
      <c r="H878" s="5">
        <f t="shared" si="55"/>
        <v>1</v>
      </c>
      <c r="I878" s="5">
        <f t="shared" si="56"/>
        <v>1</v>
      </c>
    </row>
    <row r="879" spans="1:9">
      <c r="A879">
        <v>878</v>
      </c>
      <c r="B879">
        <v>15</v>
      </c>
      <c r="C879">
        <v>9000</v>
      </c>
      <c r="D879">
        <v>8412</v>
      </c>
      <c r="E879" s="5">
        <f t="shared" si="53"/>
        <v>588</v>
      </c>
      <c r="F879" s="5">
        <f t="shared" si="54"/>
        <v>345744</v>
      </c>
      <c r="G879" s="6">
        <f>SQRT(SUM($F$2:F879)/A879)</f>
        <v>1169.8361755718352</v>
      </c>
      <c r="H879" s="5">
        <f t="shared" si="55"/>
        <v>1</v>
      </c>
      <c r="I879" s="5">
        <f t="shared" si="56"/>
        <v>1</v>
      </c>
    </row>
    <row r="880" spans="1:9">
      <c r="A880">
        <v>879</v>
      </c>
      <c r="B880">
        <v>16</v>
      </c>
      <c r="C880">
        <v>9000</v>
      </c>
      <c r="D880">
        <v>9620</v>
      </c>
      <c r="E880" s="5">
        <f t="shared" si="53"/>
        <v>620</v>
      </c>
      <c r="F880" s="5">
        <f t="shared" si="54"/>
        <v>384400</v>
      </c>
      <c r="G880" s="6">
        <f>SQRT(SUM($F$2:F880)/A880)</f>
        <v>1169.3575548191041</v>
      </c>
      <c r="H880" s="5">
        <f t="shared" si="55"/>
        <v>1</v>
      </c>
      <c r="I880" s="5">
        <f t="shared" si="56"/>
        <v>1</v>
      </c>
    </row>
    <row r="881" spans="1:9">
      <c r="A881">
        <v>880</v>
      </c>
      <c r="B881">
        <v>14</v>
      </c>
      <c r="C881">
        <v>9000</v>
      </c>
      <c r="D881">
        <v>8424</v>
      </c>
      <c r="E881" s="5">
        <f t="shared" si="53"/>
        <v>576</v>
      </c>
      <c r="F881" s="5">
        <f t="shared" si="54"/>
        <v>331776</v>
      </c>
      <c r="G881" s="6">
        <f>SQRT(SUM($F$2:F881)/A881)</f>
        <v>1168.8542462016537</v>
      </c>
      <c r="H881" s="5">
        <f t="shared" si="55"/>
        <v>1</v>
      </c>
      <c r="I881" s="5">
        <f t="shared" si="56"/>
        <v>1</v>
      </c>
    </row>
    <row r="882" spans="1:9">
      <c r="A882">
        <v>881</v>
      </c>
      <c r="B882">
        <v>16</v>
      </c>
      <c r="C882">
        <v>9000</v>
      </c>
      <c r="D882">
        <v>9148</v>
      </c>
      <c r="E882" s="5">
        <f t="shared" si="53"/>
        <v>148</v>
      </c>
      <c r="F882" s="5">
        <f t="shared" si="54"/>
        <v>21904</v>
      </c>
      <c r="G882" s="6">
        <f>SQRT(SUM($F$2:F882)/A882)</f>
        <v>1168.2013314227124</v>
      </c>
      <c r="H882" s="5">
        <f t="shared" si="55"/>
        <v>1</v>
      </c>
      <c r="I882" s="5">
        <f t="shared" si="56"/>
        <v>1</v>
      </c>
    </row>
    <row r="883" spans="1:9">
      <c r="A883">
        <v>882</v>
      </c>
      <c r="B883">
        <v>15</v>
      </c>
      <c r="C883">
        <v>9000</v>
      </c>
      <c r="D883">
        <v>9068</v>
      </c>
      <c r="E883" s="5">
        <f t="shared" si="53"/>
        <v>68</v>
      </c>
      <c r="F883" s="5">
        <f t="shared" si="54"/>
        <v>4624</v>
      </c>
      <c r="G883" s="6">
        <f>SQRT(SUM($F$2:F883)/A883)</f>
        <v>1167.5411431130287</v>
      </c>
      <c r="H883" s="5">
        <f t="shared" si="55"/>
        <v>1</v>
      </c>
      <c r="I883" s="5">
        <f t="shared" si="56"/>
        <v>1</v>
      </c>
    </row>
    <row r="884" spans="1:9">
      <c r="A884">
        <v>883</v>
      </c>
      <c r="B884">
        <v>15</v>
      </c>
      <c r="C884">
        <v>9000</v>
      </c>
      <c r="D884">
        <v>9066</v>
      </c>
      <c r="E884" s="5">
        <f t="shared" si="53"/>
        <v>66</v>
      </c>
      <c r="F884" s="5">
        <f t="shared" si="54"/>
        <v>4356</v>
      </c>
      <c r="G884" s="6">
        <f>SQRT(SUM($F$2:F884)/A884)</f>
        <v>1166.8819478341416</v>
      </c>
      <c r="H884" s="5">
        <f t="shared" si="55"/>
        <v>1</v>
      </c>
      <c r="I884" s="5">
        <f t="shared" si="56"/>
        <v>1</v>
      </c>
    </row>
    <row r="885" spans="1:9">
      <c r="A885">
        <v>884</v>
      </c>
      <c r="B885">
        <v>15</v>
      </c>
      <c r="C885">
        <v>9000</v>
      </c>
      <c r="D885">
        <v>8969</v>
      </c>
      <c r="E885" s="5">
        <f t="shared" si="53"/>
        <v>31</v>
      </c>
      <c r="F885" s="5">
        <f t="shared" si="54"/>
        <v>961</v>
      </c>
      <c r="G885" s="6">
        <f>SQRT(SUM($F$2:F885)/A885)</f>
        <v>1166.2222260542742</v>
      </c>
      <c r="H885" s="5">
        <f t="shared" si="55"/>
        <v>1</v>
      </c>
      <c r="I885" s="5">
        <f t="shared" si="56"/>
        <v>1</v>
      </c>
    </row>
    <row r="886" spans="1:9">
      <c r="A886">
        <v>885</v>
      </c>
      <c r="B886">
        <v>15</v>
      </c>
      <c r="C886">
        <v>9000</v>
      </c>
      <c r="D886">
        <v>8406</v>
      </c>
      <c r="E886" s="5">
        <f t="shared" si="53"/>
        <v>594</v>
      </c>
      <c r="F886" s="5">
        <f t="shared" si="54"/>
        <v>352836</v>
      </c>
      <c r="G886" s="6">
        <f>SQRT(SUM($F$2:F886)/A886)</f>
        <v>1165.7341713238445</v>
      </c>
      <c r="H886" s="5">
        <f t="shared" si="55"/>
        <v>1</v>
      </c>
      <c r="I886" s="5">
        <f t="shared" si="56"/>
        <v>1</v>
      </c>
    </row>
    <row r="887" spans="1:9">
      <c r="A887">
        <v>886</v>
      </c>
      <c r="B887">
        <v>16</v>
      </c>
      <c r="C887">
        <v>9000</v>
      </c>
      <c r="D887">
        <v>9204</v>
      </c>
      <c r="E887" s="5">
        <f t="shared" si="53"/>
        <v>204</v>
      </c>
      <c r="F887" s="5">
        <f t="shared" si="54"/>
        <v>41616</v>
      </c>
      <c r="G887" s="6">
        <f>SQRT(SUM($F$2:F887)/A887)</f>
        <v>1165.0962796515091</v>
      </c>
      <c r="H887" s="5">
        <f t="shared" si="55"/>
        <v>1</v>
      </c>
      <c r="I887" s="5">
        <f t="shared" si="56"/>
        <v>1</v>
      </c>
    </row>
    <row r="888" spans="1:9">
      <c r="A888">
        <v>887</v>
      </c>
      <c r="B888">
        <v>15</v>
      </c>
      <c r="C888">
        <v>9000</v>
      </c>
      <c r="D888">
        <v>9624</v>
      </c>
      <c r="E888" s="5">
        <f t="shared" si="53"/>
        <v>624</v>
      </c>
      <c r="F888" s="5">
        <f t="shared" si="54"/>
        <v>389376</v>
      </c>
      <c r="G888" s="6">
        <f>SQRT(SUM($F$2:F888)/A888)</f>
        <v>1164.627811414716</v>
      </c>
      <c r="H888" s="5">
        <f t="shared" si="55"/>
        <v>1</v>
      </c>
      <c r="I888" s="5">
        <f t="shared" si="56"/>
        <v>1</v>
      </c>
    </row>
    <row r="889" spans="1:9">
      <c r="A889">
        <v>888</v>
      </c>
      <c r="B889">
        <v>14</v>
      </c>
      <c r="C889">
        <v>9000</v>
      </c>
      <c r="D889">
        <v>8220</v>
      </c>
      <c r="E889" s="5">
        <f t="shared" si="53"/>
        <v>780</v>
      </c>
      <c r="F889" s="5">
        <f t="shared" si="54"/>
        <v>608400</v>
      </c>
      <c r="G889" s="6">
        <f>SQRT(SUM($F$2:F889)/A889)</f>
        <v>1164.2661397395975</v>
      </c>
      <c r="H889" s="5">
        <f t="shared" si="55"/>
        <v>1</v>
      </c>
      <c r="I889" s="5">
        <f t="shared" si="56"/>
        <v>1</v>
      </c>
    </row>
    <row r="890" spans="1:9">
      <c r="A890">
        <v>889</v>
      </c>
      <c r="B890">
        <v>16</v>
      </c>
      <c r="C890">
        <v>9000</v>
      </c>
      <c r="D890">
        <v>10071</v>
      </c>
      <c r="E890" s="5">
        <f t="shared" si="53"/>
        <v>1071</v>
      </c>
      <c r="F890" s="5">
        <f t="shared" si="54"/>
        <v>1147041</v>
      </c>
      <c r="G890" s="6">
        <f>SQRT(SUM($F$2:F890)/A890)</f>
        <v>1164.165426166988</v>
      </c>
      <c r="H890" s="5">
        <f t="shared" si="55"/>
        <v>1</v>
      </c>
      <c r="I890" s="5">
        <f t="shared" si="56"/>
        <v>0</v>
      </c>
    </row>
    <row r="891" spans="1:9">
      <c r="A891">
        <v>890</v>
      </c>
      <c r="B891">
        <v>14</v>
      </c>
      <c r="C891">
        <v>9000</v>
      </c>
      <c r="D891">
        <v>9131</v>
      </c>
      <c r="E891" s="5">
        <f t="shared" si="53"/>
        <v>131</v>
      </c>
      <c r="F891" s="5">
        <f t="shared" si="54"/>
        <v>17161</v>
      </c>
      <c r="G891" s="6">
        <f>SQRT(SUM($F$2:F891)/A891)</f>
        <v>1163.5195029340355</v>
      </c>
      <c r="H891" s="5">
        <f t="shared" si="55"/>
        <v>1</v>
      </c>
      <c r="I891" s="5">
        <f t="shared" si="56"/>
        <v>1</v>
      </c>
    </row>
    <row r="892" spans="1:9">
      <c r="A892">
        <v>891</v>
      </c>
      <c r="B892">
        <v>15</v>
      </c>
      <c r="C892">
        <v>9000</v>
      </c>
      <c r="D892">
        <v>8987</v>
      </c>
      <c r="E892" s="5">
        <f t="shared" si="53"/>
        <v>13</v>
      </c>
      <c r="F892" s="5">
        <f t="shared" si="54"/>
        <v>169</v>
      </c>
      <c r="G892" s="6">
        <f>SQRT(SUM($F$2:F892)/A892)</f>
        <v>1162.8664721707155</v>
      </c>
      <c r="H892" s="5">
        <f t="shared" si="55"/>
        <v>1</v>
      </c>
      <c r="I892" s="5">
        <f t="shared" si="56"/>
        <v>1</v>
      </c>
    </row>
    <row r="893" spans="1:9">
      <c r="A893">
        <v>892</v>
      </c>
      <c r="B893">
        <v>15</v>
      </c>
      <c r="C893">
        <v>9000</v>
      </c>
      <c r="D893">
        <v>9305</v>
      </c>
      <c r="E893" s="5">
        <f t="shared" si="53"/>
        <v>305</v>
      </c>
      <c r="F893" s="5">
        <f t="shared" si="54"/>
        <v>93025</v>
      </c>
      <c r="G893" s="6">
        <f>SQRT(SUM($F$2:F893)/A893)</f>
        <v>1162.2593236563039</v>
      </c>
      <c r="H893" s="5">
        <f t="shared" si="55"/>
        <v>1</v>
      </c>
      <c r="I893" s="5">
        <f t="shared" si="56"/>
        <v>1</v>
      </c>
    </row>
    <row r="894" spans="1:9">
      <c r="A894">
        <v>893</v>
      </c>
      <c r="B894">
        <v>15</v>
      </c>
      <c r="C894">
        <v>9000</v>
      </c>
      <c r="D894">
        <v>9549</v>
      </c>
      <c r="E894" s="5">
        <f t="shared" si="53"/>
        <v>549</v>
      </c>
      <c r="F894" s="5">
        <f t="shared" si="54"/>
        <v>301401</v>
      </c>
      <c r="G894" s="6">
        <f>SQRT(SUM($F$2:F894)/A894)</f>
        <v>1161.7536504065408</v>
      </c>
      <c r="H894" s="5">
        <f t="shared" si="55"/>
        <v>1</v>
      </c>
      <c r="I894" s="5">
        <f t="shared" si="56"/>
        <v>1</v>
      </c>
    </row>
    <row r="895" spans="1:9">
      <c r="A895">
        <v>894</v>
      </c>
      <c r="B895">
        <v>14</v>
      </c>
      <c r="C895">
        <v>9000</v>
      </c>
      <c r="D895">
        <v>8838</v>
      </c>
      <c r="E895" s="5">
        <f t="shared" si="53"/>
        <v>162</v>
      </c>
      <c r="F895" s="5">
        <f t="shared" si="54"/>
        <v>26244</v>
      </c>
      <c r="G895" s="6">
        <f>SQRT(SUM($F$2:F895)/A895)</f>
        <v>1161.1163594677812</v>
      </c>
      <c r="H895" s="5">
        <f t="shared" si="55"/>
        <v>1</v>
      </c>
      <c r="I895" s="5">
        <f t="shared" si="56"/>
        <v>1</v>
      </c>
    </row>
    <row r="896" spans="1:9">
      <c r="A896">
        <v>895</v>
      </c>
      <c r="B896">
        <v>15</v>
      </c>
      <c r="C896">
        <v>9000</v>
      </c>
      <c r="D896">
        <v>9073</v>
      </c>
      <c r="E896" s="5">
        <f t="shared" si="53"/>
        <v>73</v>
      </c>
      <c r="F896" s="5">
        <f t="shared" si="54"/>
        <v>5329</v>
      </c>
      <c r="G896" s="6">
        <f>SQRT(SUM($F$2:F896)/A896)</f>
        <v>1160.4700752413767</v>
      </c>
      <c r="H896" s="5">
        <f t="shared" si="55"/>
        <v>1</v>
      </c>
      <c r="I896" s="5">
        <f t="shared" si="56"/>
        <v>1</v>
      </c>
    </row>
    <row r="897" spans="1:9">
      <c r="A897">
        <v>896</v>
      </c>
      <c r="B897">
        <v>15</v>
      </c>
      <c r="C897">
        <v>9000</v>
      </c>
      <c r="D897">
        <v>8775</v>
      </c>
      <c r="E897" s="5">
        <f t="shared" si="53"/>
        <v>225</v>
      </c>
      <c r="F897" s="5">
        <f t="shared" si="54"/>
        <v>50625</v>
      </c>
      <c r="G897" s="6">
        <f>SQRT(SUM($F$2:F897)/A897)</f>
        <v>1159.8466681103953</v>
      </c>
      <c r="H897" s="5">
        <f t="shared" si="55"/>
        <v>1</v>
      </c>
      <c r="I897" s="5">
        <f t="shared" si="56"/>
        <v>1</v>
      </c>
    </row>
    <row r="898" spans="1:9">
      <c r="A898">
        <v>897</v>
      </c>
      <c r="B898">
        <v>15</v>
      </c>
      <c r="C898">
        <v>9000</v>
      </c>
      <c r="D898">
        <v>8795</v>
      </c>
      <c r="E898" s="5">
        <f t="shared" si="53"/>
        <v>205</v>
      </c>
      <c r="F898" s="5">
        <f t="shared" si="54"/>
        <v>42025</v>
      </c>
      <c r="G898" s="6">
        <f>SQRT(SUM($F$2:F898)/A898)</f>
        <v>1159.2201815049946</v>
      </c>
      <c r="H898" s="5">
        <f t="shared" si="55"/>
        <v>1</v>
      </c>
      <c r="I898" s="5">
        <f t="shared" si="56"/>
        <v>1</v>
      </c>
    </row>
    <row r="899" spans="1:9">
      <c r="A899">
        <v>898</v>
      </c>
      <c r="B899">
        <v>15</v>
      </c>
      <c r="C899">
        <v>9000</v>
      </c>
      <c r="D899">
        <v>8944</v>
      </c>
      <c r="E899" s="5">
        <f t="shared" ref="E899:E962" si="57">ABS(C899-D899)</f>
        <v>56</v>
      </c>
      <c r="F899" s="5">
        <f t="shared" ref="F899:F962" si="58">POWER(E899,2)</f>
        <v>3136</v>
      </c>
      <c r="G899" s="6">
        <f>SQRT(SUM($F$2:F899)/A899)</f>
        <v>1158.5760632915178</v>
      </c>
      <c r="H899" s="5">
        <f t="shared" ref="H899:H962" si="59">IF(ABS(E899)/C899&gt;0.2,0,1)</f>
        <v>1</v>
      </c>
      <c r="I899" s="5">
        <f t="shared" ref="I899:I962" si="60">IF(ABS(E899)/C899&gt;0.1,0,1)</f>
        <v>1</v>
      </c>
    </row>
    <row r="900" spans="1:9">
      <c r="A900">
        <v>899</v>
      </c>
      <c r="B900">
        <v>15</v>
      </c>
      <c r="C900">
        <v>9000</v>
      </c>
      <c r="D900">
        <v>9096</v>
      </c>
      <c r="E900" s="5">
        <f t="shared" si="57"/>
        <v>96</v>
      </c>
      <c r="F900" s="5">
        <f t="shared" si="58"/>
        <v>9216</v>
      </c>
      <c r="G900" s="6">
        <f>SQRT(SUM($F$2:F900)/A900)</f>
        <v>1157.9359412544993</v>
      </c>
      <c r="H900" s="5">
        <f t="shared" si="59"/>
        <v>1</v>
      </c>
      <c r="I900" s="5">
        <f t="shared" si="60"/>
        <v>1</v>
      </c>
    </row>
    <row r="901" spans="1:9">
      <c r="A901">
        <v>900</v>
      </c>
      <c r="B901">
        <v>15</v>
      </c>
      <c r="C901">
        <v>9000</v>
      </c>
      <c r="D901">
        <v>8333</v>
      </c>
      <c r="E901" s="5">
        <f t="shared" si="57"/>
        <v>667</v>
      </c>
      <c r="F901" s="5">
        <f t="shared" si="58"/>
        <v>444889</v>
      </c>
      <c r="G901" s="6">
        <f>SQRT(SUM($F$2:F901)/A901)</f>
        <v>1157.5060129433452</v>
      </c>
      <c r="H901" s="5">
        <f t="shared" si="59"/>
        <v>1</v>
      </c>
      <c r="I901" s="5">
        <f t="shared" si="60"/>
        <v>1</v>
      </c>
    </row>
    <row r="902" spans="1:9">
      <c r="A902">
        <v>901</v>
      </c>
      <c r="B902">
        <v>16</v>
      </c>
      <c r="C902">
        <v>5000</v>
      </c>
      <c r="D902">
        <v>9336</v>
      </c>
      <c r="E902" s="5">
        <f t="shared" si="57"/>
        <v>4336</v>
      </c>
      <c r="F902" s="5">
        <f t="shared" si="58"/>
        <v>18800896</v>
      </c>
      <c r="G902" s="6">
        <f>SQRT(SUM($F$2:F902)/A902)</f>
        <v>1165.847259467738</v>
      </c>
      <c r="H902" s="5">
        <f t="shared" si="59"/>
        <v>0</v>
      </c>
      <c r="I902" s="5">
        <f t="shared" si="60"/>
        <v>0</v>
      </c>
    </row>
    <row r="903" spans="1:9">
      <c r="A903">
        <v>902</v>
      </c>
      <c r="B903">
        <v>9</v>
      </c>
      <c r="C903">
        <v>5000</v>
      </c>
      <c r="D903">
        <v>5105</v>
      </c>
      <c r="E903" s="5">
        <f t="shared" si="57"/>
        <v>105</v>
      </c>
      <c r="F903" s="5">
        <f t="shared" si="58"/>
        <v>11025</v>
      </c>
      <c r="G903" s="6">
        <f>SQRT(SUM($F$2:F903)/A903)</f>
        <v>1165.2060683922746</v>
      </c>
      <c r="H903" s="5">
        <f t="shared" si="59"/>
        <v>1</v>
      </c>
      <c r="I903" s="5">
        <f t="shared" si="60"/>
        <v>1</v>
      </c>
    </row>
    <row r="904" spans="1:9">
      <c r="A904">
        <v>903</v>
      </c>
      <c r="B904">
        <v>14</v>
      </c>
      <c r="C904">
        <v>5000</v>
      </c>
      <c r="D904">
        <v>5475</v>
      </c>
      <c r="E904" s="5">
        <f t="shared" si="57"/>
        <v>475</v>
      </c>
      <c r="F904" s="5">
        <f t="shared" si="58"/>
        <v>225625</v>
      </c>
      <c r="G904" s="6">
        <f>SQRT(SUM($F$2:F904)/A904)</f>
        <v>1164.6679758236644</v>
      </c>
      <c r="H904" s="5">
        <f t="shared" si="59"/>
        <v>1</v>
      </c>
      <c r="I904" s="5">
        <f t="shared" si="60"/>
        <v>1</v>
      </c>
    </row>
    <row r="905" spans="1:9">
      <c r="A905">
        <v>904</v>
      </c>
      <c r="B905">
        <v>13</v>
      </c>
      <c r="C905">
        <v>5000</v>
      </c>
      <c r="D905">
        <v>7574</v>
      </c>
      <c r="E905" s="5">
        <f t="shared" si="57"/>
        <v>2574</v>
      </c>
      <c r="F905" s="5">
        <f t="shared" si="58"/>
        <v>6625476</v>
      </c>
      <c r="G905" s="6">
        <f>SQRT(SUM($F$2:F905)/A905)</f>
        <v>1167.1675376057663</v>
      </c>
      <c r="H905" s="5">
        <f t="shared" si="59"/>
        <v>0</v>
      </c>
      <c r="I905" s="5">
        <f t="shared" si="60"/>
        <v>0</v>
      </c>
    </row>
    <row r="906" spans="1:9">
      <c r="A906">
        <v>905</v>
      </c>
      <c r="B906">
        <v>10</v>
      </c>
      <c r="C906">
        <v>5000</v>
      </c>
      <c r="D906">
        <v>6543</v>
      </c>
      <c r="E906" s="5">
        <f t="shared" si="57"/>
        <v>1543</v>
      </c>
      <c r="F906" s="5">
        <f t="shared" si="58"/>
        <v>2380849</v>
      </c>
      <c r="G906" s="6">
        <f>SQRT(SUM($F$2:F906)/A906)</f>
        <v>1167.6495841566575</v>
      </c>
      <c r="H906" s="5">
        <f t="shared" si="59"/>
        <v>0</v>
      </c>
      <c r="I906" s="5">
        <f t="shared" si="60"/>
        <v>0</v>
      </c>
    </row>
    <row r="907" spans="1:9">
      <c r="A907">
        <v>906</v>
      </c>
      <c r="B907">
        <v>11</v>
      </c>
      <c r="C907">
        <v>5000</v>
      </c>
      <c r="D907">
        <v>6886</v>
      </c>
      <c r="E907" s="5">
        <f t="shared" si="57"/>
        <v>1886</v>
      </c>
      <c r="F907" s="5">
        <f t="shared" si="58"/>
        <v>3556996</v>
      </c>
      <c r="G907" s="6">
        <f>SQRT(SUM($F$2:F907)/A907)</f>
        <v>1168.685900014128</v>
      </c>
      <c r="H907" s="5">
        <f t="shared" si="59"/>
        <v>0</v>
      </c>
      <c r="I907" s="5">
        <f t="shared" si="60"/>
        <v>0</v>
      </c>
    </row>
    <row r="908" spans="1:9">
      <c r="A908">
        <v>907</v>
      </c>
      <c r="B908">
        <v>10</v>
      </c>
      <c r="C908">
        <v>5000</v>
      </c>
      <c r="D908">
        <v>6753</v>
      </c>
      <c r="E908" s="5">
        <f t="shared" si="57"/>
        <v>1753</v>
      </c>
      <c r="F908" s="5">
        <f t="shared" si="58"/>
        <v>3073009</v>
      </c>
      <c r="G908" s="6">
        <f>SQRT(SUM($F$2:F908)/A908)</f>
        <v>1169.4908988588932</v>
      </c>
      <c r="H908" s="5">
        <f t="shared" si="59"/>
        <v>0</v>
      </c>
      <c r="I908" s="5">
        <f t="shared" si="60"/>
        <v>0</v>
      </c>
    </row>
    <row r="909" spans="1:9">
      <c r="A909">
        <v>908</v>
      </c>
      <c r="B909">
        <v>9</v>
      </c>
      <c r="C909">
        <v>5000</v>
      </c>
      <c r="D909">
        <v>5641</v>
      </c>
      <c r="E909" s="5">
        <f t="shared" si="57"/>
        <v>641</v>
      </c>
      <c r="F909" s="5">
        <f t="shared" si="58"/>
        <v>410881</v>
      </c>
      <c r="G909" s="6">
        <f>SQRT(SUM($F$2:F909)/A909)</f>
        <v>1169.0402846885429</v>
      </c>
      <c r="H909" s="5">
        <f t="shared" si="59"/>
        <v>1</v>
      </c>
      <c r="I909" s="5">
        <f t="shared" si="60"/>
        <v>0</v>
      </c>
    </row>
    <row r="910" spans="1:9">
      <c r="A910">
        <v>909</v>
      </c>
      <c r="B910">
        <v>11</v>
      </c>
      <c r="C910">
        <v>5000</v>
      </c>
      <c r="D910">
        <v>6183</v>
      </c>
      <c r="E910" s="5">
        <f t="shared" si="57"/>
        <v>1183</v>
      </c>
      <c r="F910" s="5">
        <f t="shared" si="58"/>
        <v>1399489</v>
      </c>
      <c r="G910" s="6">
        <f>SQRT(SUM($F$2:F910)/A910)</f>
        <v>1169.0557335006758</v>
      </c>
      <c r="H910" s="5">
        <f t="shared" si="59"/>
        <v>0</v>
      </c>
      <c r="I910" s="5">
        <f t="shared" si="60"/>
        <v>0</v>
      </c>
    </row>
    <row r="911" spans="1:9">
      <c r="A911">
        <v>910</v>
      </c>
      <c r="B911">
        <v>10</v>
      </c>
      <c r="C911">
        <v>5000</v>
      </c>
      <c r="D911">
        <v>6746</v>
      </c>
      <c r="E911" s="5">
        <f t="shared" si="57"/>
        <v>1746</v>
      </c>
      <c r="F911" s="5">
        <f t="shared" si="58"/>
        <v>3048516</v>
      </c>
      <c r="G911" s="6">
        <f>SQRT(SUM($F$2:F911)/A911)</f>
        <v>1169.845915936354</v>
      </c>
      <c r="H911" s="5">
        <f t="shared" si="59"/>
        <v>0</v>
      </c>
      <c r="I911" s="5">
        <f t="shared" si="60"/>
        <v>0</v>
      </c>
    </row>
    <row r="912" spans="1:9">
      <c r="A912">
        <v>911</v>
      </c>
      <c r="B912">
        <v>8</v>
      </c>
      <c r="C912">
        <v>5000</v>
      </c>
      <c r="D912">
        <v>5070</v>
      </c>
      <c r="E912" s="5">
        <f t="shared" si="57"/>
        <v>70</v>
      </c>
      <c r="F912" s="5">
        <f t="shared" si="58"/>
        <v>4900</v>
      </c>
      <c r="G912" s="6">
        <f>SQRT(SUM($F$2:F912)/A912)</f>
        <v>1169.2059728829847</v>
      </c>
      <c r="H912" s="5">
        <f t="shared" si="59"/>
        <v>1</v>
      </c>
      <c r="I912" s="5">
        <f t="shared" si="60"/>
        <v>1</v>
      </c>
    </row>
    <row r="913" spans="1:9">
      <c r="A913">
        <v>912</v>
      </c>
      <c r="B913">
        <v>10</v>
      </c>
      <c r="C913">
        <v>5000</v>
      </c>
      <c r="D913">
        <v>6337</v>
      </c>
      <c r="E913" s="5">
        <f t="shared" si="57"/>
        <v>1337</v>
      </c>
      <c r="F913" s="5">
        <f t="shared" si="58"/>
        <v>1787569</v>
      </c>
      <c r="G913" s="6">
        <f>SQRT(SUM($F$2:F913)/A913)</f>
        <v>1169.4031428580631</v>
      </c>
      <c r="H913" s="5">
        <f t="shared" si="59"/>
        <v>0</v>
      </c>
      <c r="I913" s="5">
        <f t="shared" si="60"/>
        <v>0</v>
      </c>
    </row>
    <row r="914" spans="1:9">
      <c r="A914">
        <v>913</v>
      </c>
      <c r="B914">
        <v>9</v>
      </c>
      <c r="C914">
        <v>5000</v>
      </c>
      <c r="D914">
        <v>5604</v>
      </c>
      <c r="E914" s="5">
        <f t="shared" si="57"/>
        <v>604</v>
      </c>
      <c r="F914" s="5">
        <f t="shared" si="58"/>
        <v>364816</v>
      </c>
      <c r="G914" s="6">
        <f>SQRT(SUM($F$2:F914)/A914)</f>
        <v>1168.9334781976515</v>
      </c>
      <c r="H914" s="5">
        <f t="shared" si="59"/>
        <v>1</v>
      </c>
      <c r="I914" s="5">
        <f t="shared" si="60"/>
        <v>0</v>
      </c>
    </row>
    <row r="915" spans="1:9">
      <c r="A915">
        <v>914</v>
      </c>
      <c r="B915">
        <v>9</v>
      </c>
      <c r="C915">
        <v>5000</v>
      </c>
      <c r="D915">
        <v>5416</v>
      </c>
      <c r="E915" s="5">
        <f t="shared" si="57"/>
        <v>416</v>
      </c>
      <c r="F915" s="5">
        <f t="shared" si="58"/>
        <v>173056</v>
      </c>
      <c r="G915" s="6">
        <f>SQRT(SUM($F$2:F915)/A915)</f>
        <v>1168.3748723978815</v>
      </c>
      <c r="H915" s="5">
        <f t="shared" si="59"/>
        <v>1</v>
      </c>
      <c r="I915" s="5">
        <f t="shared" si="60"/>
        <v>1</v>
      </c>
    </row>
    <row r="916" spans="1:9">
      <c r="A916">
        <v>915</v>
      </c>
      <c r="B916">
        <v>9</v>
      </c>
      <c r="C916">
        <v>5000</v>
      </c>
      <c r="D916">
        <v>6068</v>
      </c>
      <c r="E916" s="5">
        <f t="shared" si="57"/>
        <v>1068</v>
      </c>
      <c r="F916" s="5">
        <f t="shared" si="58"/>
        <v>1140624</v>
      </c>
      <c r="G916" s="6">
        <f>SQRT(SUM($F$2:F916)/A916)</f>
        <v>1168.2698804904637</v>
      </c>
      <c r="H916" s="5">
        <f t="shared" si="59"/>
        <v>0</v>
      </c>
      <c r="I916" s="5">
        <f t="shared" si="60"/>
        <v>0</v>
      </c>
    </row>
    <row r="917" spans="1:9">
      <c r="A917">
        <v>916</v>
      </c>
      <c r="B917">
        <v>8</v>
      </c>
      <c r="C917">
        <v>5000</v>
      </c>
      <c r="D917">
        <v>4793</v>
      </c>
      <c r="E917" s="5">
        <f t="shared" si="57"/>
        <v>207</v>
      </c>
      <c r="F917" s="5">
        <f t="shared" si="58"/>
        <v>42849</v>
      </c>
      <c r="G917" s="6">
        <f>SQRT(SUM($F$2:F917)/A917)</f>
        <v>1167.6520355828929</v>
      </c>
      <c r="H917" s="5">
        <f t="shared" si="59"/>
        <v>1</v>
      </c>
      <c r="I917" s="5">
        <f t="shared" si="60"/>
        <v>1</v>
      </c>
    </row>
    <row r="918" spans="1:9">
      <c r="A918">
        <v>917</v>
      </c>
      <c r="B918">
        <v>10</v>
      </c>
      <c r="C918">
        <v>5000</v>
      </c>
      <c r="D918">
        <v>6702</v>
      </c>
      <c r="E918" s="5">
        <f t="shared" si="57"/>
        <v>1702</v>
      </c>
      <c r="F918" s="5">
        <f t="shared" si="58"/>
        <v>2896804</v>
      </c>
      <c r="G918" s="6">
        <f>SQRT(SUM($F$2:F918)/A918)</f>
        <v>1168.3678616755478</v>
      </c>
      <c r="H918" s="5">
        <f t="shared" si="59"/>
        <v>0</v>
      </c>
      <c r="I918" s="5">
        <f t="shared" si="60"/>
        <v>0</v>
      </c>
    </row>
    <row r="919" spans="1:9">
      <c r="A919">
        <v>918</v>
      </c>
      <c r="B919">
        <v>7</v>
      </c>
      <c r="C919">
        <v>5000</v>
      </c>
      <c r="D919">
        <v>3903</v>
      </c>
      <c r="E919" s="5">
        <f t="shared" si="57"/>
        <v>1097</v>
      </c>
      <c r="F919" s="5">
        <f t="shared" si="58"/>
        <v>1203409</v>
      </c>
      <c r="G919" s="6">
        <f>SQRT(SUM($F$2:F919)/A919)</f>
        <v>1168.292490871434</v>
      </c>
      <c r="H919" s="5">
        <f t="shared" si="59"/>
        <v>0</v>
      </c>
      <c r="I919" s="5">
        <f t="shared" si="60"/>
        <v>0</v>
      </c>
    </row>
    <row r="920" spans="1:9">
      <c r="A920">
        <v>919</v>
      </c>
      <c r="B920">
        <v>11</v>
      </c>
      <c r="C920">
        <v>5000</v>
      </c>
      <c r="D920">
        <v>7184</v>
      </c>
      <c r="E920" s="5">
        <f t="shared" si="57"/>
        <v>2184</v>
      </c>
      <c r="F920" s="5">
        <f t="shared" si="58"/>
        <v>4769856</v>
      </c>
      <c r="G920" s="6">
        <f>SQRT(SUM($F$2:F920)/A920)</f>
        <v>1169.8770886770687</v>
      </c>
      <c r="H920" s="5">
        <f t="shared" si="59"/>
        <v>0</v>
      </c>
      <c r="I920" s="5">
        <f t="shared" si="60"/>
        <v>0</v>
      </c>
    </row>
    <row r="921" spans="1:9">
      <c r="A921">
        <v>920</v>
      </c>
      <c r="B921">
        <v>6</v>
      </c>
      <c r="C921">
        <v>5000</v>
      </c>
      <c r="D921">
        <v>3627</v>
      </c>
      <c r="E921" s="5">
        <f t="shared" si="57"/>
        <v>1373</v>
      </c>
      <c r="F921" s="5">
        <f t="shared" si="58"/>
        <v>1885129</v>
      </c>
      <c r="G921" s="6">
        <f>SQRT(SUM($F$2:F921)/A921)</f>
        <v>1170.1170170951502</v>
      </c>
      <c r="H921" s="5">
        <f t="shared" si="59"/>
        <v>0</v>
      </c>
      <c r="I921" s="5">
        <f t="shared" si="60"/>
        <v>0</v>
      </c>
    </row>
    <row r="922" spans="1:9">
      <c r="A922">
        <v>921</v>
      </c>
      <c r="B922">
        <v>11</v>
      </c>
      <c r="C922">
        <v>5000</v>
      </c>
      <c r="D922">
        <v>7440</v>
      </c>
      <c r="E922" s="5">
        <f t="shared" si="57"/>
        <v>2440</v>
      </c>
      <c r="F922" s="5">
        <f t="shared" si="58"/>
        <v>5953600</v>
      </c>
      <c r="G922" s="6">
        <f>SQRT(SUM($F$2:F922)/A922)</f>
        <v>1172.2420804228138</v>
      </c>
      <c r="H922" s="5">
        <f t="shared" si="59"/>
        <v>0</v>
      </c>
      <c r="I922" s="5">
        <f t="shared" si="60"/>
        <v>0</v>
      </c>
    </row>
    <row r="923" spans="1:9">
      <c r="A923">
        <v>922</v>
      </c>
      <c r="B923">
        <v>6</v>
      </c>
      <c r="C923">
        <v>5000</v>
      </c>
      <c r="D923">
        <v>3427</v>
      </c>
      <c r="E923" s="5">
        <f t="shared" si="57"/>
        <v>1573</v>
      </c>
      <c r="F923" s="5">
        <f t="shared" si="58"/>
        <v>2474329</v>
      </c>
      <c r="G923" s="6">
        <f>SQRT(SUM($F$2:F923)/A923)</f>
        <v>1172.7509310181358</v>
      </c>
      <c r="H923" s="5">
        <f t="shared" si="59"/>
        <v>0</v>
      </c>
      <c r="I923" s="5">
        <f t="shared" si="60"/>
        <v>0</v>
      </c>
    </row>
    <row r="924" spans="1:9">
      <c r="A924">
        <v>923</v>
      </c>
      <c r="B924">
        <v>11</v>
      </c>
      <c r="C924">
        <v>5000</v>
      </c>
      <c r="D924">
        <v>7049</v>
      </c>
      <c r="E924" s="5">
        <f t="shared" si="57"/>
        <v>2049</v>
      </c>
      <c r="F924" s="5">
        <f t="shared" si="58"/>
        <v>4198401</v>
      </c>
      <c r="G924" s="6">
        <f>SQRT(SUM($F$2:F924)/A924)</f>
        <v>1174.0542202240927</v>
      </c>
      <c r="H924" s="5">
        <f t="shared" si="59"/>
        <v>0</v>
      </c>
      <c r="I924" s="5">
        <f t="shared" si="60"/>
        <v>0</v>
      </c>
    </row>
    <row r="925" spans="1:9">
      <c r="A925">
        <v>924</v>
      </c>
      <c r="B925">
        <v>6</v>
      </c>
      <c r="C925">
        <v>5000</v>
      </c>
      <c r="D925">
        <v>3379</v>
      </c>
      <c r="E925" s="5">
        <f t="shared" si="57"/>
        <v>1621</v>
      </c>
      <c r="F925" s="5">
        <f t="shared" si="58"/>
        <v>2627641</v>
      </c>
      <c r="G925" s="6">
        <f>SQRT(SUM($F$2:F925)/A925)</f>
        <v>1174.6298569616731</v>
      </c>
      <c r="H925" s="5">
        <f t="shared" si="59"/>
        <v>0</v>
      </c>
      <c r="I925" s="5">
        <f t="shared" si="60"/>
        <v>0</v>
      </c>
    </row>
    <row r="926" spans="1:9">
      <c r="A926">
        <v>925</v>
      </c>
      <c r="B926">
        <v>11</v>
      </c>
      <c r="C926">
        <v>5000</v>
      </c>
      <c r="D926">
        <v>7288</v>
      </c>
      <c r="E926" s="5">
        <f t="shared" si="57"/>
        <v>2288</v>
      </c>
      <c r="F926" s="5">
        <f t="shared" si="58"/>
        <v>5234944</v>
      </c>
      <c r="G926" s="6">
        <f>SQRT(SUM($F$2:F926)/A926)</f>
        <v>1176.4025979367916</v>
      </c>
      <c r="H926" s="5">
        <f t="shared" si="59"/>
        <v>0</v>
      </c>
      <c r="I926" s="5">
        <f t="shared" si="60"/>
        <v>0</v>
      </c>
    </row>
    <row r="927" spans="1:9">
      <c r="A927">
        <v>926</v>
      </c>
      <c r="B927">
        <v>6</v>
      </c>
      <c r="C927">
        <v>5000</v>
      </c>
      <c r="D927">
        <v>3233</v>
      </c>
      <c r="E927" s="5">
        <f t="shared" si="57"/>
        <v>1767</v>
      </c>
      <c r="F927" s="5">
        <f t="shared" si="58"/>
        <v>3122289</v>
      </c>
      <c r="G927" s="6">
        <f>SQRT(SUM($F$2:F927)/A927)</f>
        <v>1177.2002197805623</v>
      </c>
      <c r="H927" s="5">
        <f t="shared" si="59"/>
        <v>0</v>
      </c>
      <c r="I927" s="5">
        <f t="shared" si="60"/>
        <v>0</v>
      </c>
    </row>
    <row r="928" spans="1:9">
      <c r="A928">
        <v>927</v>
      </c>
      <c r="B928">
        <v>11</v>
      </c>
      <c r="C928">
        <v>5000</v>
      </c>
      <c r="D928">
        <v>6827</v>
      </c>
      <c r="E928" s="5">
        <f t="shared" si="57"/>
        <v>1827</v>
      </c>
      <c r="F928" s="5">
        <f t="shared" si="58"/>
        <v>3337929</v>
      </c>
      <c r="G928" s="6">
        <f>SQRT(SUM($F$2:F928)/A928)</f>
        <v>1178.0943143875336</v>
      </c>
      <c r="H928" s="5">
        <f t="shared" si="59"/>
        <v>0</v>
      </c>
      <c r="I928" s="5">
        <f t="shared" si="60"/>
        <v>0</v>
      </c>
    </row>
    <row r="929" spans="1:9">
      <c r="A929">
        <v>928</v>
      </c>
      <c r="B929">
        <v>6</v>
      </c>
      <c r="C929">
        <v>5000</v>
      </c>
      <c r="D929">
        <v>3435</v>
      </c>
      <c r="E929" s="5">
        <f t="shared" si="57"/>
        <v>1565</v>
      </c>
      <c r="F929" s="5">
        <f t="shared" si="58"/>
        <v>2449225</v>
      </c>
      <c r="G929" s="6">
        <f>SQRT(SUM($F$2:F929)/A929)</f>
        <v>1178.5796010781735</v>
      </c>
      <c r="H929" s="5">
        <f t="shared" si="59"/>
        <v>0</v>
      </c>
      <c r="I929" s="5">
        <f t="shared" si="60"/>
        <v>0</v>
      </c>
    </row>
    <row r="930" spans="1:9">
      <c r="A930">
        <v>929</v>
      </c>
      <c r="B930">
        <v>10</v>
      </c>
      <c r="C930">
        <v>5000</v>
      </c>
      <c r="D930">
        <v>6214</v>
      </c>
      <c r="E930" s="5">
        <f t="shared" si="57"/>
        <v>1214</v>
      </c>
      <c r="F930" s="5">
        <f t="shared" si="58"/>
        <v>1473796</v>
      </c>
      <c r="G930" s="6">
        <f>SQRT(SUM($F$2:F930)/A930)</f>
        <v>1178.6183008214391</v>
      </c>
      <c r="H930" s="5">
        <f t="shared" si="59"/>
        <v>0</v>
      </c>
      <c r="I930" s="5">
        <f t="shared" si="60"/>
        <v>0</v>
      </c>
    </row>
    <row r="931" spans="1:9">
      <c r="A931">
        <v>930</v>
      </c>
      <c r="B931">
        <v>7</v>
      </c>
      <c r="C931">
        <v>5000</v>
      </c>
      <c r="D931">
        <v>4003</v>
      </c>
      <c r="E931" s="5">
        <f t="shared" si="57"/>
        <v>997</v>
      </c>
      <c r="F931" s="5">
        <f t="shared" si="58"/>
        <v>994009</v>
      </c>
      <c r="G931" s="6">
        <f>SQRT(SUM($F$2:F931)/A931)</f>
        <v>1178.4380449588564</v>
      </c>
      <c r="H931" s="5">
        <f t="shared" si="59"/>
        <v>1</v>
      </c>
      <c r="I931" s="5">
        <f t="shared" si="60"/>
        <v>0</v>
      </c>
    </row>
    <row r="932" spans="1:9">
      <c r="A932">
        <v>931</v>
      </c>
      <c r="B932">
        <v>10</v>
      </c>
      <c r="C932">
        <v>5000</v>
      </c>
      <c r="D932">
        <v>6388</v>
      </c>
      <c r="E932" s="5">
        <f t="shared" si="57"/>
        <v>1388</v>
      </c>
      <c r="F932" s="5">
        <f t="shared" si="58"/>
        <v>1926544</v>
      </c>
      <c r="G932" s="6">
        <f>SQRT(SUM($F$2:F932)/A932)</f>
        <v>1178.6831270833104</v>
      </c>
      <c r="H932" s="5">
        <f t="shared" si="59"/>
        <v>0</v>
      </c>
      <c r="I932" s="5">
        <f t="shared" si="60"/>
        <v>0</v>
      </c>
    </row>
    <row r="933" spans="1:9">
      <c r="A933">
        <v>932</v>
      </c>
      <c r="B933">
        <v>7</v>
      </c>
      <c r="C933">
        <v>5000</v>
      </c>
      <c r="D933">
        <v>3917</v>
      </c>
      <c r="E933" s="5">
        <f t="shared" si="57"/>
        <v>1083</v>
      </c>
      <c r="F933" s="5">
        <f t="shared" si="58"/>
        <v>1172889</v>
      </c>
      <c r="G933" s="6">
        <f>SQRT(SUM($F$2:F933)/A933)</f>
        <v>1178.5846257087701</v>
      </c>
      <c r="H933" s="5">
        <f t="shared" si="59"/>
        <v>0</v>
      </c>
      <c r="I933" s="5">
        <f t="shared" si="60"/>
        <v>0</v>
      </c>
    </row>
    <row r="934" spans="1:9">
      <c r="A934">
        <v>933</v>
      </c>
      <c r="B934">
        <v>10</v>
      </c>
      <c r="C934">
        <v>5000</v>
      </c>
      <c r="D934">
        <v>6136</v>
      </c>
      <c r="E934" s="5">
        <f t="shared" si="57"/>
        <v>1136</v>
      </c>
      <c r="F934" s="5">
        <f t="shared" si="58"/>
        <v>1290496</v>
      </c>
      <c r="G934" s="6">
        <f>SQRT(SUM($F$2:F934)/A934)</f>
        <v>1178.5398067518156</v>
      </c>
      <c r="H934" s="5">
        <f t="shared" si="59"/>
        <v>0</v>
      </c>
      <c r="I934" s="5">
        <f t="shared" si="60"/>
        <v>0</v>
      </c>
    </row>
    <row r="935" spans="1:9">
      <c r="A935">
        <v>934</v>
      </c>
      <c r="B935">
        <v>7</v>
      </c>
      <c r="C935">
        <v>5000</v>
      </c>
      <c r="D935">
        <v>4471</v>
      </c>
      <c r="E935" s="5">
        <f t="shared" si="57"/>
        <v>529</v>
      </c>
      <c r="F935" s="5">
        <f t="shared" si="58"/>
        <v>279841</v>
      </c>
      <c r="G935" s="6">
        <f>SQRT(SUM($F$2:F935)/A935)</f>
        <v>1178.0359021370141</v>
      </c>
      <c r="H935" s="5">
        <f t="shared" si="59"/>
        <v>1</v>
      </c>
      <c r="I935" s="5">
        <f t="shared" si="60"/>
        <v>0</v>
      </c>
    </row>
    <row r="936" spans="1:9">
      <c r="A936">
        <v>935</v>
      </c>
      <c r="B936">
        <v>9</v>
      </c>
      <c r="C936">
        <v>5000</v>
      </c>
      <c r="D936">
        <v>5664</v>
      </c>
      <c r="E936" s="5">
        <f t="shared" si="57"/>
        <v>664</v>
      </c>
      <c r="F936" s="5">
        <f t="shared" si="58"/>
        <v>440896</v>
      </c>
      <c r="G936" s="6">
        <f>SQRT(SUM($F$2:F936)/A936)</f>
        <v>1177.6059989529831</v>
      </c>
      <c r="H936" s="5">
        <f t="shared" si="59"/>
        <v>1</v>
      </c>
      <c r="I936" s="5">
        <f t="shared" si="60"/>
        <v>0</v>
      </c>
    </row>
    <row r="937" spans="1:9">
      <c r="A937">
        <v>936</v>
      </c>
      <c r="B937">
        <v>7</v>
      </c>
      <c r="C937">
        <v>5000</v>
      </c>
      <c r="D937">
        <v>4464</v>
      </c>
      <c r="E937" s="5">
        <f t="shared" si="57"/>
        <v>536</v>
      </c>
      <c r="F937" s="5">
        <f t="shared" si="58"/>
        <v>287296</v>
      </c>
      <c r="G937" s="6">
        <f>SQRT(SUM($F$2:F937)/A937)</f>
        <v>1177.1071540589464</v>
      </c>
      <c r="H937" s="5">
        <f t="shared" si="59"/>
        <v>1</v>
      </c>
      <c r="I937" s="5">
        <f t="shared" si="60"/>
        <v>0</v>
      </c>
    </row>
    <row r="938" spans="1:9">
      <c r="A938">
        <v>937</v>
      </c>
      <c r="B938">
        <v>9</v>
      </c>
      <c r="C938">
        <v>5000</v>
      </c>
      <c r="D938">
        <v>6110</v>
      </c>
      <c r="E938" s="5">
        <f t="shared" si="57"/>
        <v>1110</v>
      </c>
      <c r="F938" s="5">
        <f t="shared" si="58"/>
        <v>1232100</v>
      </c>
      <c r="G938" s="6">
        <f>SQRT(SUM($F$2:F938)/A938)</f>
        <v>1177.0375743538386</v>
      </c>
      <c r="H938" s="5">
        <f t="shared" si="59"/>
        <v>0</v>
      </c>
      <c r="I938" s="5">
        <f t="shared" si="60"/>
        <v>0</v>
      </c>
    </row>
    <row r="939" spans="1:9">
      <c r="A939">
        <v>938</v>
      </c>
      <c r="B939">
        <v>7</v>
      </c>
      <c r="C939">
        <v>5000</v>
      </c>
      <c r="D939">
        <v>5386</v>
      </c>
      <c r="E939" s="5">
        <f t="shared" si="57"/>
        <v>386</v>
      </c>
      <c r="F939" s="5">
        <f t="shared" si="58"/>
        <v>148996</v>
      </c>
      <c r="G939" s="6">
        <f>SQRT(SUM($F$2:F939)/A939)</f>
        <v>1176.4774986815733</v>
      </c>
      <c r="H939" s="5">
        <f t="shared" si="59"/>
        <v>1</v>
      </c>
      <c r="I939" s="5">
        <f t="shared" si="60"/>
        <v>1</v>
      </c>
    </row>
    <row r="940" spans="1:9">
      <c r="A940">
        <v>939</v>
      </c>
      <c r="B940">
        <v>7</v>
      </c>
      <c r="C940">
        <v>5000</v>
      </c>
      <c r="D940">
        <v>5179</v>
      </c>
      <c r="E940" s="5">
        <f t="shared" si="57"/>
        <v>179</v>
      </c>
      <c r="F940" s="5">
        <f t="shared" si="58"/>
        <v>32041</v>
      </c>
      <c r="G940" s="6">
        <f>SQRT(SUM($F$2:F940)/A940)</f>
        <v>1175.8653890669364</v>
      </c>
      <c r="H940" s="5">
        <f t="shared" si="59"/>
        <v>1</v>
      </c>
      <c r="I940" s="5">
        <f t="shared" si="60"/>
        <v>1</v>
      </c>
    </row>
    <row r="941" spans="1:9">
      <c r="A941">
        <v>940</v>
      </c>
      <c r="B941">
        <v>8</v>
      </c>
      <c r="C941">
        <v>5000</v>
      </c>
      <c r="D941">
        <v>5785</v>
      </c>
      <c r="E941" s="5">
        <f t="shared" si="57"/>
        <v>785</v>
      </c>
      <c r="F941" s="5">
        <f t="shared" si="58"/>
        <v>616225</v>
      </c>
      <c r="G941" s="6">
        <f>SQRT(SUM($F$2:F941)/A941)</f>
        <v>1175.5186333898789</v>
      </c>
      <c r="H941" s="5">
        <f t="shared" si="59"/>
        <v>1</v>
      </c>
      <c r="I941" s="5">
        <f t="shared" si="60"/>
        <v>0</v>
      </c>
    </row>
    <row r="942" spans="1:9">
      <c r="A942">
        <v>941</v>
      </c>
      <c r="B942">
        <v>7</v>
      </c>
      <c r="C942">
        <v>5000</v>
      </c>
      <c r="D942">
        <v>5306</v>
      </c>
      <c r="E942" s="5">
        <f t="shared" si="57"/>
        <v>306</v>
      </c>
      <c r="F942" s="5">
        <f t="shared" si="58"/>
        <v>93636</v>
      </c>
      <c r="G942" s="6">
        <f>SQRT(SUM($F$2:F942)/A942)</f>
        <v>1174.9362023967276</v>
      </c>
      <c r="H942" s="5">
        <f t="shared" si="59"/>
        <v>1</v>
      </c>
      <c r="I942" s="5">
        <f t="shared" si="60"/>
        <v>1</v>
      </c>
    </row>
    <row r="943" spans="1:9">
      <c r="A943">
        <v>942</v>
      </c>
      <c r="B943">
        <v>7</v>
      </c>
      <c r="C943">
        <v>5000</v>
      </c>
      <c r="D943">
        <v>4591</v>
      </c>
      <c r="E943" s="5">
        <f t="shared" si="57"/>
        <v>409</v>
      </c>
      <c r="F943" s="5">
        <f t="shared" si="58"/>
        <v>167281</v>
      </c>
      <c r="G943" s="6">
        <f>SQRT(SUM($F$2:F943)/A943)</f>
        <v>1174.3880056855523</v>
      </c>
      <c r="H943" s="5">
        <f t="shared" si="59"/>
        <v>1</v>
      </c>
      <c r="I943" s="5">
        <f t="shared" si="60"/>
        <v>1</v>
      </c>
    </row>
    <row r="944" spans="1:9">
      <c r="A944">
        <v>943</v>
      </c>
      <c r="B944">
        <v>8</v>
      </c>
      <c r="C944">
        <v>5000</v>
      </c>
      <c r="D944">
        <v>5436</v>
      </c>
      <c r="E944" s="5">
        <f t="shared" si="57"/>
        <v>436</v>
      </c>
      <c r="F944" s="5">
        <f t="shared" si="58"/>
        <v>190096</v>
      </c>
      <c r="G944" s="6">
        <f>SQRT(SUM($F$2:F944)/A944)</f>
        <v>1173.8510219074165</v>
      </c>
      <c r="H944" s="5">
        <f t="shared" si="59"/>
        <v>1</v>
      </c>
      <c r="I944" s="5">
        <f t="shared" si="60"/>
        <v>1</v>
      </c>
    </row>
    <row r="945" spans="1:9">
      <c r="A945">
        <v>944</v>
      </c>
      <c r="B945">
        <v>7</v>
      </c>
      <c r="C945">
        <v>5000</v>
      </c>
      <c r="D945">
        <v>5191</v>
      </c>
      <c r="E945" s="5">
        <f t="shared" si="57"/>
        <v>191</v>
      </c>
      <c r="F945" s="5">
        <f t="shared" si="58"/>
        <v>36481</v>
      </c>
      <c r="G945" s="6">
        <f>SQRT(SUM($F$2:F945)/A945)</f>
        <v>1173.2455834788138</v>
      </c>
      <c r="H945" s="5">
        <f t="shared" si="59"/>
        <v>1</v>
      </c>
      <c r="I945" s="5">
        <f t="shared" si="60"/>
        <v>1</v>
      </c>
    </row>
    <row r="946" spans="1:9">
      <c r="A946">
        <v>945</v>
      </c>
      <c r="B946">
        <v>7</v>
      </c>
      <c r="C946">
        <v>5000</v>
      </c>
      <c r="D946">
        <v>5840</v>
      </c>
      <c r="E946" s="5">
        <f t="shared" si="57"/>
        <v>840</v>
      </c>
      <c r="F946" s="5">
        <f t="shared" si="58"/>
        <v>705600</v>
      </c>
      <c r="G946" s="6">
        <f>SQRT(SUM($F$2:F946)/A946)</f>
        <v>1172.9429852131971</v>
      </c>
      <c r="H946" s="5">
        <f t="shared" si="59"/>
        <v>1</v>
      </c>
      <c r="I946" s="5">
        <f t="shared" si="60"/>
        <v>0</v>
      </c>
    </row>
    <row r="947" spans="1:9">
      <c r="A947">
        <v>946</v>
      </c>
      <c r="B947">
        <v>6</v>
      </c>
      <c r="C947">
        <v>5000</v>
      </c>
      <c r="D947">
        <v>4988</v>
      </c>
      <c r="E947" s="5">
        <f t="shared" si="57"/>
        <v>12</v>
      </c>
      <c r="F947" s="5">
        <f t="shared" si="58"/>
        <v>144</v>
      </c>
      <c r="G947" s="6">
        <f>SQRT(SUM($F$2:F947)/A947)</f>
        <v>1172.3229374909636</v>
      </c>
      <c r="H947" s="5">
        <f t="shared" si="59"/>
        <v>1</v>
      </c>
      <c r="I947" s="5">
        <f t="shared" si="60"/>
        <v>1</v>
      </c>
    </row>
    <row r="948" spans="1:9">
      <c r="A948">
        <v>947</v>
      </c>
      <c r="B948">
        <v>7</v>
      </c>
      <c r="C948">
        <v>5000</v>
      </c>
      <c r="D948">
        <v>4776</v>
      </c>
      <c r="E948" s="5">
        <f t="shared" si="57"/>
        <v>224</v>
      </c>
      <c r="F948" s="5">
        <f t="shared" si="58"/>
        <v>50176</v>
      </c>
      <c r="G948" s="6">
        <f>SQRT(SUM($F$2:F948)/A948)</f>
        <v>1171.7264169585501</v>
      </c>
      <c r="H948" s="5">
        <f t="shared" si="59"/>
        <v>1</v>
      </c>
      <c r="I948" s="5">
        <f t="shared" si="60"/>
        <v>1</v>
      </c>
    </row>
    <row r="949" spans="1:9">
      <c r="A949">
        <v>948</v>
      </c>
      <c r="B949">
        <v>8</v>
      </c>
      <c r="C949">
        <v>5000</v>
      </c>
      <c r="D949">
        <v>5392</v>
      </c>
      <c r="E949" s="5">
        <f t="shared" si="57"/>
        <v>392</v>
      </c>
      <c r="F949" s="5">
        <f t="shared" si="58"/>
        <v>153664</v>
      </c>
      <c r="G949" s="6">
        <f>SQRT(SUM($F$2:F949)/A949)</f>
        <v>1171.1774575745565</v>
      </c>
      <c r="H949" s="5">
        <f t="shared" si="59"/>
        <v>1</v>
      </c>
      <c r="I949" s="5">
        <f t="shared" si="60"/>
        <v>1</v>
      </c>
    </row>
    <row r="950" spans="1:9">
      <c r="A950">
        <v>949</v>
      </c>
      <c r="B950">
        <v>7</v>
      </c>
      <c r="C950">
        <v>5000</v>
      </c>
      <c r="D950">
        <v>4875</v>
      </c>
      <c r="E950" s="5">
        <f t="shared" si="57"/>
        <v>125</v>
      </c>
      <c r="F950" s="5">
        <f t="shared" si="58"/>
        <v>15625</v>
      </c>
      <c r="G950" s="6">
        <f>SQRT(SUM($F$2:F950)/A950)</f>
        <v>1170.5672690179326</v>
      </c>
      <c r="H950" s="5">
        <f t="shared" si="59"/>
        <v>1</v>
      </c>
      <c r="I950" s="5">
        <f t="shared" si="60"/>
        <v>1</v>
      </c>
    </row>
    <row r="951" spans="1:9">
      <c r="A951">
        <v>950</v>
      </c>
      <c r="B951">
        <v>7</v>
      </c>
      <c r="C951">
        <v>5000</v>
      </c>
      <c r="D951">
        <v>5115</v>
      </c>
      <c r="E951" s="5">
        <f t="shared" si="57"/>
        <v>115</v>
      </c>
      <c r="F951" s="5">
        <f t="shared" si="58"/>
        <v>13225</v>
      </c>
      <c r="G951" s="6">
        <f>SQRT(SUM($F$2:F951)/A951)</f>
        <v>1169.9569681695225</v>
      </c>
      <c r="H951" s="5">
        <f t="shared" si="59"/>
        <v>1</v>
      </c>
      <c r="I951" s="5">
        <f t="shared" si="60"/>
        <v>1</v>
      </c>
    </row>
    <row r="952" spans="1:9">
      <c r="A952">
        <v>951</v>
      </c>
      <c r="B952">
        <v>7</v>
      </c>
      <c r="C952">
        <v>5000</v>
      </c>
      <c r="D952">
        <v>4536</v>
      </c>
      <c r="E952" s="5">
        <f t="shared" si="57"/>
        <v>464</v>
      </c>
      <c r="F952" s="5">
        <f t="shared" si="58"/>
        <v>215296</v>
      </c>
      <c r="G952" s="6">
        <f>SQRT(SUM($F$2:F952)/A952)</f>
        <v>1169.4384849733219</v>
      </c>
      <c r="H952" s="5">
        <f t="shared" si="59"/>
        <v>1</v>
      </c>
      <c r="I952" s="5">
        <f t="shared" si="60"/>
        <v>1</v>
      </c>
    </row>
    <row r="953" spans="1:9">
      <c r="A953">
        <v>952</v>
      </c>
      <c r="B953">
        <v>8</v>
      </c>
      <c r="C953">
        <v>5000</v>
      </c>
      <c r="D953">
        <v>4762</v>
      </c>
      <c r="E953" s="5">
        <f t="shared" si="57"/>
        <v>238</v>
      </c>
      <c r="F953" s="5">
        <f t="shared" si="58"/>
        <v>56644</v>
      </c>
      <c r="G953" s="6">
        <f>SQRT(SUM($F$2:F953)/A953)</f>
        <v>1168.8495753654242</v>
      </c>
      <c r="H953" s="5">
        <f t="shared" si="59"/>
        <v>1</v>
      </c>
      <c r="I953" s="5">
        <f t="shared" si="60"/>
        <v>1</v>
      </c>
    </row>
    <row r="954" spans="1:9">
      <c r="A954">
        <v>953</v>
      </c>
      <c r="B954">
        <v>8</v>
      </c>
      <c r="C954">
        <v>5000</v>
      </c>
      <c r="D954">
        <v>5484</v>
      </c>
      <c r="E954" s="5">
        <f t="shared" si="57"/>
        <v>484</v>
      </c>
      <c r="F954" s="5">
        <f t="shared" si="58"/>
        <v>234256</v>
      </c>
      <c r="G954" s="6">
        <f>SQRT(SUM($F$2:F954)/A954)</f>
        <v>1168.3413674487094</v>
      </c>
      <c r="H954" s="5">
        <f t="shared" si="59"/>
        <v>1</v>
      </c>
      <c r="I954" s="5">
        <f t="shared" si="60"/>
        <v>1</v>
      </c>
    </row>
    <row r="955" spans="1:9">
      <c r="A955">
        <v>954</v>
      </c>
      <c r="B955">
        <v>7</v>
      </c>
      <c r="C955">
        <v>5000</v>
      </c>
      <c r="D955">
        <v>4931</v>
      </c>
      <c r="E955" s="5">
        <f t="shared" si="57"/>
        <v>69</v>
      </c>
      <c r="F955" s="5">
        <f t="shared" si="58"/>
        <v>4761</v>
      </c>
      <c r="G955" s="6">
        <f>SQRT(SUM($F$2:F955)/A955)</f>
        <v>1167.7310055221885</v>
      </c>
      <c r="H955" s="5">
        <f t="shared" si="59"/>
        <v>1</v>
      </c>
      <c r="I955" s="5">
        <f t="shared" si="60"/>
        <v>1</v>
      </c>
    </row>
    <row r="956" spans="1:9">
      <c r="A956">
        <v>955</v>
      </c>
      <c r="B956">
        <v>7</v>
      </c>
      <c r="C956">
        <v>5000</v>
      </c>
      <c r="D956">
        <v>5205</v>
      </c>
      <c r="E956" s="5">
        <f t="shared" si="57"/>
        <v>205</v>
      </c>
      <c r="F956" s="5">
        <f t="shared" si="58"/>
        <v>42025</v>
      </c>
      <c r="G956" s="6">
        <f>SQRT(SUM($F$2:F956)/A956)</f>
        <v>1167.1383198197302</v>
      </c>
      <c r="H956" s="5">
        <f t="shared" si="59"/>
        <v>1</v>
      </c>
      <c r="I956" s="5">
        <f t="shared" si="60"/>
        <v>1</v>
      </c>
    </row>
    <row r="957" spans="1:9">
      <c r="A957">
        <v>956</v>
      </c>
      <c r="B957">
        <v>7</v>
      </c>
      <c r="C957">
        <v>5000</v>
      </c>
      <c r="D957">
        <v>5086</v>
      </c>
      <c r="E957" s="5">
        <f t="shared" si="57"/>
        <v>86</v>
      </c>
      <c r="F957" s="5">
        <f t="shared" si="58"/>
        <v>7396</v>
      </c>
      <c r="G957" s="6">
        <f>SQRT(SUM($F$2:F957)/A957)</f>
        <v>1166.5310481047936</v>
      </c>
      <c r="H957" s="5">
        <f t="shared" si="59"/>
        <v>1</v>
      </c>
      <c r="I957" s="5">
        <f t="shared" si="60"/>
        <v>1</v>
      </c>
    </row>
    <row r="958" spans="1:9">
      <c r="A958">
        <v>957</v>
      </c>
      <c r="B958">
        <v>7</v>
      </c>
      <c r="C958">
        <v>5000</v>
      </c>
      <c r="D958">
        <v>4890</v>
      </c>
      <c r="E958" s="5">
        <f t="shared" si="57"/>
        <v>110</v>
      </c>
      <c r="F958" s="5">
        <f t="shared" si="58"/>
        <v>12100</v>
      </c>
      <c r="G958" s="6">
        <f>SQRT(SUM($F$2:F958)/A958)</f>
        <v>1165.9268381204413</v>
      </c>
      <c r="H958" s="5">
        <f t="shared" si="59"/>
        <v>1</v>
      </c>
      <c r="I958" s="5">
        <f t="shared" si="60"/>
        <v>1</v>
      </c>
    </row>
    <row r="959" spans="1:9">
      <c r="A959">
        <v>958</v>
      </c>
      <c r="B959">
        <v>7</v>
      </c>
      <c r="C959">
        <v>5000</v>
      </c>
      <c r="D959">
        <v>5693</v>
      </c>
      <c r="E959" s="5">
        <f t="shared" si="57"/>
        <v>693</v>
      </c>
      <c r="F959" s="5">
        <f t="shared" si="58"/>
        <v>480249</v>
      </c>
      <c r="G959" s="6">
        <f>SQRT(SUM($F$2:F959)/A959)</f>
        <v>1165.5332311623006</v>
      </c>
      <c r="H959" s="5">
        <f t="shared" si="59"/>
        <v>1</v>
      </c>
      <c r="I959" s="5">
        <f t="shared" si="60"/>
        <v>0</v>
      </c>
    </row>
    <row r="960" spans="1:9">
      <c r="A960">
        <v>959</v>
      </c>
      <c r="B960">
        <v>6</v>
      </c>
      <c r="C960">
        <v>5000</v>
      </c>
      <c r="D960">
        <v>4474</v>
      </c>
      <c r="E960" s="5">
        <f t="shared" si="57"/>
        <v>526</v>
      </c>
      <c r="F960" s="5">
        <f t="shared" si="58"/>
        <v>276676</v>
      </c>
      <c r="G960" s="6">
        <f>SQRT(SUM($F$2:F960)/A960)</f>
        <v>1165.0492142106473</v>
      </c>
      <c r="H960" s="5">
        <f t="shared" si="59"/>
        <v>1</v>
      </c>
      <c r="I960" s="5">
        <f t="shared" si="60"/>
        <v>0</v>
      </c>
    </row>
    <row r="961" spans="1:9">
      <c r="A961">
        <v>960</v>
      </c>
      <c r="B961">
        <v>8</v>
      </c>
      <c r="C961">
        <v>5000</v>
      </c>
      <c r="D961">
        <v>5863</v>
      </c>
      <c r="E961" s="5">
        <f t="shared" si="57"/>
        <v>863</v>
      </c>
      <c r="F961" s="5">
        <f t="shared" si="58"/>
        <v>744769</v>
      </c>
      <c r="G961" s="6">
        <f>SQRT(SUM($F$2:F961)/A961)</f>
        <v>1164.7753333082451</v>
      </c>
      <c r="H961" s="5">
        <f t="shared" si="59"/>
        <v>1</v>
      </c>
      <c r="I961" s="5">
        <f t="shared" si="60"/>
        <v>0</v>
      </c>
    </row>
    <row r="962" spans="1:9">
      <c r="A962">
        <v>961</v>
      </c>
      <c r="B962">
        <v>6</v>
      </c>
      <c r="C962">
        <v>5000</v>
      </c>
      <c r="D962">
        <v>3054</v>
      </c>
      <c r="E962" s="5">
        <f t="shared" si="57"/>
        <v>1946</v>
      </c>
      <c r="F962" s="5">
        <f t="shared" si="58"/>
        <v>3786916</v>
      </c>
      <c r="G962" s="6">
        <f>SQRT(SUM($F$2:F962)/A962)</f>
        <v>1165.8603759597847</v>
      </c>
      <c r="H962" s="5">
        <f t="shared" si="59"/>
        <v>0</v>
      </c>
      <c r="I962" s="5">
        <f t="shared" si="60"/>
        <v>0</v>
      </c>
    </row>
    <row r="963" spans="1:9">
      <c r="A963">
        <v>962</v>
      </c>
      <c r="B963">
        <v>10</v>
      </c>
      <c r="C963">
        <v>5000</v>
      </c>
      <c r="D963">
        <v>5146</v>
      </c>
      <c r="E963" s="5">
        <f t="shared" ref="E963:E1001" si="61">ABS(C963-D963)</f>
        <v>146</v>
      </c>
      <c r="F963" s="5">
        <f t="shared" ref="F963:F1001" si="62">POWER(E963,2)</f>
        <v>21316</v>
      </c>
      <c r="G963" s="6">
        <f>SQRT(SUM($F$2:F963)/A963)</f>
        <v>1165.2637696275692</v>
      </c>
      <c r="H963" s="5">
        <f t="shared" ref="H963:H1001" si="63">IF(ABS(E963)/C963&gt;0.2,0,1)</f>
        <v>1</v>
      </c>
      <c r="I963" s="5">
        <f t="shared" ref="I963:I1001" si="64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1424</v>
      </c>
      <c r="E964" s="5">
        <f t="shared" si="61"/>
        <v>3576</v>
      </c>
      <c r="F964" s="5">
        <f t="shared" si="62"/>
        <v>12787776</v>
      </c>
      <c r="G964" s="6">
        <f>SQRT(SUM($F$2:F964)/A964)</f>
        <v>1170.3455667394601</v>
      </c>
      <c r="H964" s="5">
        <f t="shared" si="63"/>
        <v>0</v>
      </c>
      <c r="I964" s="5">
        <f t="shared" si="64"/>
        <v>0</v>
      </c>
    </row>
    <row r="965" spans="1:9">
      <c r="A965">
        <v>964</v>
      </c>
      <c r="B965">
        <v>13</v>
      </c>
      <c r="C965">
        <v>5000</v>
      </c>
      <c r="D965">
        <v>6884</v>
      </c>
      <c r="E965" s="5">
        <f t="shared" si="61"/>
        <v>1884</v>
      </c>
      <c r="F965" s="5">
        <f t="shared" si="62"/>
        <v>3549456</v>
      </c>
      <c r="G965" s="6">
        <f>SQRT(SUM($F$2:F965)/A965)</f>
        <v>1171.3111858899288</v>
      </c>
      <c r="H965" s="5">
        <f t="shared" si="63"/>
        <v>0</v>
      </c>
      <c r="I965" s="5">
        <f t="shared" si="64"/>
        <v>0</v>
      </c>
    </row>
    <row r="966" spans="1:9">
      <c r="A966">
        <v>965</v>
      </c>
      <c r="B966">
        <v>6</v>
      </c>
      <c r="C966">
        <v>5000</v>
      </c>
      <c r="D966">
        <v>3340</v>
      </c>
      <c r="E966" s="5">
        <f t="shared" si="61"/>
        <v>1660</v>
      </c>
      <c r="F966" s="5">
        <f t="shared" si="62"/>
        <v>2755600</v>
      </c>
      <c r="G966" s="6">
        <f>SQRT(SUM($F$2:F966)/A966)</f>
        <v>1171.9230809963685</v>
      </c>
      <c r="H966" s="5">
        <f t="shared" si="63"/>
        <v>0</v>
      </c>
      <c r="I966" s="5">
        <f t="shared" si="64"/>
        <v>0</v>
      </c>
    </row>
    <row r="967" spans="1:9">
      <c r="A967">
        <v>966</v>
      </c>
      <c r="B967">
        <v>10</v>
      </c>
      <c r="C967">
        <v>5000</v>
      </c>
      <c r="D967">
        <v>5877</v>
      </c>
      <c r="E967" s="5">
        <f t="shared" si="61"/>
        <v>877</v>
      </c>
      <c r="F967" s="5">
        <f t="shared" si="62"/>
        <v>769129</v>
      </c>
      <c r="G967" s="6">
        <f>SQRT(SUM($F$2:F967)/A967)</f>
        <v>1171.6561631281907</v>
      </c>
      <c r="H967" s="5">
        <f t="shared" si="63"/>
        <v>1</v>
      </c>
      <c r="I967" s="5">
        <f t="shared" si="64"/>
        <v>0</v>
      </c>
    </row>
    <row r="968" spans="1:9">
      <c r="A968">
        <v>967</v>
      </c>
      <c r="B968">
        <v>7</v>
      </c>
      <c r="C968">
        <v>5000</v>
      </c>
      <c r="D968">
        <v>3652</v>
      </c>
      <c r="E968" s="5">
        <f t="shared" si="61"/>
        <v>1348</v>
      </c>
      <c r="F968" s="5">
        <f t="shared" si="62"/>
        <v>1817104</v>
      </c>
      <c r="G968" s="6">
        <f>SQRT(SUM($F$2:F968)/A968)</f>
        <v>1171.8522319677236</v>
      </c>
      <c r="H968" s="5">
        <f t="shared" si="63"/>
        <v>0</v>
      </c>
      <c r="I968" s="5">
        <f t="shared" si="64"/>
        <v>0</v>
      </c>
    </row>
    <row r="969" spans="1:9">
      <c r="A969">
        <v>968</v>
      </c>
      <c r="B969">
        <v>10</v>
      </c>
      <c r="C969">
        <v>5000</v>
      </c>
      <c r="D969">
        <v>5664</v>
      </c>
      <c r="E969" s="5">
        <f t="shared" si="61"/>
        <v>664</v>
      </c>
      <c r="F969" s="5">
        <f t="shared" si="62"/>
        <v>440896</v>
      </c>
      <c r="G969" s="6">
        <f>SQRT(SUM($F$2:F969)/A969)</f>
        <v>1171.441202409442</v>
      </c>
      <c r="H969" s="5">
        <f t="shared" si="63"/>
        <v>1</v>
      </c>
      <c r="I969" s="5">
        <f t="shared" si="64"/>
        <v>0</v>
      </c>
    </row>
    <row r="970" spans="1:9">
      <c r="A970">
        <v>969</v>
      </c>
      <c r="B970">
        <v>7</v>
      </c>
      <c r="C970">
        <v>5000</v>
      </c>
      <c r="D970">
        <v>4135</v>
      </c>
      <c r="E970" s="5">
        <f t="shared" si="61"/>
        <v>865</v>
      </c>
      <c r="F970" s="5">
        <f t="shared" si="62"/>
        <v>748225</v>
      </c>
      <c r="G970" s="6">
        <f>SQRT(SUM($F$2:F970)/A970)</f>
        <v>1171.1662891238741</v>
      </c>
      <c r="H970" s="5">
        <f t="shared" si="63"/>
        <v>1</v>
      </c>
      <c r="I970" s="5">
        <f t="shared" si="64"/>
        <v>0</v>
      </c>
    </row>
    <row r="971" spans="1:9">
      <c r="A971">
        <v>970</v>
      </c>
      <c r="B971">
        <v>10</v>
      </c>
      <c r="C971">
        <v>5000</v>
      </c>
      <c r="D971">
        <v>5576</v>
      </c>
      <c r="E971" s="5">
        <f t="shared" si="61"/>
        <v>576</v>
      </c>
      <c r="F971" s="5">
        <f t="shared" si="62"/>
        <v>331776</v>
      </c>
      <c r="G971" s="6">
        <f>SQRT(SUM($F$2:F971)/A971)</f>
        <v>1170.7085298466352</v>
      </c>
      <c r="H971" s="5">
        <f t="shared" si="63"/>
        <v>1</v>
      </c>
      <c r="I971" s="5">
        <f t="shared" si="64"/>
        <v>0</v>
      </c>
    </row>
    <row r="972" spans="1:9">
      <c r="A972">
        <v>971</v>
      </c>
      <c r="B972">
        <v>8</v>
      </c>
      <c r="C972">
        <v>5000</v>
      </c>
      <c r="D972">
        <v>5850</v>
      </c>
      <c r="E972" s="5">
        <f t="shared" si="61"/>
        <v>850</v>
      </c>
      <c r="F972" s="5">
        <f t="shared" si="62"/>
        <v>722500</v>
      </c>
      <c r="G972" s="6">
        <f>SQRT(SUM($F$2:F972)/A972)</f>
        <v>1170.4234483312898</v>
      </c>
      <c r="H972" s="5">
        <f t="shared" si="63"/>
        <v>1</v>
      </c>
      <c r="I972" s="5">
        <f t="shared" si="64"/>
        <v>0</v>
      </c>
    </row>
    <row r="973" spans="1:9">
      <c r="A973">
        <v>972</v>
      </c>
      <c r="B973">
        <v>7</v>
      </c>
      <c r="C973">
        <v>5000</v>
      </c>
      <c r="D973">
        <v>5151</v>
      </c>
      <c r="E973" s="5">
        <f t="shared" si="61"/>
        <v>151</v>
      </c>
      <c r="F973" s="5">
        <f t="shared" si="62"/>
        <v>22801</v>
      </c>
      <c r="G973" s="6">
        <f>SQRT(SUM($F$2:F973)/A973)</f>
        <v>1169.8312499211931</v>
      </c>
      <c r="H973" s="5">
        <f t="shared" si="63"/>
        <v>1</v>
      </c>
      <c r="I973" s="5">
        <f t="shared" si="64"/>
        <v>1</v>
      </c>
    </row>
    <row r="974" spans="1:9">
      <c r="A974">
        <v>973</v>
      </c>
      <c r="B974">
        <v>8</v>
      </c>
      <c r="C974">
        <v>5000</v>
      </c>
      <c r="D974">
        <v>5480</v>
      </c>
      <c r="E974" s="5">
        <f t="shared" si="61"/>
        <v>480</v>
      </c>
      <c r="F974" s="5">
        <f t="shared" si="62"/>
        <v>230400</v>
      </c>
      <c r="G974" s="6">
        <f>SQRT(SUM($F$2:F974)/A974)</f>
        <v>1169.3312048338357</v>
      </c>
      <c r="H974" s="5">
        <f t="shared" si="63"/>
        <v>1</v>
      </c>
      <c r="I974" s="5">
        <f t="shared" si="64"/>
        <v>1</v>
      </c>
    </row>
    <row r="975" spans="1:9">
      <c r="A975">
        <v>974</v>
      </c>
      <c r="B975">
        <v>7</v>
      </c>
      <c r="C975">
        <v>5000</v>
      </c>
      <c r="D975">
        <v>5024</v>
      </c>
      <c r="E975" s="5">
        <f t="shared" si="61"/>
        <v>24</v>
      </c>
      <c r="F975" s="5">
        <f t="shared" si="62"/>
        <v>576</v>
      </c>
      <c r="G975" s="6">
        <f>SQRT(SUM($F$2:F975)/A975)</f>
        <v>1168.7310309872873</v>
      </c>
      <c r="H975" s="5">
        <f t="shared" si="63"/>
        <v>1</v>
      </c>
      <c r="I975" s="5">
        <f t="shared" si="64"/>
        <v>1</v>
      </c>
    </row>
    <row r="976" spans="1:9">
      <c r="A976">
        <v>975</v>
      </c>
      <c r="B976">
        <v>8</v>
      </c>
      <c r="C976">
        <v>5000</v>
      </c>
      <c r="D976">
        <v>5640</v>
      </c>
      <c r="E976" s="5">
        <f t="shared" si="61"/>
        <v>640</v>
      </c>
      <c r="F976" s="5">
        <f t="shared" si="62"/>
        <v>409600</v>
      </c>
      <c r="G976" s="6">
        <f>SQRT(SUM($F$2:F976)/A976)</f>
        <v>1168.3113323214704</v>
      </c>
      <c r="H976" s="5">
        <f t="shared" si="63"/>
        <v>1</v>
      </c>
      <c r="I976" s="5">
        <f t="shared" si="64"/>
        <v>0</v>
      </c>
    </row>
    <row r="977" spans="1:9">
      <c r="A977">
        <v>976</v>
      </c>
      <c r="B977">
        <v>7</v>
      </c>
      <c r="C977">
        <v>5000</v>
      </c>
      <c r="D977">
        <v>4591</v>
      </c>
      <c r="E977" s="5">
        <f t="shared" si="61"/>
        <v>409</v>
      </c>
      <c r="F977" s="5">
        <f t="shared" si="62"/>
        <v>167281</v>
      </c>
      <c r="G977" s="6">
        <f>SQRT(SUM($F$2:F977)/A977)</f>
        <v>1167.7860454513145</v>
      </c>
      <c r="H977" s="5">
        <f t="shared" si="63"/>
        <v>1</v>
      </c>
      <c r="I977" s="5">
        <f t="shared" si="64"/>
        <v>1</v>
      </c>
    </row>
    <row r="978" spans="1:9">
      <c r="A978">
        <v>977</v>
      </c>
      <c r="B978">
        <v>8</v>
      </c>
      <c r="C978">
        <v>5000</v>
      </c>
      <c r="D978">
        <v>5474</v>
      </c>
      <c r="E978" s="5">
        <f t="shared" si="61"/>
        <v>474</v>
      </c>
      <c r="F978" s="5">
        <f t="shared" si="62"/>
        <v>224676</v>
      </c>
      <c r="G978" s="6">
        <f>SQRT(SUM($F$2:F978)/A978)</f>
        <v>1167.286762047607</v>
      </c>
      <c r="H978" s="5">
        <f t="shared" si="63"/>
        <v>1</v>
      </c>
      <c r="I978" s="5">
        <f t="shared" si="64"/>
        <v>1</v>
      </c>
    </row>
    <row r="979" spans="1:9">
      <c r="A979">
        <v>978</v>
      </c>
      <c r="B979">
        <v>7</v>
      </c>
      <c r="C979">
        <v>5000</v>
      </c>
      <c r="D979">
        <v>4132</v>
      </c>
      <c r="E979" s="5">
        <f t="shared" si="61"/>
        <v>868</v>
      </c>
      <c r="F979" s="5">
        <f t="shared" si="62"/>
        <v>753424</v>
      </c>
      <c r="G979" s="6">
        <f>SQRT(SUM($F$2:F979)/A979)</f>
        <v>1167.0199432988538</v>
      </c>
      <c r="H979" s="5">
        <f t="shared" si="63"/>
        <v>1</v>
      </c>
      <c r="I979" s="5">
        <f t="shared" si="64"/>
        <v>0</v>
      </c>
    </row>
    <row r="980" spans="1:9">
      <c r="A980">
        <v>979</v>
      </c>
      <c r="B980">
        <v>9</v>
      </c>
      <c r="C980">
        <v>5000</v>
      </c>
      <c r="D980">
        <v>5110</v>
      </c>
      <c r="E980" s="5">
        <f t="shared" si="61"/>
        <v>110</v>
      </c>
      <c r="F980" s="5">
        <f t="shared" si="62"/>
        <v>12100</v>
      </c>
      <c r="G980" s="6">
        <f>SQRT(SUM($F$2:F980)/A980)</f>
        <v>1166.4290625306971</v>
      </c>
      <c r="H980" s="5">
        <f t="shared" si="63"/>
        <v>1</v>
      </c>
      <c r="I980" s="5">
        <f t="shared" si="64"/>
        <v>1</v>
      </c>
    </row>
    <row r="981" spans="1:9">
      <c r="A981">
        <v>980</v>
      </c>
      <c r="B981">
        <v>8</v>
      </c>
      <c r="C981">
        <v>5000</v>
      </c>
      <c r="D981">
        <v>5226</v>
      </c>
      <c r="E981" s="5">
        <f t="shared" si="61"/>
        <v>226</v>
      </c>
      <c r="F981" s="5">
        <f t="shared" si="62"/>
        <v>51076</v>
      </c>
      <c r="G981" s="6">
        <f>SQRT(SUM($F$2:F981)/A981)</f>
        <v>1165.8561459550765</v>
      </c>
      <c r="H981" s="5">
        <f t="shared" si="63"/>
        <v>1</v>
      </c>
      <c r="I981" s="5">
        <f t="shared" si="64"/>
        <v>1</v>
      </c>
    </row>
    <row r="982" spans="1:9">
      <c r="A982">
        <v>981</v>
      </c>
      <c r="B982">
        <v>8</v>
      </c>
      <c r="C982">
        <v>5000</v>
      </c>
      <c r="D982">
        <v>5280</v>
      </c>
      <c r="E982" s="5">
        <f t="shared" si="61"/>
        <v>280</v>
      </c>
      <c r="F982" s="5">
        <f t="shared" si="62"/>
        <v>78400</v>
      </c>
      <c r="G982" s="6">
        <f>SQRT(SUM($F$2:F982)/A982)</f>
        <v>1165.2960677811182</v>
      </c>
      <c r="H982" s="5">
        <f t="shared" si="63"/>
        <v>1</v>
      </c>
      <c r="I982" s="5">
        <f t="shared" si="64"/>
        <v>1</v>
      </c>
    </row>
    <row r="983" spans="1:9">
      <c r="A983">
        <v>982</v>
      </c>
      <c r="B983">
        <v>7</v>
      </c>
      <c r="C983">
        <v>5000</v>
      </c>
      <c r="D983">
        <v>4694</v>
      </c>
      <c r="E983" s="5">
        <f t="shared" si="61"/>
        <v>306</v>
      </c>
      <c r="F983" s="5">
        <f t="shared" si="62"/>
        <v>93636</v>
      </c>
      <c r="G983" s="6">
        <f>SQRT(SUM($F$2:F983)/A983)</f>
        <v>1164.74352219924</v>
      </c>
      <c r="H983" s="5">
        <f t="shared" si="63"/>
        <v>1</v>
      </c>
      <c r="I983" s="5">
        <f t="shared" si="64"/>
        <v>1</v>
      </c>
    </row>
    <row r="984" spans="1:9">
      <c r="A984">
        <v>983</v>
      </c>
      <c r="B984">
        <v>8</v>
      </c>
      <c r="C984">
        <v>5000</v>
      </c>
      <c r="D984">
        <v>5588</v>
      </c>
      <c r="E984" s="5">
        <f t="shared" si="61"/>
        <v>588</v>
      </c>
      <c r="F984" s="5">
        <f t="shared" si="62"/>
        <v>345744</v>
      </c>
      <c r="G984" s="6">
        <f>SQRT(SUM($F$2:F984)/A984)</f>
        <v>1164.3019826556467</v>
      </c>
      <c r="H984" s="5">
        <f t="shared" si="63"/>
        <v>1</v>
      </c>
      <c r="I984" s="5">
        <f t="shared" si="64"/>
        <v>0</v>
      </c>
    </row>
    <row r="985" spans="1:9">
      <c r="A985">
        <v>984</v>
      </c>
      <c r="B985">
        <v>7</v>
      </c>
      <c r="C985">
        <v>5000</v>
      </c>
      <c r="D985">
        <v>4505</v>
      </c>
      <c r="E985" s="5">
        <f t="shared" si="61"/>
        <v>495</v>
      </c>
      <c r="F985" s="5">
        <f t="shared" si="62"/>
        <v>245025</v>
      </c>
      <c r="G985" s="6">
        <f>SQRT(SUM($F$2:F985)/A985)</f>
        <v>1163.8171998185521</v>
      </c>
      <c r="H985" s="5">
        <f t="shared" si="63"/>
        <v>1</v>
      </c>
      <c r="I985" s="5">
        <f t="shared" si="64"/>
        <v>1</v>
      </c>
    </row>
    <row r="986" spans="1:9">
      <c r="A986">
        <v>985</v>
      </c>
      <c r="B986">
        <v>8</v>
      </c>
      <c r="C986">
        <v>5000</v>
      </c>
      <c r="D986">
        <v>5444</v>
      </c>
      <c r="E986" s="5">
        <f t="shared" si="61"/>
        <v>444</v>
      </c>
      <c r="F986" s="5">
        <f t="shared" si="62"/>
        <v>197136</v>
      </c>
      <c r="G986" s="6">
        <f>SQRT(SUM($F$2:F986)/A986)</f>
        <v>1163.3123036124223</v>
      </c>
      <c r="H986" s="5">
        <f t="shared" si="63"/>
        <v>1</v>
      </c>
      <c r="I986" s="5">
        <f t="shared" si="64"/>
        <v>1</v>
      </c>
    </row>
    <row r="987" spans="1:9">
      <c r="A987">
        <v>986</v>
      </c>
      <c r="B987">
        <v>7</v>
      </c>
      <c r="C987">
        <v>5000</v>
      </c>
      <c r="D987">
        <v>4868</v>
      </c>
      <c r="E987" s="5">
        <f t="shared" si="61"/>
        <v>132</v>
      </c>
      <c r="F987" s="5">
        <f t="shared" si="62"/>
        <v>17424</v>
      </c>
      <c r="G987" s="6">
        <f>SQRT(SUM($F$2:F987)/A987)</f>
        <v>1162.729838126892</v>
      </c>
      <c r="H987" s="5">
        <f t="shared" si="63"/>
        <v>1</v>
      </c>
      <c r="I987" s="5">
        <f t="shared" si="64"/>
        <v>1</v>
      </c>
    </row>
    <row r="988" spans="1:9">
      <c r="A988">
        <v>987</v>
      </c>
      <c r="B988">
        <v>8</v>
      </c>
      <c r="C988">
        <v>5000</v>
      </c>
      <c r="D988">
        <v>5222</v>
      </c>
      <c r="E988" s="5">
        <f t="shared" si="61"/>
        <v>222</v>
      </c>
      <c r="F988" s="5">
        <f t="shared" si="62"/>
        <v>49284</v>
      </c>
      <c r="G988" s="6">
        <f>SQRT(SUM($F$2:F988)/A988)</f>
        <v>1162.1621497057599</v>
      </c>
      <c r="H988" s="5">
        <f t="shared" si="63"/>
        <v>1</v>
      </c>
      <c r="I988" s="5">
        <f t="shared" si="64"/>
        <v>1</v>
      </c>
    </row>
    <row r="989" spans="1:9">
      <c r="A989">
        <v>988</v>
      </c>
      <c r="B989">
        <v>7</v>
      </c>
      <c r="C989">
        <v>5000</v>
      </c>
      <c r="D989">
        <v>4701</v>
      </c>
      <c r="E989" s="5">
        <f t="shared" si="61"/>
        <v>299</v>
      </c>
      <c r="F989" s="5">
        <f t="shared" si="62"/>
        <v>89401</v>
      </c>
      <c r="G989" s="6">
        <f>SQRT(SUM($F$2:F989)/A989)</f>
        <v>1161.6128115196732</v>
      </c>
      <c r="H989" s="5">
        <f t="shared" si="63"/>
        <v>1</v>
      </c>
      <c r="I989" s="5">
        <f t="shared" si="64"/>
        <v>1</v>
      </c>
    </row>
    <row r="990" spans="1:9">
      <c r="A990">
        <v>989</v>
      </c>
      <c r="B990">
        <v>8</v>
      </c>
      <c r="C990">
        <v>5000</v>
      </c>
      <c r="D990">
        <v>5021</v>
      </c>
      <c r="E990" s="5">
        <f t="shared" si="61"/>
        <v>21</v>
      </c>
      <c r="F990" s="5">
        <f t="shared" si="62"/>
        <v>441</v>
      </c>
      <c r="G990" s="6">
        <f>SQRT(SUM($F$2:F990)/A990)</f>
        <v>1161.0255886902444</v>
      </c>
      <c r="H990" s="5">
        <f t="shared" si="63"/>
        <v>1</v>
      </c>
      <c r="I990" s="5">
        <f t="shared" si="64"/>
        <v>1</v>
      </c>
    </row>
    <row r="991" spans="1:9">
      <c r="A991">
        <v>990</v>
      </c>
      <c r="B991">
        <v>8</v>
      </c>
      <c r="C991">
        <v>5000</v>
      </c>
      <c r="D991">
        <v>4907</v>
      </c>
      <c r="E991" s="5">
        <f t="shared" si="61"/>
        <v>93</v>
      </c>
      <c r="F991" s="5">
        <f t="shared" si="62"/>
        <v>8649</v>
      </c>
      <c r="G991" s="6">
        <f>SQRT(SUM($F$2:F991)/A991)</f>
        <v>1160.4428282236734</v>
      </c>
      <c r="H991" s="5">
        <f t="shared" si="63"/>
        <v>1</v>
      </c>
      <c r="I991" s="5">
        <f t="shared" si="64"/>
        <v>1</v>
      </c>
    </row>
    <row r="992" spans="1:9">
      <c r="A992">
        <v>991</v>
      </c>
      <c r="B992">
        <v>8</v>
      </c>
      <c r="C992">
        <v>5000</v>
      </c>
      <c r="D992">
        <v>4978</v>
      </c>
      <c r="E992" s="5">
        <f t="shared" si="61"/>
        <v>22</v>
      </c>
      <c r="F992" s="5">
        <f t="shared" si="62"/>
        <v>484</v>
      </c>
      <c r="G992" s="6">
        <f>SQRT(SUM($F$2:F992)/A992)</f>
        <v>1159.8574001567108</v>
      </c>
      <c r="H992" s="5">
        <f t="shared" si="63"/>
        <v>1</v>
      </c>
      <c r="I992" s="5">
        <f t="shared" si="64"/>
        <v>1</v>
      </c>
    </row>
    <row r="993" spans="1:9">
      <c r="A993">
        <v>992</v>
      </c>
      <c r="B993">
        <v>8</v>
      </c>
      <c r="C993">
        <v>5000</v>
      </c>
      <c r="D993">
        <v>4863</v>
      </c>
      <c r="E993" s="5">
        <f t="shared" si="61"/>
        <v>137</v>
      </c>
      <c r="F993" s="5">
        <f t="shared" si="62"/>
        <v>18769</v>
      </c>
      <c r="G993" s="6">
        <f>SQRT(SUM($F$2:F993)/A993)</f>
        <v>1159.2808076248909</v>
      </c>
      <c r="H993" s="5">
        <f t="shared" si="63"/>
        <v>1</v>
      </c>
      <c r="I993" s="5">
        <f t="shared" si="64"/>
        <v>1</v>
      </c>
    </row>
    <row r="994" spans="1:9">
      <c r="A994">
        <v>993</v>
      </c>
      <c r="B994">
        <v>8</v>
      </c>
      <c r="C994">
        <v>5000</v>
      </c>
      <c r="D994">
        <v>5640</v>
      </c>
      <c r="E994" s="5">
        <f t="shared" si="61"/>
        <v>640</v>
      </c>
      <c r="F994" s="5">
        <f t="shared" si="62"/>
        <v>409600</v>
      </c>
      <c r="G994" s="6">
        <f>SQRT(SUM($F$2:F994)/A994)</f>
        <v>1158.8749166789109</v>
      </c>
      <c r="H994" s="5">
        <f t="shared" si="63"/>
        <v>1</v>
      </c>
      <c r="I994" s="5">
        <f t="shared" si="64"/>
        <v>0</v>
      </c>
    </row>
    <row r="995" spans="1:9">
      <c r="A995">
        <v>994</v>
      </c>
      <c r="B995">
        <v>7</v>
      </c>
      <c r="C995">
        <v>5000</v>
      </c>
      <c r="D995">
        <v>5062</v>
      </c>
      <c r="E995" s="5">
        <f t="shared" si="61"/>
        <v>62</v>
      </c>
      <c r="F995" s="5">
        <f t="shared" si="62"/>
        <v>3844</v>
      </c>
      <c r="G995" s="6">
        <f>SQRT(SUM($F$2:F995)/A995)</f>
        <v>1158.2935042778724</v>
      </c>
      <c r="H995" s="5">
        <f t="shared" si="63"/>
        <v>1</v>
      </c>
      <c r="I995" s="5">
        <f t="shared" si="64"/>
        <v>1</v>
      </c>
    </row>
    <row r="996" spans="1:9">
      <c r="A996">
        <v>995</v>
      </c>
      <c r="B996">
        <v>8</v>
      </c>
      <c r="C996">
        <v>5000</v>
      </c>
      <c r="D996">
        <v>5190</v>
      </c>
      <c r="E996" s="5">
        <f t="shared" si="61"/>
        <v>190</v>
      </c>
      <c r="F996" s="5">
        <f t="shared" si="62"/>
        <v>36100</v>
      </c>
      <c r="G996" s="6">
        <f>SQRT(SUM($F$2:F996)/A996)</f>
        <v>1157.7269702690883</v>
      </c>
      <c r="H996" s="5">
        <f t="shared" si="63"/>
        <v>1</v>
      </c>
      <c r="I996" s="5">
        <f t="shared" si="64"/>
        <v>1</v>
      </c>
    </row>
    <row r="997" spans="1:9">
      <c r="A997">
        <v>996</v>
      </c>
      <c r="B997">
        <v>7</v>
      </c>
      <c r="C997">
        <v>5000</v>
      </c>
      <c r="D997">
        <v>4142</v>
      </c>
      <c r="E997" s="5">
        <f t="shared" si="61"/>
        <v>858</v>
      </c>
      <c r="F997" s="5">
        <f t="shared" si="62"/>
        <v>736164</v>
      </c>
      <c r="G997" s="6">
        <f>SQRT(SUM($F$2:F997)/A997)</f>
        <v>1157.4649642966724</v>
      </c>
      <c r="H997" s="5">
        <f t="shared" si="63"/>
        <v>1</v>
      </c>
      <c r="I997" s="5">
        <f t="shared" si="64"/>
        <v>0</v>
      </c>
    </row>
    <row r="998" spans="1:9">
      <c r="A998">
        <v>997</v>
      </c>
      <c r="B998">
        <v>9</v>
      </c>
      <c r="C998">
        <v>5000</v>
      </c>
      <c r="D998">
        <v>5625</v>
      </c>
      <c r="E998" s="5">
        <f t="shared" si="61"/>
        <v>625</v>
      </c>
      <c r="F998" s="5">
        <f t="shared" si="62"/>
        <v>390625</v>
      </c>
      <c r="G998" s="6">
        <f>SQRT(SUM($F$2:F998)/A998)</f>
        <v>1157.053666673542</v>
      </c>
      <c r="H998" s="5">
        <f t="shared" si="63"/>
        <v>1</v>
      </c>
      <c r="I998" s="5">
        <f t="shared" si="64"/>
        <v>0</v>
      </c>
    </row>
    <row r="999" spans="1:9">
      <c r="A999">
        <v>998</v>
      </c>
      <c r="B999">
        <v>7</v>
      </c>
      <c r="C999">
        <v>5000</v>
      </c>
      <c r="D999">
        <v>4300</v>
      </c>
      <c r="E999" s="5">
        <f t="shared" si="61"/>
        <v>700</v>
      </c>
      <c r="F999" s="5">
        <f t="shared" si="62"/>
        <v>490000</v>
      </c>
      <c r="G999" s="6">
        <f>SQRT(SUM($F$2:F999)/A999)</f>
        <v>1156.6860911357298</v>
      </c>
      <c r="H999" s="5">
        <f t="shared" si="63"/>
        <v>1</v>
      </c>
      <c r="I999" s="5">
        <f t="shared" si="64"/>
        <v>0</v>
      </c>
    </row>
    <row r="1000" spans="1:9">
      <c r="A1000">
        <v>999</v>
      </c>
      <c r="B1000">
        <v>9</v>
      </c>
      <c r="C1000">
        <v>5000</v>
      </c>
      <c r="D1000">
        <v>5455</v>
      </c>
      <c r="E1000" s="5">
        <f t="shared" si="61"/>
        <v>455</v>
      </c>
      <c r="F1000" s="5">
        <f t="shared" si="62"/>
        <v>207025</v>
      </c>
      <c r="G1000" s="6">
        <f>SQRT(SUM($F$2:F1000)/A1000)</f>
        <v>1156.1966457673554</v>
      </c>
      <c r="H1000" s="5">
        <f t="shared" si="63"/>
        <v>1</v>
      </c>
      <c r="I1000" s="5">
        <f t="shared" si="64"/>
        <v>1</v>
      </c>
    </row>
    <row r="1001" spans="1:9">
      <c r="A1001">
        <v>1000</v>
      </c>
      <c r="B1001">
        <v>7</v>
      </c>
      <c r="C1001">
        <v>5000</v>
      </c>
      <c r="D1001">
        <v>4211</v>
      </c>
      <c r="E1001" s="5">
        <f t="shared" si="61"/>
        <v>789</v>
      </c>
      <c r="F1001" s="5">
        <f t="shared" si="62"/>
        <v>622521</v>
      </c>
      <c r="G1001" s="6">
        <f>SQRT(SUM($F$2:F1001)/A1001)</f>
        <v>1155.8877168652673</v>
      </c>
      <c r="H1001" s="5">
        <f t="shared" si="63"/>
        <v>1</v>
      </c>
      <c r="I1001" s="5">
        <f t="shared" si="64"/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topLeftCell="A990" workbookViewId="0">
      <selection activeCell="E1001" sqref="E3:I1001"/>
    </sheetView>
  </sheetViews>
  <sheetFormatPr defaultRowHeight="14.5"/>
  <sheetData>
    <row r="1" spans="1:9" ht="43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</row>
    <row r="2" spans="1:9">
      <c r="A2">
        <v>1</v>
      </c>
      <c r="B2">
        <v>1</v>
      </c>
      <c r="C2">
        <v>5000</v>
      </c>
      <c r="D2">
        <v>1229</v>
      </c>
      <c r="E2" s="5">
        <f>ABS(C2-D2)</f>
        <v>3771</v>
      </c>
      <c r="F2" s="5">
        <f>POWER(E2,2)</f>
        <v>14220441</v>
      </c>
      <c r="G2" s="6">
        <f>SQRT(SUM($F$2:F2)/A2)</f>
        <v>3771</v>
      </c>
      <c r="H2" s="5">
        <f t="shared" ref="H2" si="0">IF(ABS(E2)/C2&gt;0.2,0,1)</f>
        <v>0</v>
      </c>
      <c r="I2" s="5">
        <f>IF(ABS(E2)/C2&gt;0.1,0,1)</f>
        <v>0</v>
      </c>
    </row>
    <row r="3" spans="1:9">
      <c r="A3">
        <v>2</v>
      </c>
      <c r="B3">
        <v>5</v>
      </c>
      <c r="C3">
        <v>5000</v>
      </c>
      <c r="D3">
        <v>3560</v>
      </c>
      <c r="E3" s="5">
        <f t="shared" ref="E3:E66" si="1">ABS(C3-D3)</f>
        <v>1440</v>
      </c>
      <c r="F3" s="5">
        <f t="shared" ref="F3:F66" si="2">POWER(E3,2)</f>
        <v>2073600</v>
      </c>
      <c r="G3" s="6">
        <f>SQRT(SUM($F$2:F3)/A3)</f>
        <v>2854.2986003570122</v>
      </c>
      <c r="H3" s="5">
        <f t="shared" ref="H3:H66" si="3">IF(ABS(E3)/C3&gt;0.2,0,1)</f>
        <v>0</v>
      </c>
      <c r="I3" s="5">
        <f t="shared" ref="I3:I66" si="4">IF(ABS(E3)/C3&gt;0.1,0,1)</f>
        <v>0</v>
      </c>
    </row>
    <row r="4" spans="1:9">
      <c r="A4">
        <v>3</v>
      </c>
      <c r="B4">
        <v>3</v>
      </c>
      <c r="C4">
        <v>5000</v>
      </c>
      <c r="D4">
        <v>2319</v>
      </c>
      <c r="E4" s="5">
        <f t="shared" si="1"/>
        <v>2681</v>
      </c>
      <c r="F4" s="5">
        <f t="shared" si="2"/>
        <v>7187761</v>
      </c>
      <c r="G4" s="6">
        <f>SQRT(SUM($F$2:F4)/A4)</f>
        <v>2797.7253856183479</v>
      </c>
      <c r="H4" s="5">
        <f t="shared" si="3"/>
        <v>0</v>
      </c>
      <c r="I4" s="5">
        <f t="shared" si="4"/>
        <v>0</v>
      </c>
    </row>
    <row r="5" spans="1:9">
      <c r="A5">
        <v>4</v>
      </c>
      <c r="B5">
        <v>5</v>
      </c>
      <c r="C5">
        <v>5000</v>
      </c>
      <c r="D5">
        <v>3169</v>
      </c>
      <c r="E5" s="5">
        <f t="shared" si="1"/>
        <v>1831</v>
      </c>
      <c r="F5" s="5">
        <f t="shared" si="2"/>
        <v>3352561</v>
      </c>
      <c r="G5" s="6">
        <f>SQRT(SUM($F$2:F5)/A5)</f>
        <v>2590.094737649571</v>
      </c>
      <c r="H5" s="5">
        <f t="shared" si="3"/>
        <v>0</v>
      </c>
      <c r="I5" s="5">
        <f t="shared" si="4"/>
        <v>0</v>
      </c>
    </row>
    <row r="6" spans="1:9">
      <c r="A6">
        <v>5</v>
      </c>
      <c r="B6">
        <v>5</v>
      </c>
      <c r="C6">
        <v>5000</v>
      </c>
      <c r="D6">
        <v>3957</v>
      </c>
      <c r="E6" s="5">
        <f t="shared" si="1"/>
        <v>1043</v>
      </c>
      <c r="F6" s="5">
        <f t="shared" si="2"/>
        <v>1087849</v>
      </c>
      <c r="G6" s="6">
        <f>SQRT(SUM($F$2:F6)/A6)</f>
        <v>2363.1424840665027</v>
      </c>
      <c r="H6" s="5">
        <f t="shared" si="3"/>
        <v>0</v>
      </c>
      <c r="I6" s="5">
        <f t="shared" si="4"/>
        <v>0</v>
      </c>
    </row>
    <row r="7" spans="1:9">
      <c r="A7">
        <v>6</v>
      </c>
      <c r="B7">
        <v>4</v>
      </c>
      <c r="C7">
        <v>5000</v>
      </c>
      <c r="D7">
        <v>3175</v>
      </c>
      <c r="E7" s="5">
        <f t="shared" si="1"/>
        <v>1825</v>
      </c>
      <c r="F7" s="5">
        <f t="shared" si="2"/>
        <v>3330625</v>
      </c>
      <c r="G7" s="6">
        <f>SQRT(SUM($F$2:F7)/A7)</f>
        <v>2282.2809131802042</v>
      </c>
      <c r="H7" s="5">
        <f t="shared" si="3"/>
        <v>0</v>
      </c>
      <c r="I7" s="5">
        <f t="shared" si="4"/>
        <v>0</v>
      </c>
    </row>
    <row r="8" spans="1:9">
      <c r="A8">
        <v>7</v>
      </c>
      <c r="B8">
        <v>5</v>
      </c>
      <c r="C8">
        <v>5000</v>
      </c>
      <c r="D8">
        <v>4098</v>
      </c>
      <c r="E8" s="5">
        <f t="shared" si="1"/>
        <v>902</v>
      </c>
      <c r="F8" s="5">
        <f t="shared" si="2"/>
        <v>813604</v>
      </c>
      <c r="G8" s="6">
        <f>SQRT(SUM($F$2:F8)/A8)</f>
        <v>2140.3084223674732</v>
      </c>
      <c r="H8" s="5">
        <f t="shared" si="3"/>
        <v>1</v>
      </c>
      <c r="I8" s="5">
        <f t="shared" si="4"/>
        <v>0</v>
      </c>
    </row>
    <row r="9" spans="1:9">
      <c r="A9">
        <v>8</v>
      </c>
      <c r="B9">
        <v>5</v>
      </c>
      <c r="C9">
        <v>5000</v>
      </c>
      <c r="D9">
        <v>3692</v>
      </c>
      <c r="E9" s="5">
        <f t="shared" si="1"/>
        <v>1308</v>
      </c>
      <c r="F9" s="5">
        <f t="shared" si="2"/>
        <v>1710864</v>
      </c>
      <c r="G9" s="6">
        <f>SQRT(SUM($F$2:F9)/A9)</f>
        <v>2054.7902873529456</v>
      </c>
      <c r="H9" s="5">
        <f t="shared" si="3"/>
        <v>0</v>
      </c>
      <c r="I9" s="5">
        <f t="shared" si="4"/>
        <v>0</v>
      </c>
    </row>
    <row r="10" spans="1:9">
      <c r="A10">
        <v>9</v>
      </c>
      <c r="B10">
        <v>5</v>
      </c>
      <c r="C10">
        <v>5000</v>
      </c>
      <c r="D10">
        <v>3775</v>
      </c>
      <c r="E10" s="5">
        <f t="shared" si="1"/>
        <v>1225</v>
      </c>
      <c r="F10" s="5">
        <f t="shared" si="2"/>
        <v>1500625</v>
      </c>
      <c r="G10" s="6">
        <f>SQRT(SUM($F$2:F10)/A10)</f>
        <v>1979.8409026990023</v>
      </c>
      <c r="H10" s="5">
        <f t="shared" si="3"/>
        <v>0</v>
      </c>
      <c r="I10" s="5">
        <f t="shared" si="4"/>
        <v>0</v>
      </c>
    </row>
    <row r="11" spans="1:9">
      <c r="A11">
        <v>10</v>
      </c>
      <c r="B11">
        <v>6</v>
      </c>
      <c r="C11">
        <v>5000</v>
      </c>
      <c r="D11">
        <v>3900</v>
      </c>
      <c r="E11" s="5">
        <f t="shared" si="1"/>
        <v>1100</v>
      </c>
      <c r="F11" s="5">
        <f t="shared" si="2"/>
        <v>1210000</v>
      </c>
      <c r="G11" s="6">
        <f>SQRT(SUM($F$2:F11)/A11)</f>
        <v>1910.181404997965</v>
      </c>
      <c r="H11" s="5">
        <f t="shared" si="3"/>
        <v>0</v>
      </c>
      <c r="I11" s="5">
        <f t="shared" si="4"/>
        <v>0</v>
      </c>
    </row>
    <row r="12" spans="1:9">
      <c r="A12">
        <v>11</v>
      </c>
      <c r="B12">
        <v>6</v>
      </c>
      <c r="C12">
        <v>5000</v>
      </c>
      <c r="D12">
        <v>4573</v>
      </c>
      <c r="E12" s="5">
        <f t="shared" si="1"/>
        <v>427</v>
      </c>
      <c r="F12" s="5">
        <f t="shared" si="2"/>
        <v>182329</v>
      </c>
      <c r="G12" s="6">
        <f>SQRT(SUM($F$2:F12)/A12)</f>
        <v>1825.8312926146571</v>
      </c>
      <c r="H12" s="5">
        <f t="shared" si="3"/>
        <v>1</v>
      </c>
      <c r="I12" s="5">
        <f t="shared" si="4"/>
        <v>1</v>
      </c>
    </row>
    <row r="13" spans="1:9">
      <c r="A13">
        <v>12</v>
      </c>
      <c r="B13">
        <v>5</v>
      </c>
      <c r="C13">
        <v>5000</v>
      </c>
      <c r="D13">
        <v>3902</v>
      </c>
      <c r="E13" s="5">
        <f t="shared" si="1"/>
        <v>1098</v>
      </c>
      <c r="F13" s="5">
        <f t="shared" si="2"/>
        <v>1205604</v>
      </c>
      <c r="G13" s="6">
        <f>SQRT(SUM($F$2:F13)/A13)</f>
        <v>1776.6040404847295</v>
      </c>
      <c r="H13" s="5">
        <f t="shared" si="3"/>
        <v>0</v>
      </c>
      <c r="I13" s="5">
        <f t="shared" si="4"/>
        <v>0</v>
      </c>
    </row>
    <row r="14" spans="1:9">
      <c r="A14">
        <v>13</v>
      </c>
      <c r="B14">
        <v>6</v>
      </c>
      <c r="C14">
        <v>5000</v>
      </c>
      <c r="D14">
        <v>4036</v>
      </c>
      <c r="E14" s="5">
        <f t="shared" si="1"/>
        <v>964</v>
      </c>
      <c r="F14" s="5">
        <f t="shared" si="2"/>
        <v>929296</v>
      </c>
      <c r="G14" s="6">
        <f>SQRT(SUM($F$2:F14)/A14)</f>
        <v>1727.7187938924642</v>
      </c>
      <c r="H14" s="5">
        <f t="shared" si="3"/>
        <v>1</v>
      </c>
      <c r="I14" s="5">
        <f t="shared" si="4"/>
        <v>0</v>
      </c>
    </row>
    <row r="15" spans="1:9">
      <c r="A15">
        <v>14</v>
      </c>
      <c r="B15">
        <v>6</v>
      </c>
      <c r="C15">
        <v>5000</v>
      </c>
      <c r="D15">
        <v>4147</v>
      </c>
      <c r="E15" s="5">
        <f t="shared" si="1"/>
        <v>853</v>
      </c>
      <c r="F15" s="5">
        <f t="shared" si="2"/>
        <v>727609</v>
      </c>
      <c r="G15" s="6">
        <f>SQRT(SUM($F$2:F15)/A15)</f>
        <v>1680.407433587802</v>
      </c>
      <c r="H15" s="5">
        <f t="shared" si="3"/>
        <v>1</v>
      </c>
      <c r="I15" s="5">
        <f t="shared" si="4"/>
        <v>0</v>
      </c>
    </row>
    <row r="16" spans="1:9">
      <c r="A16">
        <v>15</v>
      </c>
      <c r="B16">
        <v>7</v>
      </c>
      <c r="C16">
        <v>5000</v>
      </c>
      <c r="D16">
        <v>5251</v>
      </c>
      <c r="E16" s="5">
        <f t="shared" si="1"/>
        <v>251</v>
      </c>
      <c r="F16" s="5">
        <f t="shared" si="2"/>
        <v>63001</v>
      </c>
      <c r="G16" s="6">
        <f>SQRT(SUM($F$2:F16)/A16)</f>
        <v>1624.7208785921762</v>
      </c>
      <c r="H16" s="5">
        <f t="shared" si="3"/>
        <v>1</v>
      </c>
      <c r="I16" s="5">
        <f t="shared" si="4"/>
        <v>1</v>
      </c>
    </row>
    <row r="17" spans="1:9">
      <c r="A17">
        <v>16</v>
      </c>
      <c r="B17">
        <v>5</v>
      </c>
      <c r="C17">
        <v>5000</v>
      </c>
      <c r="D17">
        <v>3521</v>
      </c>
      <c r="E17" s="5">
        <f t="shared" si="1"/>
        <v>1479</v>
      </c>
      <c r="F17" s="5">
        <f t="shared" si="2"/>
        <v>2187441</v>
      </c>
      <c r="G17" s="6">
        <f>SQRT(SUM($F$2:F17)/A17)</f>
        <v>1615.9983369422137</v>
      </c>
      <c r="H17" s="5">
        <f t="shared" si="3"/>
        <v>0</v>
      </c>
      <c r="I17" s="5">
        <f t="shared" si="4"/>
        <v>0</v>
      </c>
    </row>
    <row r="18" spans="1:9">
      <c r="A18">
        <v>17</v>
      </c>
      <c r="B18">
        <v>8</v>
      </c>
      <c r="C18">
        <v>5000</v>
      </c>
      <c r="D18">
        <v>4773</v>
      </c>
      <c r="E18" s="5">
        <f t="shared" si="1"/>
        <v>227</v>
      </c>
      <c r="F18" s="5">
        <f t="shared" si="2"/>
        <v>51529</v>
      </c>
      <c r="G18" s="6">
        <f>SQRT(SUM($F$2:F18)/A18)</f>
        <v>1568.7150792926038</v>
      </c>
      <c r="H18" s="5">
        <f t="shared" si="3"/>
        <v>1</v>
      </c>
      <c r="I18" s="5">
        <f t="shared" si="4"/>
        <v>1</v>
      </c>
    </row>
    <row r="19" spans="1:9">
      <c r="A19">
        <v>18</v>
      </c>
      <c r="B19">
        <v>6</v>
      </c>
      <c r="C19">
        <v>5000</v>
      </c>
      <c r="D19">
        <v>4646</v>
      </c>
      <c r="E19" s="5">
        <f t="shared" si="1"/>
        <v>354</v>
      </c>
      <c r="F19" s="5">
        <f t="shared" si="2"/>
        <v>125316</v>
      </c>
      <c r="G19" s="6">
        <f>SQRT(SUM($F$2:F19)/A19)</f>
        <v>1526.7986660547836</v>
      </c>
      <c r="H19" s="5">
        <f t="shared" si="3"/>
        <v>1</v>
      </c>
      <c r="I19" s="5">
        <f t="shared" si="4"/>
        <v>1</v>
      </c>
    </row>
    <row r="20" spans="1:9">
      <c r="A20">
        <v>19</v>
      </c>
      <c r="B20">
        <v>7</v>
      </c>
      <c r="C20">
        <v>5000</v>
      </c>
      <c r="D20">
        <v>4813</v>
      </c>
      <c r="E20" s="5">
        <f t="shared" si="1"/>
        <v>187</v>
      </c>
      <c r="F20" s="5">
        <f t="shared" si="2"/>
        <v>34969</v>
      </c>
      <c r="G20" s="6">
        <f>SQRT(SUM($F$2:F20)/A20)</f>
        <v>1486.695806495946</v>
      </c>
      <c r="H20" s="5">
        <f t="shared" si="3"/>
        <v>1</v>
      </c>
      <c r="I20" s="5">
        <f t="shared" si="4"/>
        <v>1</v>
      </c>
    </row>
    <row r="21" spans="1:9">
      <c r="A21">
        <v>20</v>
      </c>
      <c r="B21">
        <v>6</v>
      </c>
      <c r="C21">
        <v>5000</v>
      </c>
      <c r="D21">
        <v>4948</v>
      </c>
      <c r="E21" s="5">
        <f t="shared" si="1"/>
        <v>52</v>
      </c>
      <c r="F21" s="5">
        <f t="shared" si="2"/>
        <v>2704</v>
      </c>
      <c r="G21" s="6">
        <f>SQRT(SUM($F$2:F21)/A21)</f>
        <v>1449.0984783650833</v>
      </c>
      <c r="H21" s="5">
        <f t="shared" si="3"/>
        <v>1</v>
      </c>
      <c r="I21" s="5">
        <f t="shared" si="4"/>
        <v>1</v>
      </c>
    </row>
    <row r="22" spans="1:9">
      <c r="A22">
        <v>21</v>
      </c>
      <c r="B22">
        <v>6</v>
      </c>
      <c r="C22">
        <v>5000</v>
      </c>
      <c r="D22">
        <v>4423</v>
      </c>
      <c r="E22" s="5">
        <f t="shared" si="1"/>
        <v>577</v>
      </c>
      <c r="F22" s="5">
        <f t="shared" si="2"/>
        <v>332929</v>
      </c>
      <c r="G22" s="6">
        <f>SQRT(SUM($F$2:F22)/A22)</f>
        <v>1419.7695487044971</v>
      </c>
      <c r="H22" s="5">
        <f t="shared" si="3"/>
        <v>1</v>
      </c>
      <c r="I22" s="5">
        <f t="shared" si="4"/>
        <v>0</v>
      </c>
    </row>
    <row r="23" spans="1:9">
      <c r="A23">
        <v>22</v>
      </c>
      <c r="B23">
        <v>7</v>
      </c>
      <c r="C23">
        <v>5000</v>
      </c>
      <c r="D23">
        <v>4797</v>
      </c>
      <c r="E23" s="5">
        <f t="shared" si="1"/>
        <v>203</v>
      </c>
      <c r="F23" s="5">
        <f t="shared" si="2"/>
        <v>41209</v>
      </c>
      <c r="G23" s="6">
        <f>SQRT(SUM($F$2:F23)/A23)</f>
        <v>1387.8018263033484</v>
      </c>
      <c r="H23" s="5">
        <f t="shared" si="3"/>
        <v>1</v>
      </c>
      <c r="I23" s="5">
        <f t="shared" si="4"/>
        <v>1</v>
      </c>
    </row>
    <row r="24" spans="1:9">
      <c r="A24">
        <v>23</v>
      </c>
      <c r="B24">
        <v>7</v>
      </c>
      <c r="C24">
        <v>5000</v>
      </c>
      <c r="D24">
        <v>4943</v>
      </c>
      <c r="E24" s="5">
        <f t="shared" si="1"/>
        <v>57</v>
      </c>
      <c r="F24" s="5">
        <f t="shared" si="2"/>
        <v>3249</v>
      </c>
      <c r="G24" s="6">
        <f>SQRT(SUM($F$2:F24)/A24)</f>
        <v>1357.3489987279713</v>
      </c>
      <c r="H24" s="5">
        <f t="shared" si="3"/>
        <v>1</v>
      </c>
      <c r="I24" s="5">
        <f t="shared" si="4"/>
        <v>1</v>
      </c>
    </row>
    <row r="25" spans="1:9">
      <c r="A25">
        <v>24</v>
      </c>
      <c r="B25">
        <v>7</v>
      </c>
      <c r="C25">
        <v>5000</v>
      </c>
      <c r="D25">
        <v>5139</v>
      </c>
      <c r="E25" s="5">
        <f t="shared" si="1"/>
        <v>139</v>
      </c>
      <c r="F25" s="5">
        <f t="shared" si="2"/>
        <v>19321</v>
      </c>
      <c r="G25" s="6">
        <f>SQRT(SUM($F$2:F25)/A25)</f>
        <v>1329.0729225040036</v>
      </c>
      <c r="H25" s="5">
        <f t="shared" si="3"/>
        <v>1</v>
      </c>
      <c r="I25" s="5">
        <f t="shared" si="4"/>
        <v>1</v>
      </c>
    </row>
    <row r="26" spans="1:9">
      <c r="A26">
        <v>25</v>
      </c>
      <c r="B26">
        <v>6</v>
      </c>
      <c r="C26">
        <v>5000</v>
      </c>
      <c r="D26">
        <v>3964</v>
      </c>
      <c r="E26" s="5">
        <f t="shared" si="1"/>
        <v>1036</v>
      </c>
      <c r="F26" s="5">
        <f t="shared" si="2"/>
        <v>1073296</v>
      </c>
      <c r="G26" s="6">
        <f>SQRT(SUM($F$2:F26)/A26)</f>
        <v>1318.6012589103652</v>
      </c>
      <c r="H26" s="5">
        <f t="shared" si="3"/>
        <v>0</v>
      </c>
      <c r="I26" s="5">
        <f t="shared" si="4"/>
        <v>0</v>
      </c>
    </row>
    <row r="27" spans="1:9">
      <c r="A27">
        <v>26</v>
      </c>
      <c r="B27">
        <v>8</v>
      </c>
      <c r="C27">
        <v>5000</v>
      </c>
      <c r="D27">
        <v>4895</v>
      </c>
      <c r="E27" s="5">
        <f t="shared" si="1"/>
        <v>105</v>
      </c>
      <c r="F27" s="5">
        <f t="shared" si="2"/>
        <v>11025</v>
      </c>
      <c r="G27" s="6">
        <f>SQRT(SUM($F$2:F27)/A27)</f>
        <v>1293.1588783345164</v>
      </c>
      <c r="H27" s="5">
        <f t="shared" si="3"/>
        <v>1</v>
      </c>
      <c r="I27" s="5">
        <f t="shared" si="4"/>
        <v>1</v>
      </c>
    </row>
    <row r="28" spans="1:9">
      <c r="A28">
        <v>27</v>
      </c>
      <c r="B28">
        <v>7</v>
      </c>
      <c r="C28">
        <v>5000</v>
      </c>
      <c r="D28">
        <v>4332</v>
      </c>
      <c r="E28" s="5">
        <f t="shared" si="1"/>
        <v>668</v>
      </c>
      <c r="F28" s="5">
        <f t="shared" si="2"/>
        <v>446224</v>
      </c>
      <c r="G28" s="6">
        <f>SQRT(SUM($F$2:F28)/A28)</f>
        <v>1275.4807517748545</v>
      </c>
      <c r="H28" s="5">
        <f t="shared" si="3"/>
        <v>1</v>
      </c>
      <c r="I28" s="5">
        <f t="shared" si="4"/>
        <v>0</v>
      </c>
    </row>
    <row r="29" spans="1:9">
      <c r="A29">
        <v>28</v>
      </c>
      <c r="B29">
        <v>8</v>
      </c>
      <c r="C29">
        <v>5000</v>
      </c>
      <c r="D29">
        <v>5215</v>
      </c>
      <c r="E29" s="5">
        <f t="shared" si="1"/>
        <v>215</v>
      </c>
      <c r="F29" s="5">
        <f t="shared" si="2"/>
        <v>46225</v>
      </c>
      <c r="G29" s="6">
        <f>SQRT(SUM($F$2:F29)/A29)</f>
        <v>1253.1561013240587</v>
      </c>
      <c r="H29" s="5">
        <f t="shared" si="3"/>
        <v>1</v>
      </c>
      <c r="I29" s="5">
        <f t="shared" si="4"/>
        <v>1</v>
      </c>
    </row>
    <row r="30" spans="1:9">
      <c r="A30">
        <v>29</v>
      </c>
      <c r="B30">
        <v>7</v>
      </c>
      <c r="C30">
        <v>5000</v>
      </c>
      <c r="D30">
        <v>4444</v>
      </c>
      <c r="E30" s="5">
        <f t="shared" si="1"/>
        <v>556</v>
      </c>
      <c r="F30" s="5">
        <f t="shared" si="2"/>
        <v>309136</v>
      </c>
      <c r="G30" s="6">
        <f>SQRT(SUM($F$2:F30)/A30)</f>
        <v>1235.6813281860279</v>
      </c>
      <c r="H30" s="5">
        <f t="shared" si="3"/>
        <v>1</v>
      </c>
      <c r="I30" s="5">
        <f t="shared" si="4"/>
        <v>0</v>
      </c>
    </row>
    <row r="31" spans="1:9">
      <c r="A31">
        <v>30</v>
      </c>
      <c r="B31">
        <v>8</v>
      </c>
      <c r="C31">
        <v>5000</v>
      </c>
      <c r="D31">
        <v>5781</v>
      </c>
      <c r="E31" s="5">
        <f t="shared" si="1"/>
        <v>781</v>
      </c>
      <c r="F31" s="5">
        <f t="shared" si="2"/>
        <v>609961</v>
      </c>
      <c r="G31" s="6">
        <f>SQRT(SUM($F$2:F31)/A31)</f>
        <v>1223.2511734444947</v>
      </c>
      <c r="H31" s="5">
        <f t="shared" si="3"/>
        <v>1</v>
      </c>
      <c r="I31" s="5">
        <f t="shared" si="4"/>
        <v>0</v>
      </c>
    </row>
    <row r="32" spans="1:9">
      <c r="A32">
        <v>31</v>
      </c>
      <c r="B32">
        <v>6</v>
      </c>
      <c r="C32">
        <v>5000</v>
      </c>
      <c r="D32">
        <v>4228</v>
      </c>
      <c r="E32" s="5">
        <f t="shared" si="1"/>
        <v>772</v>
      </c>
      <c r="F32" s="5">
        <f t="shared" si="2"/>
        <v>595984</v>
      </c>
      <c r="G32" s="6">
        <f>SQRT(SUM($F$2:F32)/A32)</f>
        <v>1211.3214192133983</v>
      </c>
      <c r="H32" s="5">
        <f t="shared" si="3"/>
        <v>1</v>
      </c>
      <c r="I32" s="5">
        <f t="shared" si="4"/>
        <v>0</v>
      </c>
    </row>
    <row r="33" spans="1:9">
      <c r="A33">
        <v>32</v>
      </c>
      <c r="B33">
        <v>8</v>
      </c>
      <c r="C33">
        <v>5000</v>
      </c>
      <c r="D33">
        <v>5111</v>
      </c>
      <c r="E33" s="5">
        <f t="shared" si="1"/>
        <v>111</v>
      </c>
      <c r="F33" s="5">
        <f t="shared" si="2"/>
        <v>12321</v>
      </c>
      <c r="G33" s="6">
        <f>SQRT(SUM($F$2:F33)/A33)</f>
        <v>1192.4057614755138</v>
      </c>
      <c r="H33" s="5">
        <f t="shared" si="3"/>
        <v>1</v>
      </c>
      <c r="I33" s="5">
        <f t="shared" si="4"/>
        <v>1</v>
      </c>
    </row>
    <row r="34" spans="1:9">
      <c r="A34">
        <v>33</v>
      </c>
      <c r="B34">
        <v>7</v>
      </c>
      <c r="C34">
        <v>5000</v>
      </c>
      <c r="D34">
        <v>4507</v>
      </c>
      <c r="E34" s="5">
        <f t="shared" si="1"/>
        <v>493</v>
      </c>
      <c r="F34" s="5">
        <f t="shared" si="2"/>
        <v>243049</v>
      </c>
      <c r="G34" s="6">
        <f>SQRT(SUM($F$2:F34)/A34)</f>
        <v>1177.3320764261109</v>
      </c>
      <c r="H34" s="5">
        <f t="shared" si="3"/>
        <v>1</v>
      </c>
      <c r="I34" s="5">
        <f t="shared" si="4"/>
        <v>1</v>
      </c>
    </row>
    <row r="35" spans="1:9">
      <c r="A35">
        <v>34</v>
      </c>
      <c r="B35">
        <v>8</v>
      </c>
      <c r="C35">
        <v>5000</v>
      </c>
      <c r="D35">
        <v>5483</v>
      </c>
      <c r="E35" s="5">
        <f t="shared" si="1"/>
        <v>483</v>
      </c>
      <c r="F35" s="5">
        <f t="shared" si="2"/>
        <v>233289</v>
      </c>
      <c r="G35" s="6">
        <f>SQRT(SUM($F$2:F35)/A35)</f>
        <v>1162.8431941227705</v>
      </c>
      <c r="H35" s="5">
        <f t="shared" si="3"/>
        <v>1</v>
      </c>
      <c r="I35" s="5">
        <f t="shared" si="4"/>
        <v>1</v>
      </c>
    </row>
    <row r="36" spans="1:9">
      <c r="A36">
        <v>35</v>
      </c>
      <c r="B36">
        <v>7</v>
      </c>
      <c r="C36">
        <v>5000</v>
      </c>
      <c r="D36">
        <v>4394</v>
      </c>
      <c r="E36" s="5">
        <f t="shared" si="1"/>
        <v>606</v>
      </c>
      <c r="F36" s="5">
        <f t="shared" si="2"/>
        <v>367236</v>
      </c>
      <c r="G36" s="6">
        <f>SQRT(SUM($F$2:F36)/A36)</f>
        <v>1150.6790790038476</v>
      </c>
      <c r="H36" s="5">
        <f t="shared" si="3"/>
        <v>1</v>
      </c>
      <c r="I36" s="5">
        <f t="shared" si="4"/>
        <v>0</v>
      </c>
    </row>
    <row r="37" spans="1:9">
      <c r="A37">
        <v>36</v>
      </c>
      <c r="B37">
        <v>8</v>
      </c>
      <c r="C37">
        <v>5000</v>
      </c>
      <c r="D37">
        <v>5232</v>
      </c>
      <c r="E37" s="5">
        <f t="shared" si="1"/>
        <v>232</v>
      </c>
      <c r="F37" s="5">
        <f t="shared" si="2"/>
        <v>53824</v>
      </c>
      <c r="G37" s="6">
        <f>SQRT(SUM($F$2:F37)/A37)</f>
        <v>1135.2435617278102</v>
      </c>
      <c r="H37" s="5">
        <f t="shared" si="3"/>
        <v>1</v>
      </c>
      <c r="I37" s="5">
        <f t="shared" si="4"/>
        <v>1</v>
      </c>
    </row>
    <row r="38" spans="1:9">
      <c r="A38">
        <v>37</v>
      </c>
      <c r="B38">
        <v>7</v>
      </c>
      <c r="C38">
        <v>5000</v>
      </c>
      <c r="D38">
        <v>4247</v>
      </c>
      <c r="E38" s="5">
        <f t="shared" si="1"/>
        <v>753</v>
      </c>
      <c r="F38" s="5">
        <f t="shared" si="2"/>
        <v>567009</v>
      </c>
      <c r="G38" s="6">
        <f>SQRT(SUM($F$2:F38)/A38)</f>
        <v>1126.6191351453585</v>
      </c>
      <c r="H38" s="5">
        <f t="shared" si="3"/>
        <v>1</v>
      </c>
      <c r="I38" s="5">
        <f t="shared" si="4"/>
        <v>0</v>
      </c>
    </row>
    <row r="39" spans="1:9">
      <c r="A39">
        <v>38</v>
      </c>
      <c r="B39">
        <v>8</v>
      </c>
      <c r="C39">
        <v>5000</v>
      </c>
      <c r="D39">
        <v>4693</v>
      </c>
      <c r="E39" s="5">
        <f t="shared" si="1"/>
        <v>307</v>
      </c>
      <c r="F39" s="5">
        <f t="shared" si="2"/>
        <v>94249</v>
      </c>
      <c r="G39" s="6">
        <f>SQRT(SUM($F$2:F39)/A39)</f>
        <v>1112.8113284072817</v>
      </c>
      <c r="H39" s="5">
        <f t="shared" si="3"/>
        <v>1</v>
      </c>
      <c r="I39" s="5">
        <f t="shared" si="4"/>
        <v>1</v>
      </c>
    </row>
    <row r="40" spans="1:9">
      <c r="A40">
        <v>39</v>
      </c>
      <c r="B40">
        <v>8</v>
      </c>
      <c r="C40">
        <v>5000</v>
      </c>
      <c r="D40">
        <v>4296</v>
      </c>
      <c r="E40" s="5">
        <f t="shared" si="1"/>
        <v>704</v>
      </c>
      <c r="F40" s="5">
        <f t="shared" si="2"/>
        <v>495616</v>
      </c>
      <c r="G40" s="6">
        <f>SQRT(SUM($F$2:F40)/A40)</f>
        <v>1104.2212710252486</v>
      </c>
      <c r="H40" s="5">
        <f t="shared" si="3"/>
        <v>1</v>
      </c>
      <c r="I40" s="5">
        <f t="shared" si="4"/>
        <v>0</v>
      </c>
    </row>
    <row r="41" spans="1:9">
      <c r="A41">
        <v>40</v>
      </c>
      <c r="B41">
        <v>8</v>
      </c>
      <c r="C41">
        <v>5000</v>
      </c>
      <c r="D41">
        <v>4806</v>
      </c>
      <c r="E41" s="5">
        <f t="shared" si="1"/>
        <v>194</v>
      </c>
      <c r="F41" s="5">
        <f t="shared" si="2"/>
        <v>37636</v>
      </c>
      <c r="G41" s="6">
        <f>SQRT(SUM($F$2:F41)/A41)</f>
        <v>1090.7625314430268</v>
      </c>
      <c r="H41" s="5">
        <f t="shared" si="3"/>
        <v>1</v>
      </c>
      <c r="I41" s="5">
        <f t="shared" si="4"/>
        <v>1</v>
      </c>
    </row>
    <row r="42" spans="1:9">
      <c r="A42">
        <v>41</v>
      </c>
      <c r="B42">
        <v>8</v>
      </c>
      <c r="C42">
        <v>5000</v>
      </c>
      <c r="D42">
        <v>5277</v>
      </c>
      <c r="E42" s="5">
        <f t="shared" si="1"/>
        <v>277</v>
      </c>
      <c r="F42" s="5">
        <f t="shared" si="2"/>
        <v>76729</v>
      </c>
      <c r="G42" s="6">
        <f>SQRT(SUM($F$2:F42)/A42)</f>
        <v>1078.2466006008631</v>
      </c>
      <c r="H42" s="5">
        <f t="shared" si="3"/>
        <v>1</v>
      </c>
      <c r="I42" s="5">
        <f t="shared" si="4"/>
        <v>1</v>
      </c>
    </row>
    <row r="43" spans="1:9">
      <c r="A43">
        <v>42</v>
      </c>
      <c r="B43">
        <v>7</v>
      </c>
      <c r="C43">
        <v>5000</v>
      </c>
      <c r="D43">
        <v>5140</v>
      </c>
      <c r="E43" s="5">
        <f t="shared" si="1"/>
        <v>140</v>
      </c>
      <c r="F43" s="5">
        <f t="shared" si="2"/>
        <v>19600</v>
      </c>
      <c r="G43" s="6">
        <f>SQRT(SUM($F$2:F43)/A43)</f>
        <v>1065.5520031554402</v>
      </c>
      <c r="H43" s="5">
        <f t="shared" si="3"/>
        <v>1</v>
      </c>
      <c r="I43" s="5">
        <f t="shared" si="4"/>
        <v>1</v>
      </c>
    </row>
    <row r="44" spans="1:9">
      <c r="A44">
        <v>43</v>
      </c>
      <c r="B44">
        <v>7</v>
      </c>
      <c r="C44">
        <v>5000</v>
      </c>
      <c r="D44">
        <v>4755</v>
      </c>
      <c r="E44" s="5">
        <f t="shared" si="1"/>
        <v>245</v>
      </c>
      <c r="F44" s="5">
        <f t="shared" si="2"/>
        <v>60025</v>
      </c>
      <c r="G44" s="6">
        <f>SQRT(SUM($F$2:F44)/A44)</f>
        <v>1053.7515483174368</v>
      </c>
      <c r="H44" s="5">
        <f t="shared" si="3"/>
        <v>1</v>
      </c>
      <c r="I44" s="5">
        <f t="shared" si="4"/>
        <v>1</v>
      </c>
    </row>
    <row r="45" spans="1:9">
      <c r="A45">
        <v>44</v>
      </c>
      <c r="B45">
        <v>8</v>
      </c>
      <c r="C45">
        <v>5000</v>
      </c>
      <c r="D45">
        <v>5735</v>
      </c>
      <c r="E45" s="5">
        <f t="shared" si="1"/>
        <v>735</v>
      </c>
      <c r="F45" s="5">
        <f t="shared" si="2"/>
        <v>540225</v>
      </c>
      <c r="G45" s="6">
        <f>SQRT(SUM($F$2:F45)/A45)</f>
        <v>1047.5848305854411</v>
      </c>
      <c r="H45" s="5">
        <f t="shared" si="3"/>
        <v>1</v>
      </c>
      <c r="I45" s="5">
        <f t="shared" si="4"/>
        <v>0</v>
      </c>
    </row>
    <row r="46" spans="1:9">
      <c r="A46">
        <v>45</v>
      </c>
      <c r="B46">
        <v>7</v>
      </c>
      <c r="C46">
        <v>5000</v>
      </c>
      <c r="D46">
        <v>4670</v>
      </c>
      <c r="E46" s="5">
        <f t="shared" si="1"/>
        <v>330</v>
      </c>
      <c r="F46" s="5">
        <f t="shared" si="2"/>
        <v>108900</v>
      </c>
      <c r="G46" s="6">
        <f>SQRT(SUM($F$2:F46)/A46)</f>
        <v>1037.047036327454</v>
      </c>
      <c r="H46" s="5">
        <f t="shared" si="3"/>
        <v>1</v>
      </c>
      <c r="I46" s="5">
        <f t="shared" si="4"/>
        <v>1</v>
      </c>
    </row>
    <row r="47" spans="1:9">
      <c r="A47">
        <v>46</v>
      </c>
      <c r="B47">
        <v>8</v>
      </c>
      <c r="C47">
        <v>5000</v>
      </c>
      <c r="D47">
        <v>4731</v>
      </c>
      <c r="E47" s="5">
        <f t="shared" si="1"/>
        <v>269</v>
      </c>
      <c r="F47" s="5">
        <f t="shared" si="2"/>
        <v>72361</v>
      </c>
      <c r="G47" s="6">
        <f>SQRT(SUM($F$2:F47)/A47)</f>
        <v>1026.4793777974685</v>
      </c>
      <c r="H47" s="5">
        <f t="shared" si="3"/>
        <v>1</v>
      </c>
      <c r="I47" s="5">
        <f t="shared" si="4"/>
        <v>1</v>
      </c>
    </row>
    <row r="48" spans="1:9">
      <c r="A48">
        <v>47</v>
      </c>
      <c r="B48">
        <v>8</v>
      </c>
      <c r="C48">
        <v>5000</v>
      </c>
      <c r="D48">
        <v>3888</v>
      </c>
      <c r="E48" s="5">
        <f t="shared" si="1"/>
        <v>1112</v>
      </c>
      <c r="F48" s="5">
        <f t="shared" si="2"/>
        <v>1236544</v>
      </c>
      <c r="G48" s="6">
        <f>SQRT(SUM($F$2:F48)/A48)</f>
        <v>1028.3730178441028</v>
      </c>
      <c r="H48" s="5">
        <f t="shared" si="3"/>
        <v>0</v>
      </c>
      <c r="I48" s="5">
        <f t="shared" si="4"/>
        <v>0</v>
      </c>
    </row>
    <row r="49" spans="1:9">
      <c r="A49">
        <v>48</v>
      </c>
      <c r="B49">
        <v>9</v>
      </c>
      <c r="C49">
        <v>5000</v>
      </c>
      <c r="D49">
        <v>2775</v>
      </c>
      <c r="E49" s="5">
        <f t="shared" si="1"/>
        <v>2225</v>
      </c>
      <c r="F49" s="5">
        <f t="shared" si="2"/>
        <v>4950625</v>
      </c>
      <c r="G49" s="6">
        <f>SQRT(SUM($F$2:F49)/A49)</f>
        <v>1067.0786151138693</v>
      </c>
      <c r="H49" s="5">
        <f t="shared" si="3"/>
        <v>0</v>
      </c>
      <c r="I49" s="5">
        <f t="shared" si="4"/>
        <v>0</v>
      </c>
    </row>
    <row r="50" spans="1:9">
      <c r="A50">
        <v>49</v>
      </c>
      <c r="B50">
        <v>11</v>
      </c>
      <c r="C50">
        <v>5000</v>
      </c>
      <c r="D50">
        <v>4989</v>
      </c>
      <c r="E50" s="5">
        <f t="shared" si="1"/>
        <v>11</v>
      </c>
      <c r="F50" s="5">
        <f t="shared" si="2"/>
        <v>121</v>
      </c>
      <c r="G50" s="6">
        <f>SQRT(SUM($F$2:F50)/A50)</f>
        <v>1056.1350988101738</v>
      </c>
      <c r="H50" s="5">
        <f t="shared" si="3"/>
        <v>1</v>
      </c>
      <c r="I50" s="5">
        <f t="shared" si="4"/>
        <v>1</v>
      </c>
    </row>
    <row r="51" spans="1:9">
      <c r="A51">
        <v>50</v>
      </c>
      <c r="B51">
        <v>9</v>
      </c>
      <c r="C51">
        <v>5000</v>
      </c>
      <c r="D51">
        <v>4883</v>
      </c>
      <c r="E51" s="5">
        <f t="shared" si="1"/>
        <v>117</v>
      </c>
      <c r="F51" s="5">
        <f t="shared" si="2"/>
        <v>13689</v>
      </c>
      <c r="G51" s="6">
        <f>SQRT(SUM($F$2:F51)/A51)</f>
        <v>1045.6513281204209</v>
      </c>
      <c r="H51" s="5">
        <f t="shared" si="3"/>
        <v>1</v>
      </c>
      <c r="I51" s="5">
        <f t="shared" si="4"/>
        <v>1</v>
      </c>
    </row>
    <row r="52" spans="1:9">
      <c r="A52">
        <v>51</v>
      </c>
      <c r="B52">
        <v>9</v>
      </c>
      <c r="C52">
        <v>5000</v>
      </c>
      <c r="D52">
        <v>4824</v>
      </c>
      <c r="E52" s="5">
        <f t="shared" si="1"/>
        <v>176</v>
      </c>
      <c r="F52" s="5">
        <f t="shared" si="2"/>
        <v>30976</v>
      </c>
      <c r="G52" s="6">
        <f>SQRT(SUM($F$2:F52)/A52)</f>
        <v>1035.6423695692731</v>
      </c>
      <c r="H52" s="5">
        <f t="shared" si="3"/>
        <v>1</v>
      </c>
      <c r="I52" s="5">
        <f t="shared" si="4"/>
        <v>1</v>
      </c>
    </row>
    <row r="53" spans="1:9">
      <c r="A53">
        <v>52</v>
      </c>
      <c r="B53">
        <v>9</v>
      </c>
      <c r="C53">
        <v>5000</v>
      </c>
      <c r="D53">
        <v>4671</v>
      </c>
      <c r="E53" s="5">
        <f t="shared" si="1"/>
        <v>329</v>
      </c>
      <c r="F53" s="5">
        <f t="shared" si="2"/>
        <v>108241</v>
      </c>
      <c r="G53" s="6">
        <f>SQRT(SUM($F$2:F53)/A53)</f>
        <v>1026.6501913429986</v>
      </c>
      <c r="H53" s="5">
        <f t="shared" si="3"/>
        <v>1</v>
      </c>
      <c r="I53" s="5">
        <f t="shared" si="4"/>
        <v>1</v>
      </c>
    </row>
    <row r="54" spans="1:9">
      <c r="A54">
        <v>53</v>
      </c>
      <c r="B54">
        <v>9</v>
      </c>
      <c r="C54">
        <v>5000</v>
      </c>
      <c r="D54">
        <v>6075</v>
      </c>
      <c r="E54" s="5">
        <f t="shared" si="1"/>
        <v>1075</v>
      </c>
      <c r="F54" s="5">
        <f t="shared" si="2"/>
        <v>1155625</v>
      </c>
      <c r="G54" s="6">
        <f>SQRT(SUM($F$2:F54)/A54)</f>
        <v>1027.5835089784812</v>
      </c>
      <c r="H54" s="5">
        <f t="shared" si="3"/>
        <v>0</v>
      </c>
      <c r="I54" s="5">
        <f t="shared" si="4"/>
        <v>0</v>
      </c>
    </row>
    <row r="55" spans="1:9">
      <c r="A55">
        <v>54</v>
      </c>
      <c r="B55">
        <v>7</v>
      </c>
      <c r="C55">
        <v>5000</v>
      </c>
      <c r="D55">
        <v>4433</v>
      </c>
      <c r="E55" s="5">
        <f t="shared" si="1"/>
        <v>567</v>
      </c>
      <c r="F55" s="5">
        <f t="shared" si="2"/>
        <v>321489</v>
      </c>
      <c r="G55" s="6">
        <f>SQRT(SUM($F$2:F55)/A55)</f>
        <v>1020.9442434081051</v>
      </c>
      <c r="H55" s="5">
        <f t="shared" si="3"/>
        <v>1</v>
      </c>
      <c r="I55" s="5">
        <f t="shared" si="4"/>
        <v>0</v>
      </c>
    </row>
    <row r="56" spans="1:9">
      <c r="A56">
        <v>55</v>
      </c>
      <c r="B56">
        <v>9</v>
      </c>
      <c r="C56">
        <v>5000</v>
      </c>
      <c r="D56">
        <v>6086</v>
      </c>
      <c r="E56" s="5">
        <f t="shared" si="1"/>
        <v>1086</v>
      </c>
      <c r="F56" s="5">
        <f t="shared" si="2"/>
        <v>1179396</v>
      </c>
      <c r="G56" s="6">
        <f>SQRT(SUM($F$2:F56)/A56)</f>
        <v>1022.1640323797884</v>
      </c>
      <c r="H56" s="5">
        <f t="shared" si="3"/>
        <v>0</v>
      </c>
      <c r="I56" s="5">
        <f t="shared" si="4"/>
        <v>0</v>
      </c>
    </row>
    <row r="57" spans="1:9">
      <c r="A57">
        <v>56</v>
      </c>
      <c r="B57">
        <v>7</v>
      </c>
      <c r="C57">
        <v>5000</v>
      </c>
      <c r="D57">
        <v>4587</v>
      </c>
      <c r="E57" s="5">
        <f t="shared" si="1"/>
        <v>413</v>
      </c>
      <c r="F57" s="5">
        <f t="shared" si="2"/>
        <v>170569</v>
      </c>
      <c r="G57" s="6">
        <f>SQRT(SUM($F$2:F57)/A57)</f>
        <v>1014.4987414622906</v>
      </c>
      <c r="H57" s="5">
        <f t="shared" si="3"/>
        <v>1</v>
      </c>
      <c r="I57" s="5">
        <f t="shared" si="4"/>
        <v>1</v>
      </c>
    </row>
    <row r="58" spans="1:9">
      <c r="A58">
        <v>57</v>
      </c>
      <c r="B58">
        <v>9</v>
      </c>
      <c r="C58">
        <v>5000</v>
      </c>
      <c r="D58">
        <v>5936</v>
      </c>
      <c r="E58" s="5">
        <f t="shared" si="1"/>
        <v>936</v>
      </c>
      <c r="F58" s="5">
        <f t="shared" si="2"/>
        <v>876096</v>
      </c>
      <c r="G58" s="6">
        <f>SQRT(SUM($F$2:F58)/A58)</f>
        <v>1013.1739862016738</v>
      </c>
      <c r="H58" s="5">
        <f t="shared" si="3"/>
        <v>1</v>
      </c>
      <c r="I58" s="5">
        <f t="shared" si="4"/>
        <v>0</v>
      </c>
    </row>
    <row r="59" spans="1:9">
      <c r="A59">
        <v>58</v>
      </c>
      <c r="B59">
        <v>7</v>
      </c>
      <c r="C59">
        <v>5000</v>
      </c>
      <c r="D59">
        <v>5360</v>
      </c>
      <c r="E59" s="5">
        <f t="shared" si="1"/>
        <v>360</v>
      </c>
      <c r="F59" s="5">
        <f t="shared" si="2"/>
        <v>129600</v>
      </c>
      <c r="G59" s="6">
        <f>SQRT(SUM($F$2:F59)/A59)</f>
        <v>1005.5134817937378</v>
      </c>
      <c r="H59" s="5">
        <f t="shared" si="3"/>
        <v>1</v>
      </c>
      <c r="I59" s="5">
        <f t="shared" si="4"/>
        <v>1</v>
      </c>
    </row>
    <row r="60" spans="1:9">
      <c r="A60">
        <v>59</v>
      </c>
      <c r="B60">
        <v>8</v>
      </c>
      <c r="C60">
        <v>5000</v>
      </c>
      <c r="D60">
        <v>5518</v>
      </c>
      <c r="E60" s="5">
        <f t="shared" si="1"/>
        <v>518</v>
      </c>
      <c r="F60" s="5">
        <f t="shared" si="2"/>
        <v>268324</v>
      </c>
      <c r="G60" s="6">
        <f>SQRT(SUM($F$2:F60)/A60)</f>
        <v>999.23403715893755</v>
      </c>
      <c r="H60" s="5">
        <f t="shared" si="3"/>
        <v>1</v>
      </c>
      <c r="I60" s="5">
        <f t="shared" si="4"/>
        <v>0</v>
      </c>
    </row>
    <row r="61" spans="1:9">
      <c r="A61">
        <v>60</v>
      </c>
      <c r="B61">
        <v>7</v>
      </c>
      <c r="C61">
        <v>5000</v>
      </c>
      <c r="D61">
        <v>4873</v>
      </c>
      <c r="E61" s="5">
        <f t="shared" si="1"/>
        <v>127</v>
      </c>
      <c r="F61" s="5">
        <f t="shared" si="2"/>
        <v>16129</v>
      </c>
      <c r="G61" s="6">
        <f>SQRT(SUM($F$2:F61)/A61)</f>
        <v>991.00773626310979</v>
      </c>
      <c r="H61" s="5">
        <f t="shared" si="3"/>
        <v>1</v>
      </c>
      <c r="I61" s="5">
        <f t="shared" si="4"/>
        <v>1</v>
      </c>
    </row>
    <row r="62" spans="1:9">
      <c r="A62">
        <v>61</v>
      </c>
      <c r="B62">
        <v>8</v>
      </c>
      <c r="C62">
        <v>5000</v>
      </c>
      <c r="D62">
        <v>5197</v>
      </c>
      <c r="E62" s="5">
        <f t="shared" si="1"/>
        <v>197</v>
      </c>
      <c r="F62" s="5">
        <f t="shared" si="2"/>
        <v>38809</v>
      </c>
      <c r="G62" s="6">
        <f>SQRT(SUM($F$2:F62)/A62)</f>
        <v>983.17475890981711</v>
      </c>
      <c r="H62" s="5">
        <f t="shared" si="3"/>
        <v>1</v>
      </c>
      <c r="I62" s="5">
        <f t="shared" si="4"/>
        <v>1</v>
      </c>
    </row>
    <row r="63" spans="1:9">
      <c r="A63">
        <v>62</v>
      </c>
      <c r="B63">
        <v>8</v>
      </c>
      <c r="C63">
        <v>5000</v>
      </c>
      <c r="D63">
        <v>5781</v>
      </c>
      <c r="E63" s="5">
        <f t="shared" si="1"/>
        <v>781</v>
      </c>
      <c r="F63" s="5">
        <f t="shared" si="2"/>
        <v>609961</v>
      </c>
      <c r="G63" s="6">
        <f>SQRT(SUM($F$2:F63)/A63)</f>
        <v>980.24478509690505</v>
      </c>
      <c r="H63" s="5">
        <f t="shared" si="3"/>
        <v>1</v>
      </c>
      <c r="I63" s="5">
        <f t="shared" si="4"/>
        <v>0</v>
      </c>
    </row>
    <row r="64" spans="1:9">
      <c r="A64">
        <v>63</v>
      </c>
      <c r="B64">
        <v>7</v>
      </c>
      <c r="C64">
        <v>5000</v>
      </c>
      <c r="D64">
        <v>4789</v>
      </c>
      <c r="E64" s="5">
        <f t="shared" si="1"/>
        <v>211</v>
      </c>
      <c r="F64" s="5">
        <f t="shared" si="2"/>
        <v>44521</v>
      </c>
      <c r="G64" s="6">
        <f>SQRT(SUM($F$2:F64)/A64)</f>
        <v>972.79723494542293</v>
      </c>
      <c r="H64" s="5">
        <f t="shared" si="3"/>
        <v>1</v>
      </c>
      <c r="I64" s="5">
        <f t="shared" si="4"/>
        <v>1</v>
      </c>
    </row>
    <row r="65" spans="1:9">
      <c r="A65">
        <v>64</v>
      </c>
      <c r="B65">
        <v>8</v>
      </c>
      <c r="C65">
        <v>5000</v>
      </c>
      <c r="D65">
        <v>5028</v>
      </c>
      <c r="E65" s="5">
        <f t="shared" si="1"/>
        <v>28</v>
      </c>
      <c r="F65" s="5">
        <f t="shared" si="2"/>
        <v>784</v>
      </c>
      <c r="G65" s="6">
        <f>SQRT(SUM($F$2:F65)/A65)</f>
        <v>965.1736809377885</v>
      </c>
      <c r="H65" s="5">
        <f t="shared" si="3"/>
        <v>1</v>
      </c>
      <c r="I65" s="5">
        <f t="shared" si="4"/>
        <v>1</v>
      </c>
    </row>
    <row r="66" spans="1:9">
      <c r="A66">
        <v>65</v>
      </c>
      <c r="B66">
        <v>8</v>
      </c>
      <c r="C66">
        <v>5000</v>
      </c>
      <c r="D66">
        <v>5242</v>
      </c>
      <c r="E66" s="5">
        <f t="shared" si="1"/>
        <v>242</v>
      </c>
      <c r="F66" s="5">
        <f t="shared" si="2"/>
        <v>58564</v>
      </c>
      <c r="G66" s="6">
        <f>SQRT(SUM($F$2:F66)/A66)</f>
        <v>958.19075505711442</v>
      </c>
      <c r="H66" s="5">
        <f t="shared" si="3"/>
        <v>1</v>
      </c>
      <c r="I66" s="5">
        <f t="shared" si="4"/>
        <v>1</v>
      </c>
    </row>
    <row r="67" spans="1:9">
      <c r="A67">
        <v>66</v>
      </c>
      <c r="B67">
        <v>7</v>
      </c>
      <c r="C67">
        <v>5000</v>
      </c>
      <c r="D67">
        <v>4968</v>
      </c>
      <c r="E67" s="5">
        <f t="shared" ref="E67:E130" si="5">ABS(C67-D67)</f>
        <v>32</v>
      </c>
      <c r="F67" s="5">
        <f t="shared" ref="F67:F130" si="6">POWER(E67,2)</f>
        <v>1024</v>
      </c>
      <c r="G67" s="6">
        <f>SQRT(SUM($F$2:F67)/A67)</f>
        <v>950.91218566620796</v>
      </c>
      <c r="H67" s="5">
        <f t="shared" ref="H67:H130" si="7">IF(ABS(E67)/C67&gt;0.2,0,1)</f>
        <v>1</v>
      </c>
      <c r="I67" s="5">
        <f t="shared" ref="I67:I130" si="8">IF(ABS(E67)/C67&gt;0.1,0,1)</f>
        <v>1</v>
      </c>
    </row>
    <row r="68" spans="1:9">
      <c r="A68">
        <v>67</v>
      </c>
      <c r="B68">
        <v>8</v>
      </c>
      <c r="C68">
        <v>5000</v>
      </c>
      <c r="D68">
        <v>5493</v>
      </c>
      <c r="E68" s="5">
        <f t="shared" si="5"/>
        <v>493</v>
      </c>
      <c r="F68" s="5">
        <f t="shared" si="6"/>
        <v>243049</v>
      </c>
      <c r="G68" s="6">
        <f>SQRT(SUM($F$2:F68)/A68)</f>
        <v>945.70902091436449</v>
      </c>
      <c r="H68" s="5">
        <f t="shared" si="7"/>
        <v>1</v>
      </c>
      <c r="I68" s="5">
        <f t="shared" si="8"/>
        <v>1</v>
      </c>
    </row>
    <row r="69" spans="1:9">
      <c r="A69">
        <v>68</v>
      </c>
      <c r="B69">
        <v>7</v>
      </c>
      <c r="C69">
        <v>5000</v>
      </c>
      <c r="D69">
        <v>4736</v>
      </c>
      <c r="E69" s="5">
        <f t="shared" si="5"/>
        <v>264</v>
      </c>
      <c r="F69" s="5">
        <f t="shared" si="6"/>
        <v>69696</v>
      </c>
      <c r="G69" s="6">
        <f>SQRT(SUM($F$2:F69)/A69)</f>
        <v>939.27528383511162</v>
      </c>
      <c r="H69" s="5">
        <f t="shared" si="7"/>
        <v>1</v>
      </c>
      <c r="I69" s="5">
        <f t="shared" si="8"/>
        <v>1</v>
      </c>
    </row>
    <row r="70" spans="1:9">
      <c r="A70">
        <v>69</v>
      </c>
      <c r="B70">
        <v>8</v>
      </c>
      <c r="C70">
        <v>5000</v>
      </c>
      <c r="D70">
        <v>5797</v>
      </c>
      <c r="E70" s="5">
        <f t="shared" si="5"/>
        <v>797</v>
      </c>
      <c r="F70" s="5">
        <f t="shared" si="6"/>
        <v>635209</v>
      </c>
      <c r="G70" s="6">
        <f>SQRT(SUM($F$2:F70)/A70)</f>
        <v>937.36755199667107</v>
      </c>
      <c r="H70" s="5">
        <f t="shared" si="7"/>
        <v>1</v>
      </c>
      <c r="I70" s="5">
        <f t="shared" si="8"/>
        <v>0</v>
      </c>
    </row>
    <row r="71" spans="1:9">
      <c r="A71">
        <v>70</v>
      </c>
      <c r="B71">
        <v>7</v>
      </c>
      <c r="C71">
        <v>5000</v>
      </c>
      <c r="D71">
        <v>4792</v>
      </c>
      <c r="E71" s="5">
        <f t="shared" si="5"/>
        <v>208</v>
      </c>
      <c r="F71" s="5">
        <f t="shared" si="6"/>
        <v>43264</v>
      </c>
      <c r="G71" s="6">
        <f>SQRT(SUM($F$2:F71)/A71)</f>
        <v>930.97998290587782</v>
      </c>
      <c r="H71" s="5">
        <f t="shared" si="7"/>
        <v>1</v>
      </c>
      <c r="I71" s="5">
        <f t="shared" si="8"/>
        <v>1</v>
      </c>
    </row>
    <row r="72" spans="1:9">
      <c r="A72">
        <v>71</v>
      </c>
      <c r="B72">
        <v>8</v>
      </c>
      <c r="C72">
        <v>5000</v>
      </c>
      <c r="D72">
        <v>5289</v>
      </c>
      <c r="E72" s="5">
        <f t="shared" si="5"/>
        <v>289</v>
      </c>
      <c r="F72" s="5">
        <f t="shared" si="6"/>
        <v>83521</v>
      </c>
      <c r="G72" s="6">
        <f>SQRT(SUM($F$2:F72)/A72)</f>
        <v>925.03659615463437</v>
      </c>
      <c r="H72" s="5">
        <f t="shared" si="7"/>
        <v>1</v>
      </c>
      <c r="I72" s="5">
        <f t="shared" si="8"/>
        <v>1</v>
      </c>
    </row>
    <row r="73" spans="1:9">
      <c r="A73">
        <v>72</v>
      </c>
      <c r="B73">
        <v>7</v>
      </c>
      <c r="C73">
        <v>5000</v>
      </c>
      <c r="D73">
        <v>4865</v>
      </c>
      <c r="E73" s="5">
        <f t="shared" si="5"/>
        <v>135</v>
      </c>
      <c r="F73" s="5">
        <f t="shared" si="6"/>
        <v>18225</v>
      </c>
      <c r="G73" s="6">
        <f>SQRT(SUM($F$2:F73)/A73)</f>
        <v>918.72803828626752</v>
      </c>
      <c r="H73" s="5">
        <f t="shared" si="7"/>
        <v>1</v>
      </c>
      <c r="I73" s="5">
        <f t="shared" si="8"/>
        <v>1</v>
      </c>
    </row>
    <row r="74" spans="1:9">
      <c r="A74">
        <v>73</v>
      </c>
      <c r="B74">
        <v>8</v>
      </c>
      <c r="C74">
        <v>5000</v>
      </c>
      <c r="D74">
        <v>5818</v>
      </c>
      <c r="E74" s="5">
        <f t="shared" si="5"/>
        <v>818</v>
      </c>
      <c r="F74" s="5">
        <f t="shared" si="6"/>
        <v>669124</v>
      </c>
      <c r="G74" s="6">
        <f>SQRT(SUM($F$2:F74)/A74)</f>
        <v>917.42291677240007</v>
      </c>
      <c r="H74" s="5">
        <f t="shared" si="7"/>
        <v>1</v>
      </c>
      <c r="I74" s="5">
        <f t="shared" si="8"/>
        <v>0</v>
      </c>
    </row>
    <row r="75" spans="1:9">
      <c r="A75">
        <v>74</v>
      </c>
      <c r="B75">
        <v>6</v>
      </c>
      <c r="C75">
        <v>5000</v>
      </c>
      <c r="D75">
        <v>4739</v>
      </c>
      <c r="E75" s="5">
        <f t="shared" si="5"/>
        <v>261</v>
      </c>
      <c r="F75" s="5">
        <f t="shared" si="6"/>
        <v>68121</v>
      </c>
      <c r="G75" s="6">
        <f>SQRT(SUM($F$2:F75)/A75)</f>
        <v>911.70801988000164</v>
      </c>
      <c r="H75" s="5">
        <f t="shared" si="7"/>
        <v>1</v>
      </c>
      <c r="I75" s="5">
        <f t="shared" si="8"/>
        <v>1</v>
      </c>
    </row>
    <row r="76" spans="1:9">
      <c r="A76">
        <v>75</v>
      </c>
      <c r="B76">
        <v>8</v>
      </c>
      <c r="C76">
        <v>5000</v>
      </c>
      <c r="D76">
        <v>5220</v>
      </c>
      <c r="E76" s="5">
        <f t="shared" si="5"/>
        <v>220</v>
      </c>
      <c r="F76" s="5">
        <f t="shared" si="6"/>
        <v>48400</v>
      </c>
      <c r="G76" s="6">
        <f>SQRT(SUM($F$2:F76)/A76)</f>
        <v>905.9657977355804</v>
      </c>
      <c r="H76" s="5">
        <f t="shared" si="7"/>
        <v>1</v>
      </c>
      <c r="I76" s="5">
        <f t="shared" si="8"/>
        <v>1</v>
      </c>
    </row>
    <row r="77" spans="1:9">
      <c r="A77">
        <v>76</v>
      </c>
      <c r="B77">
        <v>7</v>
      </c>
      <c r="C77">
        <v>5000</v>
      </c>
      <c r="D77">
        <v>5434</v>
      </c>
      <c r="E77" s="5">
        <f t="shared" si="5"/>
        <v>434</v>
      </c>
      <c r="F77" s="5">
        <f t="shared" si="6"/>
        <v>188356</v>
      </c>
      <c r="G77" s="6">
        <f>SQRT(SUM($F$2:F77)/A77)</f>
        <v>901.36160160176848</v>
      </c>
      <c r="H77" s="5">
        <f t="shared" si="7"/>
        <v>1</v>
      </c>
      <c r="I77" s="5">
        <f t="shared" si="8"/>
        <v>1</v>
      </c>
    </row>
    <row r="78" spans="1:9">
      <c r="A78">
        <v>77</v>
      </c>
      <c r="B78">
        <v>7</v>
      </c>
      <c r="C78">
        <v>5000</v>
      </c>
      <c r="D78">
        <v>5031</v>
      </c>
      <c r="E78" s="5">
        <f t="shared" si="5"/>
        <v>31</v>
      </c>
      <c r="F78" s="5">
        <f t="shared" si="6"/>
        <v>961</v>
      </c>
      <c r="G78" s="6">
        <f>SQRT(SUM($F$2:F78)/A78)</f>
        <v>895.49644506099696</v>
      </c>
      <c r="H78" s="5">
        <f t="shared" si="7"/>
        <v>1</v>
      </c>
      <c r="I78" s="5">
        <f t="shared" si="8"/>
        <v>1</v>
      </c>
    </row>
    <row r="79" spans="1:9">
      <c r="A79">
        <v>78</v>
      </c>
      <c r="B79">
        <v>7</v>
      </c>
      <c r="C79">
        <v>5000</v>
      </c>
      <c r="D79">
        <v>5389</v>
      </c>
      <c r="E79" s="5">
        <f t="shared" si="5"/>
        <v>389</v>
      </c>
      <c r="F79" s="5">
        <f t="shared" si="6"/>
        <v>151321</v>
      </c>
      <c r="G79" s="6">
        <f>SQRT(SUM($F$2:F79)/A79)</f>
        <v>890.82711494315708</v>
      </c>
      <c r="H79" s="5">
        <f t="shared" si="7"/>
        <v>1</v>
      </c>
      <c r="I79" s="5">
        <f t="shared" si="8"/>
        <v>1</v>
      </c>
    </row>
    <row r="80" spans="1:9">
      <c r="A80">
        <v>79</v>
      </c>
      <c r="B80">
        <v>7</v>
      </c>
      <c r="C80">
        <v>5000</v>
      </c>
      <c r="D80">
        <v>5640</v>
      </c>
      <c r="E80" s="5">
        <f t="shared" si="5"/>
        <v>640</v>
      </c>
      <c r="F80" s="5">
        <f t="shared" si="6"/>
        <v>409600</v>
      </c>
      <c r="G80" s="6">
        <f>SQRT(SUM($F$2:F80)/A80)</f>
        <v>888.09488887481473</v>
      </c>
      <c r="H80" s="5">
        <f t="shared" si="7"/>
        <v>1</v>
      </c>
      <c r="I80" s="5">
        <f t="shared" si="8"/>
        <v>0</v>
      </c>
    </row>
    <row r="81" spans="1:9">
      <c r="A81">
        <v>80</v>
      </c>
      <c r="B81">
        <v>6</v>
      </c>
      <c r="C81">
        <v>5000</v>
      </c>
      <c r="D81">
        <v>5058</v>
      </c>
      <c r="E81" s="5">
        <f t="shared" si="5"/>
        <v>58</v>
      </c>
      <c r="F81" s="5">
        <f t="shared" si="6"/>
        <v>3364</v>
      </c>
      <c r="G81" s="6">
        <f>SQRT(SUM($F$2:F81)/A81)</f>
        <v>882.55066426806343</v>
      </c>
      <c r="H81" s="5">
        <f t="shared" si="7"/>
        <v>1</v>
      </c>
      <c r="I81" s="5">
        <f t="shared" si="8"/>
        <v>1</v>
      </c>
    </row>
    <row r="82" spans="1:9">
      <c r="A82">
        <v>81</v>
      </c>
      <c r="B82">
        <v>7</v>
      </c>
      <c r="C82">
        <v>5000</v>
      </c>
      <c r="D82">
        <v>4951</v>
      </c>
      <c r="E82" s="5">
        <f t="shared" si="5"/>
        <v>49</v>
      </c>
      <c r="F82" s="5">
        <f t="shared" si="6"/>
        <v>2401</v>
      </c>
      <c r="G82" s="6">
        <f>SQRT(SUM($F$2:F82)/A82)</f>
        <v>877.10279955524845</v>
      </c>
      <c r="H82" s="5">
        <f t="shared" si="7"/>
        <v>1</v>
      </c>
      <c r="I82" s="5">
        <f t="shared" si="8"/>
        <v>1</v>
      </c>
    </row>
    <row r="83" spans="1:9">
      <c r="A83">
        <v>82</v>
      </c>
      <c r="B83">
        <v>7</v>
      </c>
      <c r="C83">
        <v>5000</v>
      </c>
      <c r="D83">
        <v>5343</v>
      </c>
      <c r="E83" s="5">
        <f t="shared" si="5"/>
        <v>343</v>
      </c>
      <c r="F83" s="5">
        <f t="shared" si="6"/>
        <v>117649</v>
      </c>
      <c r="G83" s="6">
        <f>SQRT(SUM($F$2:F83)/A83)</f>
        <v>872.56073937717315</v>
      </c>
      <c r="H83" s="5">
        <f t="shared" si="7"/>
        <v>1</v>
      </c>
      <c r="I83" s="5">
        <f t="shared" si="8"/>
        <v>1</v>
      </c>
    </row>
    <row r="84" spans="1:9">
      <c r="A84">
        <v>83</v>
      </c>
      <c r="B84">
        <v>6</v>
      </c>
      <c r="C84">
        <v>5000</v>
      </c>
      <c r="D84">
        <v>4355</v>
      </c>
      <c r="E84" s="5">
        <f t="shared" si="5"/>
        <v>645</v>
      </c>
      <c r="F84" s="5">
        <f t="shared" si="6"/>
        <v>416025</v>
      </c>
      <c r="G84" s="6">
        <f>SQRT(SUM($F$2:F84)/A84)</f>
        <v>870.17328976294573</v>
      </c>
      <c r="H84" s="5">
        <f t="shared" si="7"/>
        <v>1</v>
      </c>
      <c r="I84" s="5">
        <f t="shared" si="8"/>
        <v>0</v>
      </c>
    </row>
    <row r="85" spans="1:9">
      <c r="A85">
        <v>84</v>
      </c>
      <c r="B85">
        <v>7</v>
      </c>
      <c r="C85">
        <v>5000</v>
      </c>
      <c r="D85">
        <v>4548</v>
      </c>
      <c r="E85" s="5">
        <f t="shared" si="5"/>
        <v>452</v>
      </c>
      <c r="F85" s="5">
        <f t="shared" si="6"/>
        <v>204304</v>
      </c>
      <c r="G85" s="6">
        <f>SQRT(SUM($F$2:F85)/A85)</f>
        <v>866.38296409624218</v>
      </c>
      <c r="H85" s="5">
        <f t="shared" si="7"/>
        <v>1</v>
      </c>
      <c r="I85" s="5">
        <f t="shared" si="8"/>
        <v>1</v>
      </c>
    </row>
    <row r="86" spans="1:9">
      <c r="A86">
        <v>85</v>
      </c>
      <c r="B86">
        <v>7</v>
      </c>
      <c r="C86">
        <v>5000</v>
      </c>
      <c r="D86">
        <v>4243</v>
      </c>
      <c r="E86" s="5">
        <f t="shared" si="5"/>
        <v>757</v>
      </c>
      <c r="F86" s="5">
        <f t="shared" si="6"/>
        <v>573049</v>
      </c>
      <c r="G86" s="6">
        <f>SQRT(SUM($F$2:F86)/A86)</f>
        <v>865.17650018397296</v>
      </c>
      <c r="H86" s="5">
        <f t="shared" si="7"/>
        <v>1</v>
      </c>
      <c r="I86" s="5">
        <f t="shared" si="8"/>
        <v>0</v>
      </c>
    </row>
    <row r="87" spans="1:9">
      <c r="A87">
        <v>86</v>
      </c>
      <c r="B87">
        <v>8</v>
      </c>
      <c r="C87">
        <v>5000</v>
      </c>
      <c r="D87">
        <v>4596</v>
      </c>
      <c r="E87" s="5">
        <f t="shared" si="5"/>
        <v>404</v>
      </c>
      <c r="F87" s="5">
        <f t="shared" si="6"/>
        <v>163216</v>
      </c>
      <c r="G87" s="6">
        <f>SQRT(SUM($F$2:F87)/A87)</f>
        <v>861.23422792457404</v>
      </c>
      <c r="H87" s="5">
        <f t="shared" si="7"/>
        <v>1</v>
      </c>
      <c r="I87" s="5">
        <f t="shared" si="8"/>
        <v>1</v>
      </c>
    </row>
    <row r="88" spans="1:9">
      <c r="A88">
        <v>87</v>
      </c>
      <c r="B88">
        <v>8</v>
      </c>
      <c r="C88">
        <v>5000</v>
      </c>
      <c r="D88">
        <v>5101</v>
      </c>
      <c r="E88" s="5">
        <f t="shared" si="5"/>
        <v>101</v>
      </c>
      <c r="F88" s="5">
        <f t="shared" si="6"/>
        <v>10201</v>
      </c>
      <c r="G88" s="6">
        <f>SQRT(SUM($F$2:F88)/A88)</f>
        <v>856.33876501053612</v>
      </c>
      <c r="H88" s="5">
        <f t="shared" si="7"/>
        <v>1</v>
      </c>
      <c r="I88" s="5">
        <f t="shared" si="8"/>
        <v>1</v>
      </c>
    </row>
    <row r="89" spans="1:9">
      <c r="A89">
        <v>88</v>
      </c>
      <c r="B89">
        <v>7</v>
      </c>
      <c r="C89">
        <v>5000</v>
      </c>
      <c r="D89">
        <v>4838</v>
      </c>
      <c r="E89" s="5">
        <f t="shared" si="5"/>
        <v>162</v>
      </c>
      <c r="F89" s="5">
        <f t="shared" si="6"/>
        <v>26244</v>
      </c>
      <c r="G89" s="6">
        <f>SQRT(SUM($F$2:F89)/A89)</f>
        <v>851.63441126726752</v>
      </c>
      <c r="H89" s="5">
        <f t="shared" si="7"/>
        <v>1</v>
      </c>
      <c r="I89" s="5">
        <f t="shared" si="8"/>
        <v>1</v>
      </c>
    </row>
    <row r="90" spans="1:9">
      <c r="A90">
        <v>89</v>
      </c>
      <c r="B90">
        <v>7</v>
      </c>
      <c r="C90">
        <v>5000</v>
      </c>
      <c r="D90">
        <v>5000</v>
      </c>
      <c r="E90" s="5">
        <f t="shared" si="5"/>
        <v>0</v>
      </c>
      <c r="F90" s="5">
        <f t="shared" si="6"/>
        <v>0</v>
      </c>
      <c r="G90" s="6">
        <f>SQRT(SUM($F$2:F90)/A90)</f>
        <v>846.83643274260749</v>
      </c>
      <c r="H90" s="5">
        <f t="shared" si="7"/>
        <v>1</v>
      </c>
      <c r="I90" s="5">
        <f t="shared" si="8"/>
        <v>1</v>
      </c>
    </row>
    <row r="91" spans="1:9">
      <c r="A91">
        <v>90</v>
      </c>
      <c r="B91">
        <v>7</v>
      </c>
      <c r="C91">
        <v>5000</v>
      </c>
      <c r="D91">
        <v>4562</v>
      </c>
      <c r="E91" s="5">
        <f t="shared" si="5"/>
        <v>438</v>
      </c>
      <c r="F91" s="5">
        <f t="shared" si="6"/>
        <v>191844</v>
      </c>
      <c r="G91" s="6">
        <f>SQRT(SUM($F$2:F91)/A91)</f>
        <v>843.38331208953321</v>
      </c>
      <c r="H91" s="5">
        <f t="shared" si="7"/>
        <v>1</v>
      </c>
      <c r="I91" s="5">
        <f t="shared" si="8"/>
        <v>1</v>
      </c>
    </row>
    <row r="92" spans="1:9">
      <c r="A92">
        <v>91</v>
      </c>
      <c r="B92">
        <v>8</v>
      </c>
      <c r="C92">
        <v>5000</v>
      </c>
      <c r="D92">
        <v>5645</v>
      </c>
      <c r="E92" s="5">
        <f t="shared" si="5"/>
        <v>645</v>
      </c>
      <c r="F92" s="5">
        <f t="shared" si="6"/>
        <v>416025</v>
      </c>
      <c r="G92" s="6">
        <f>SQRT(SUM($F$2:F92)/A92)</f>
        <v>841.45747445648215</v>
      </c>
      <c r="H92" s="5">
        <f t="shared" si="7"/>
        <v>1</v>
      </c>
      <c r="I92" s="5">
        <f t="shared" si="8"/>
        <v>0</v>
      </c>
    </row>
    <row r="93" spans="1:9">
      <c r="A93">
        <v>92</v>
      </c>
      <c r="B93">
        <v>7</v>
      </c>
      <c r="C93">
        <v>5000</v>
      </c>
      <c r="D93">
        <v>4929</v>
      </c>
      <c r="E93" s="5">
        <f t="shared" si="5"/>
        <v>71</v>
      </c>
      <c r="F93" s="5">
        <f t="shared" si="6"/>
        <v>5041</v>
      </c>
      <c r="G93" s="6">
        <f>SQRT(SUM($F$2:F93)/A93)</f>
        <v>836.90457743946558</v>
      </c>
      <c r="H93" s="5">
        <f t="shared" si="7"/>
        <v>1</v>
      </c>
      <c r="I93" s="5">
        <f t="shared" si="8"/>
        <v>1</v>
      </c>
    </row>
    <row r="94" spans="1:9">
      <c r="A94">
        <v>93</v>
      </c>
      <c r="B94">
        <v>7</v>
      </c>
      <c r="C94">
        <v>5000</v>
      </c>
      <c r="D94">
        <v>5069</v>
      </c>
      <c r="E94" s="5">
        <f t="shared" si="5"/>
        <v>69</v>
      </c>
      <c r="F94" s="5">
        <f t="shared" si="6"/>
        <v>4761</v>
      </c>
      <c r="G94" s="6">
        <f>SQRT(SUM($F$2:F94)/A94)</f>
        <v>832.42367986242368</v>
      </c>
      <c r="H94" s="5">
        <f t="shared" si="7"/>
        <v>1</v>
      </c>
      <c r="I94" s="5">
        <f t="shared" si="8"/>
        <v>1</v>
      </c>
    </row>
    <row r="95" spans="1:9">
      <c r="A95">
        <v>94</v>
      </c>
      <c r="B95">
        <v>7</v>
      </c>
      <c r="C95">
        <v>5000</v>
      </c>
      <c r="D95">
        <v>4285</v>
      </c>
      <c r="E95" s="5">
        <f t="shared" si="5"/>
        <v>715</v>
      </c>
      <c r="F95" s="5">
        <f t="shared" si="6"/>
        <v>511225</v>
      </c>
      <c r="G95" s="6">
        <f>SQRT(SUM($F$2:F95)/A95)</f>
        <v>831.26178763038786</v>
      </c>
      <c r="H95" s="5">
        <f t="shared" si="7"/>
        <v>1</v>
      </c>
      <c r="I95" s="5">
        <f t="shared" si="8"/>
        <v>0</v>
      </c>
    </row>
    <row r="96" spans="1:9">
      <c r="A96">
        <v>95</v>
      </c>
      <c r="B96">
        <v>8</v>
      </c>
      <c r="C96">
        <v>5000</v>
      </c>
      <c r="D96">
        <v>5689</v>
      </c>
      <c r="E96" s="5">
        <f t="shared" si="5"/>
        <v>689</v>
      </c>
      <c r="F96" s="5">
        <f t="shared" si="6"/>
        <v>474721</v>
      </c>
      <c r="G96" s="6">
        <f>SQRT(SUM($F$2:F96)/A96)</f>
        <v>829.89130550173161</v>
      </c>
      <c r="H96" s="5">
        <f t="shared" si="7"/>
        <v>1</v>
      </c>
      <c r="I96" s="5">
        <f t="shared" si="8"/>
        <v>0</v>
      </c>
    </row>
    <row r="97" spans="1:9">
      <c r="A97">
        <v>96</v>
      </c>
      <c r="B97">
        <v>7</v>
      </c>
      <c r="C97">
        <v>5000</v>
      </c>
      <c r="D97">
        <v>4877</v>
      </c>
      <c r="E97" s="5">
        <f t="shared" si="5"/>
        <v>123</v>
      </c>
      <c r="F97" s="5">
        <f t="shared" si="6"/>
        <v>15129</v>
      </c>
      <c r="G97" s="6">
        <f>SQRT(SUM($F$2:F97)/A97)</f>
        <v>825.65308115253015</v>
      </c>
      <c r="H97" s="5">
        <f t="shared" si="7"/>
        <v>1</v>
      </c>
      <c r="I97" s="5">
        <f t="shared" si="8"/>
        <v>1</v>
      </c>
    </row>
    <row r="98" spans="1:9">
      <c r="A98">
        <v>97</v>
      </c>
      <c r="B98">
        <v>7</v>
      </c>
      <c r="C98">
        <v>5000</v>
      </c>
      <c r="D98">
        <v>5078</v>
      </c>
      <c r="E98" s="5">
        <f t="shared" si="5"/>
        <v>78</v>
      </c>
      <c r="F98" s="5">
        <f t="shared" si="6"/>
        <v>6084</v>
      </c>
      <c r="G98" s="6">
        <f>SQRT(SUM($F$2:F98)/A98)</f>
        <v>821.42429108188753</v>
      </c>
      <c r="H98" s="5">
        <f t="shared" si="7"/>
        <v>1</v>
      </c>
      <c r="I98" s="5">
        <f t="shared" si="8"/>
        <v>1</v>
      </c>
    </row>
    <row r="99" spans="1:9">
      <c r="A99">
        <v>98</v>
      </c>
      <c r="B99">
        <v>7</v>
      </c>
      <c r="C99">
        <v>5000</v>
      </c>
      <c r="D99">
        <v>5391</v>
      </c>
      <c r="E99" s="5">
        <f t="shared" si="5"/>
        <v>391</v>
      </c>
      <c r="F99" s="5">
        <f t="shared" si="6"/>
        <v>152881</v>
      </c>
      <c r="G99" s="6">
        <f>SQRT(SUM($F$2:F99)/A99)</f>
        <v>818.17650657933666</v>
      </c>
      <c r="H99" s="5">
        <f t="shared" si="7"/>
        <v>1</v>
      </c>
      <c r="I99" s="5">
        <f t="shared" si="8"/>
        <v>1</v>
      </c>
    </row>
    <row r="100" spans="1:9">
      <c r="A100">
        <v>99</v>
      </c>
      <c r="B100">
        <v>7</v>
      </c>
      <c r="C100">
        <v>5000</v>
      </c>
      <c r="D100">
        <v>5440</v>
      </c>
      <c r="E100" s="5">
        <f t="shared" si="5"/>
        <v>440</v>
      </c>
      <c r="F100" s="5">
        <f t="shared" si="6"/>
        <v>193600</v>
      </c>
      <c r="G100" s="6">
        <f>SQRT(SUM($F$2:F100)/A100)</f>
        <v>815.2340805318471</v>
      </c>
      <c r="H100" s="5">
        <f t="shared" si="7"/>
        <v>1</v>
      </c>
      <c r="I100" s="5">
        <f t="shared" si="8"/>
        <v>1</v>
      </c>
    </row>
    <row r="101" spans="1:9">
      <c r="A101">
        <v>100</v>
      </c>
      <c r="B101">
        <v>7</v>
      </c>
      <c r="C101">
        <v>5000</v>
      </c>
      <c r="D101">
        <v>4665</v>
      </c>
      <c r="E101" s="5">
        <f t="shared" si="5"/>
        <v>335</v>
      </c>
      <c r="F101" s="5">
        <f t="shared" si="6"/>
        <v>112225</v>
      </c>
      <c r="G101" s="6">
        <f>SQRT(SUM($F$2:F101)/A101)</f>
        <v>811.83914047057374</v>
      </c>
      <c r="H101" s="5">
        <f t="shared" si="7"/>
        <v>1</v>
      </c>
      <c r="I101" s="5">
        <f t="shared" si="8"/>
        <v>1</v>
      </c>
    </row>
    <row r="102" spans="1:9">
      <c r="A102">
        <v>101</v>
      </c>
      <c r="B102">
        <v>7</v>
      </c>
      <c r="C102">
        <v>6000</v>
      </c>
      <c r="D102">
        <v>4749</v>
      </c>
      <c r="E102" s="5">
        <f t="shared" si="5"/>
        <v>1251</v>
      </c>
      <c r="F102" s="5">
        <f t="shared" si="6"/>
        <v>1565001</v>
      </c>
      <c r="G102" s="6">
        <f>SQRT(SUM($F$2:F102)/A102)</f>
        <v>817.34465021049891</v>
      </c>
      <c r="H102" s="5">
        <f t="shared" si="7"/>
        <v>0</v>
      </c>
      <c r="I102" s="5">
        <f t="shared" si="8"/>
        <v>0</v>
      </c>
    </row>
    <row r="103" spans="1:9">
      <c r="A103">
        <v>102</v>
      </c>
      <c r="B103">
        <v>9</v>
      </c>
      <c r="C103">
        <v>6000</v>
      </c>
      <c r="D103">
        <v>6187</v>
      </c>
      <c r="E103" s="5">
        <f t="shared" si="5"/>
        <v>187</v>
      </c>
      <c r="F103" s="5">
        <f t="shared" si="6"/>
        <v>34969</v>
      </c>
      <c r="G103" s="6">
        <f>SQRT(SUM($F$2:F103)/A103)</f>
        <v>813.53892250547699</v>
      </c>
      <c r="H103" s="5">
        <f t="shared" si="7"/>
        <v>1</v>
      </c>
      <c r="I103" s="5">
        <f t="shared" si="8"/>
        <v>1</v>
      </c>
    </row>
    <row r="104" spans="1:9">
      <c r="A104">
        <v>103</v>
      </c>
      <c r="B104">
        <v>7</v>
      </c>
      <c r="C104">
        <v>6000</v>
      </c>
      <c r="D104">
        <v>5585</v>
      </c>
      <c r="E104" s="5">
        <f t="shared" si="5"/>
        <v>415</v>
      </c>
      <c r="F104" s="5">
        <f t="shared" si="6"/>
        <v>172225</v>
      </c>
      <c r="G104" s="6">
        <f>SQRT(SUM($F$2:F104)/A104)</f>
        <v>810.61210241552919</v>
      </c>
      <c r="H104" s="5">
        <f t="shared" si="7"/>
        <v>1</v>
      </c>
      <c r="I104" s="5">
        <f t="shared" si="8"/>
        <v>1</v>
      </c>
    </row>
    <row r="105" spans="1:9">
      <c r="A105">
        <v>104</v>
      </c>
      <c r="B105">
        <v>8</v>
      </c>
      <c r="C105">
        <v>6000</v>
      </c>
      <c r="D105">
        <v>5334</v>
      </c>
      <c r="E105" s="5">
        <f t="shared" si="5"/>
        <v>666</v>
      </c>
      <c r="F105" s="5">
        <f t="shared" si="6"/>
        <v>443556</v>
      </c>
      <c r="G105" s="6">
        <f>SQRT(SUM($F$2:F105)/A105)</f>
        <v>809.34464228782042</v>
      </c>
      <c r="H105" s="5">
        <f t="shared" si="7"/>
        <v>1</v>
      </c>
      <c r="I105" s="5">
        <f t="shared" si="8"/>
        <v>0</v>
      </c>
    </row>
    <row r="106" spans="1:9">
      <c r="A106">
        <v>105</v>
      </c>
      <c r="B106">
        <v>8</v>
      </c>
      <c r="C106">
        <v>6000</v>
      </c>
      <c r="D106">
        <v>6163</v>
      </c>
      <c r="E106" s="5">
        <f t="shared" si="5"/>
        <v>163</v>
      </c>
      <c r="F106" s="5">
        <f t="shared" si="6"/>
        <v>26569</v>
      </c>
      <c r="G106" s="6">
        <f>SQRT(SUM($F$2:F106)/A106)</f>
        <v>805.63845725581143</v>
      </c>
      <c r="H106" s="5">
        <f t="shared" si="7"/>
        <v>1</v>
      </c>
      <c r="I106" s="5">
        <f t="shared" si="8"/>
        <v>1</v>
      </c>
    </row>
    <row r="107" spans="1:9">
      <c r="A107">
        <v>106</v>
      </c>
      <c r="B107">
        <v>8</v>
      </c>
      <c r="C107">
        <v>6000</v>
      </c>
      <c r="D107">
        <v>4623</v>
      </c>
      <c r="E107" s="5">
        <f t="shared" si="5"/>
        <v>1377</v>
      </c>
      <c r="F107" s="5">
        <f t="shared" si="6"/>
        <v>1896129</v>
      </c>
      <c r="G107" s="6">
        <f>SQRT(SUM($F$2:F107)/A107)</f>
        <v>812.90724481901702</v>
      </c>
      <c r="H107" s="5">
        <f t="shared" si="7"/>
        <v>0</v>
      </c>
      <c r="I107" s="5">
        <f t="shared" si="8"/>
        <v>0</v>
      </c>
    </row>
    <row r="108" spans="1:9">
      <c r="A108">
        <v>107</v>
      </c>
      <c r="B108">
        <v>9</v>
      </c>
      <c r="C108">
        <v>6000</v>
      </c>
      <c r="D108">
        <v>4689</v>
      </c>
      <c r="E108" s="5">
        <f t="shared" si="5"/>
        <v>1311</v>
      </c>
      <c r="F108" s="5">
        <f t="shared" si="6"/>
        <v>1718721</v>
      </c>
      <c r="G108" s="6">
        <f>SQRT(SUM($F$2:F108)/A108)</f>
        <v>818.9658911341312</v>
      </c>
      <c r="H108" s="5">
        <f t="shared" si="7"/>
        <v>0</v>
      </c>
      <c r="I108" s="5">
        <f t="shared" si="8"/>
        <v>0</v>
      </c>
    </row>
    <row r="109" spans="1:9">
      <c r="A109">
        <v>108</v>
      </c>
      <c r="B109">
        <v>10</v>
      </c>
      <c r="C109">
        <v>6000</v>
      </c>
      <c r="D109">
        <v>4366</v>
      </c>
      <c r="E109" s="5">
        <f t="shared" si="5"/>
        <v>1634</v>
      </c>
      <c r="F109" s="5">
        <f t="shared" si="6"/>
        <v>2669956</v>
      </c>
      <c r="G109" s="6">
        <f>SQRT(SUM($F$2:F109)/A109)</f>
        <v>830.19076901815947</v>
      </c>
      <c r="H109" s="5">
        <f t="shared" si="7"/>
        <v>0</v>
      </c>
      <c r="I109" s="5">
        <f t="shared" si="8"/>
        <v>0</v>
      </c>
    </row>
    <row r="110" spans="1:9">
      <c r="A110">
        <v>109</v>
      </c>
      <c r="B110">
        <v>11</v>
      </c>
      <c r="C110">
        <v>6000</v>
      </c>
      <c r="D110">
        <v>5882</v>
      </c>
      <c r="E110" s="5">
        <f t="shared" si="5"/>
        <v>118</v>
      </c>
      <c r="F110" s="5">
        <f t="shared" si="6"/>
        <v>13924</v>
      </c>
      <c r="G110" s="6">
        <f>SQRT(SUM($F$2:F110)/A110)</f>
        <v>826.45106750035541</v>
      </c>
      <c r="H110" s="5">
        <f t="shared" si="7"/>
        <v>1</v>
      </c>
      <c r="I110" s="5">
        <f t="shared" si="8"/>
        <v>1</v>
      </c>
    </row>
    <row r="111" spans="1:9">
      <c r="A111">
        <v>110</v>
      </c>
      <c r="B111">
        <v>9</v>
      </c>
      <c r="C111">
        <v>6000</v>
      </c>
      <c r="D111">
        <v>5361</v>
      </c>
      <c r="E111" s="5">
        <f t="shared" si="5"/>
        <v>639</v>
      </c>
      <c r="F111" s="5">
        <f t="shared" si="6"/>
        <v>408321</v>
      </c>
      <c r="G111" s="6">
        <f>SQRT(SUM($F$2:F111)/A111)</f>
        <v>824.93884070826175</v>
      </c>
      <c r="H111" s="5">
        <f t="shared" si="7"/>
        <v>1</v>
      </c>
      <c r="I111" s="5">
        <f t="shared" si="8"/>
        <v>0</v>
      </c>
    </row>
    <row r="112" spans="1:9">
      <c r="A112">
        <v>111</v>
      </c>
      <c r="B112">
        <v>10</v>
      </c>
      <c r="C112">
        <v>6000</v>
      </c>
      <c r="D112">
        <v>6605</v>
      </c>
      <c r="E112" s="5">
        <f t="shared" si="5"/>
        <v>605</v>
      </c>
      <c r="F112" s="5">
        <f t="shared" si="6"/>
        <v>366025</v>
      </c>
      <c r="G112" s="6">
        <f>SQRT(SUM($F$2:F112)/A112)</f>
        <v>823.21975545158398</v>
      </c>
      <c r="H112" s="5">
        <f t="shared" si="7"/>
        <v>1</v>
      </c>
      <c r="I112" s="5">
        <f t="shared" si="8"/>
        <v>0</v>
      </c>
    </row>
    <row r="113" spans="1:9">
      <c r="A113">
        <v>112</v>
      </c>
      <c r="B113">
        <v>8</v>
      </c>
      <c r="C113">
        <v>6000</v>
      </c>
      <c r="D113">
        <v>5518</v>
      </c>
      <c r="E113" s="5">
        <f t="shared" si="5"/>
        <v>482</v>
      </c>
      <c r="F113" s="5">
        <f t="shared" si="6"/>
        <v>232324</v>
      </c>
      <c r="G113" s="6">
        <f>SQRT(SUM($F$2:F113)/A113)</f>
        <v>820.80099706671547</v>
      </c>
      <c r="H113" s="5">
        <f t="shared" si="7"/>
        <v>1</v>
      </c>
      <c r="I113" s="5">
        <f t="shared" si="8"/>
        <v>1</v>
      </c>
    </row>
    <row r="114" spans="1:9">
      <c r="A114">
        <v>113</v>
      </c>
      <c r="B114">
        <v>10</v>
      </c>
      <c r="C114">
        <v>6000</v>
      </c>
      <c r="D114">
        <v>6756</v>
      </c>
      <c r="E114" s="5">
        <f t="shared" si="5"/>
        <v>756</v>
      </c>
      <c r="F114" s="5">
        <f t="shared" si="6"/>
        <v>571536</v>
      </c>
      <c r="G114" s="6">
        <f>SQRT(SUM($F$2:F114)/A114)</f>
        <v>820.2499888739942</v>
      </c>
      <c r="H114" s="5">
        <f t="shared" si="7"/>
        <v>1</v>
      </c>
      <c r="I114" s="5">
        <f t="shared" si="8"/>
        <v>0</v>
      </c>
    </row>
    <row r="115" spans="1:9">
      <c r="A115">
        <v>114</v>
      </c>
      <c r="B115">
        <v>8</v>
      </c>
      <c r="C115">
        <v>6000</v>
      </c>
      <c r="D115">
        <v>4869</v>
      </c>
      <c r="E115" s="5">
        <f t="shared" si="5"/>
        <v>1131</v>
      </c>
      <c r="F115" s="5">
        <f t="shared" si="6"/>
        <v>1279161</v>
      </c>
      <c r="G115" s="6">
        <f>SQRT(SUM($F$2:F115)/A115)</f>
        <v>823.48583004244938</v>
      </c>
      <c r="H115" s="5">
        <f t="shared" si="7"/>
        <v>1</v>
      </c>
      <c r="I115" s="5">
        <f t="shared" si="8"/>
        <v>0</v>
      </c>
    </row>
    <row r="116" spans="1:9">
      <c r="A116">
        <v>115</v>
      </c>
      <c r="B116">
        <v>10</v>
      </c>
      <c r="C116">
        <v>6000</v>
      </c>
      <c r="D116">
        <v>6592</v>
      </c>
      <c r="E116" s="5">
        <f t="shared" si="5"/>
        <v>592</v>
      </c>
      <c r="F116" s="5">
        <f t="shared" si="6"/>
        <v>350464</v>
      </c>
      <c r="G116" s="6">
        <f>SQRT(SUM($F$2:F116)/A116)</f>
        <v>821.75400952712914</v>
      </c>
      <c r="H116" s="5">
        <f t="shared" si="7"/>
        <v>1</v>
      </c>
      <c r="I116" s="5">
        <f t="shared" si="8"/>
        <v>1</v>
      </c>
    </row>
    <row r="117" spans="1:9">
      <c r="A117">
        <v>116</v>
      </c>
      <c r="B117">
        <v>8</v>
      </c>
      <c r="C117">
        <v>6000</v>
      </c>
      <c r="D117">
        <v>5702</v>
      </c>
      <c r="E117" s="5">
        <f t="shared" si="5"/>
        <v>298</v>
      </c>
      <c r="F117" s="5">
        <f t="shared" si="6"/>
        <v>88804</v>
      </c>
      <c r="G117" s="6">
        <f>SQRT(SUM($F$2:F117)/A117)</f>
        <v>818.67199022942441</v>
      </c>
      <c r="H117" s="5">
        <f t="shared" si="7"/>
        <v>1</v>
      </c>
      <c r="I117" s="5">
        <f t="shared" si="8"/>
        <v>1</v>
      </c>
    </row>
    <row r="118" spans="1:9">
      <c r="A118">
        <v>117</v>
      </c>
      <c r="B118">
        <v>9</v>
      </c>
      <c r="C118">
        <v>6000</v>
      </c>
      <c r="D118">
        <v>5797</v>
      </c>
      <c r="E118" s="5">
        <f t="shared" si="5"/>
        <v>203</v>
      </c>
      <c r="F118" s="5">
        <f t="shared" si="6"/>
        <v>41209</v>
      </c>
      <c r="G118" s="6">
        <f>SQRT(SUM($F$2:F118)/A118)</f>
        <v>815.3818936416435</v>
      </c>
      <c r="H118" s="5">
        <f t="shared" si="7"/>
        <v>1</v>
      </c>
      <c r="I118" s="5">
        <f t="shared" si="8"/>
        <v>1</v>
      </c>
    </row>
    <row r="119" spans="1:9">
      <c r="A119">
        <v>118</v>
      </c>
      <c r="B119">
        <v>9</v>
      </c>
      <c r="C119">
        <v>6000</v>
      </c>
      <c r="D119">
        <v>6210</v>
      </c>
      <c r="E119" s="5">
        <f t="shared" si="5"/>
        <v>210</v>
      </c>
      <c r="F119" s="5">
        <f t="shared" si="6"/>
        <v>44100</v>
      </c>
      <c r="G119" s="6">
        <f>SQRT(SUM($F$2:F119)/A119)</f>
        <v>812.14965327951347</v>
      </c>
      <c r="H119" s="5">
        <f t="shared" si="7"/>
        <v>1</v>
      </c>
      <c r="I119" s="5">
        <f t="shared" si="8"/>
        <v>1</v>
      </c>
    </row>
    <row r="120" spans="1:9">
      <c r="A120">
        <v>119</v>
      </c>
      <c r="B120">
        <v>9</v>
      </c>
      <c r="C120">
        <v>6000</v>
      </c>
      <c r="D120">
        <v>5875</v>
      </c>
      <c r="E120" s="5">
        <f t="shared" si="5"/>
        <v>125</v>
      </c>
      <c r="F120" s="5">
        <f t="shared" si="6"/>
        <v>15625</v>
      </c>
      <c r="G120" s="6">
        <f>SQRT(SUM($F$2:F120)/A120)</f>
        <v>808.81123474230878</v>
      </c>
      <c r="H120" s="5">
        <f t="shared" si="7"/>
        <v>1</v>
      </c>
      <c r="I120" s="5">
        <f t="shared" si="8"/>
        <v>1</v>
      </c>
    </row>
    <row r="121" spans="1:9">
      <c r="A121">
        <v>120</v>
      </c>
      <c r="B121">
        <v>9</v>
      </c>
      <c r="C121">
        <v>6000</v>
      </c>
      <c r="D121">
        <v>5844</v>
      </c>
      <c r="E121" s="5">
        <f t="shared" si="5"/>
        <v>156</v>
      </c>
      <c r="F121" s="5">
        <f t="shared" si="6"/>
        <v>24336</v>
      </c>
      <c r="G121" s="6">
        <f>SQRT(SUM($F$2:F121)/A121)</f>
        <v>805.5600225929785</v>
      </c>
      <c r="H121" s="5">
        <f t="shared" si="7"/>
        <v>1</v>
      </c>
      <c r="I121" s="5">
        <f t="shared" si="8"/>
        <v>1</v>
      </c>
    </row>
    <row r="122" spans="1:9">
      <c r="A122">
        <v>121</v>
      </c>
      <c r="B122">
        <v>9</v>
      </c>
      <c r="C122">
        <v>6000</v>
      </c>
      <c r="D122">
        <v>4828</v>
      </c>
      <c r="E122" s="5">
        <f t="shared" si="5"/>
        <v>1172</v>
      </c>
      <c r="F122" s="5">
        <f t="shared" si="6"/>
        <v>1373584</v>
      </c>
      <c r="G122" s="6">
        <f>SQRT(SUM($F$2:F122)/A122)</f>
        <v>809.2687138643563</v>
      </c>
      <c r="H122" s="5">
        <f t="shared" si="7"/>
        <v>1</v>
      </c>
      <c r="I122" s="5">
        <f t="shared" si="8"/>
        <v>0</v>
      </c>
    </row>
    <row r="123" spans="1:9">
      <c r="A123">
        <v>122</v>
      </c>
      <c r="B123">
        <v>11</v>
      </c>
      <c r="C123">
        <v>6000</v>
      </c>
      <c r="D123">
        <v>6346</v>
      </c>
      <c r="E123" s="5">
        <f t="shared" si="5"/>
        <v>346</v>
      </c>
      <c r="F123" s="5">
        <f t="shared" si="6"/>
        <v>119716</v>
      </c>
      <c r="G123" s="6">
        <f>SQRT(SUM($F$2:F123)/A123)</f>
        <v>806.55375965468954</v>
      </c>
      <c r="H123" s="5">
        <f t="shared" si="7"/>
        <v>1</v>
      </c>
      <c r="I123" s="5">
        <f t="shared" si="8"/>
        <v>1</v>
      </c>
    </row>
    <row r="124" spans="1:9">
      <c r="A124">
        <v>123</v>
      </c>
      <c r="B124">
        <v>9</v>
      </c>
      <c r="C124">
        <v>6000</v>
      </c>
      <c r="D124">
        <v>5193</v>
      </c>
      <c r="E124" s="5">
        <f t="shared" si="5"/>
        <v>807</v>
      </c>
      <c r="F124" s="5">
        <f t="shared" si="6"/>
        <v>651249</v>
      </c>
      <c r="G124" s="6">
        <f>SQRT(SUM($F$2:F124)/A124)</f>
        <v>806.55738862043256</v>
      </c>
      <c r="H124" s="5">
        <f t="shared" si="7"/>
        <v>1</v>
      </c>
      <c r="I124" s="5">
        <f t="shared" si="8"/>
        <v>0</v>
      </c>
    </row>
    <row r="125" spans="1:9">
      <c r="A125">
        <v>124</v>
      </c>
      <c r="B125">
        <v>10</v>
      </c>
      <c r="C125">
        <v>6000</v>
      </c>
      <c r="D125">
        <v>5912</v>
      </c>
      <c r="E125" s="5">
        <f t="shared" si="5"/>
        <v>88</v>
      </c>
      <c r="F125" s="5">
        <f t="shared" si="6"/>
        <v>7744</v>
      </c>
      <c r="G125" s="6">
        <f>SQRT(SUM($F$2:F125)/A125)</f>
        <v>803.33742860242012</v>
      </c>
      <c r="H125" s="5">
        <f t="shared" si="7"/>
        <v>1</v>
      </c>
      <c r="I125" s="5">
        <f t="shared" si="8"/>
        <v>1</v>
      </c>
    </row>
    <row r="126" spans="1:9">
      <c r="A126">
        <v>125</v>
      </c>
      <c r="B126">
        <v>10</v>
      </c>
      <c r="C126">
        <v>6000</v>
      </c>
      <c r="D126">
        <v>6892</v>
      </c>
      <c r="E126" s="5">
        <f t="shared" si="5"/>
        <v>892</v>
      </c>
      <c r="F126" s="5">
        <f t="shared" si="6"/>
        <v>795664</v>
      </c>
      <c r="G126" s="6">
        <f>SQRT(SUM($F$2:F126)/A126)</f>
        <v>804.08552281458219</v>
      </c>
      <c r="H126" s="5">
        <f t="shared" si="7"/>
        <v>1</v>
      </c>
      <c r="I126" s="5">
        <f t="shared" si="8"/>
        <v>0</v>
      </c>
    </row>
    <row r="127" spans="1:9">
      <c r="A127">
        <v>126</v>
      </c>
      <c r="B127">
        <v>9</v>
      </c>
      <c r="C127">
        <v>6000</v>
      </c>
      <c r="D127">
        <v>6571</v>
      </c>
      <c r="E127" s="5">
        <f t="shared" si="5"/>
        <v>571</v>
      </c>
      <c r="F127" s="5">
        <f t="shared" si="6"/>
        <v>326041</v>
      </c>
      <c r="G127" s="6">
        <f>SQRT(SUM($F$2:F127)/A127)</f>
        <v>802.50219798937485</v>
      </c>
      <c r="H127" s="5">
        <f t="shared" si="7"/>
        <v>1</v>
      </c>
      <c r="I127" s="5">
        <f t="shared" si="8"/>
        <v>1</v>
      </c>
    </row>
    <row r="128" spans="1:9">
      <c r="A128">
        <v>127</v>
      </c>
      <c r="B128">
        <v>9</v>
      </c>
      <c r="C128">
        <v>6000</v>
      </c>
      <c r="D128">
        <v>5920</v>
      </c>
      <c r="E128" s="5">
        <f t="shared" si="5"/>
        <v>80</v>
      </c>
      <c r="F128" s="5">
        <f t="shared" si="6"/>
        <v>6400</v>
      </c>
      <c r="G128" s="6">
        <f>SQRT(SUM($F$2:F128)/A128)</f>
        <v>799.36801809082692</v>
      </c>
      <c r="H128" s="5">
        <f t="shared" si="7"/>
        <v>1</v>
      </c>
      <c r="I128" s="5">
        <f t="shared" si="8"/>
        <v>1</v>
      </c>
    </row>
    <row r="129" spans="1:9">
      <c r="A129">
        <v>128</v>
      </c>
      <c r="B129">
        <v>9</v>
      </c>
      <c r="C129">
        <v>6000</v>
      </c>
      <c r="D129">
        <v>6517</v>
      </c>
      <c r="E129" s="5">
        <f t="shared" si="5"/>
        <v>517</v>
      </c>
      <c r="F129" s="5">
        <f t="shared" si="6"/>
        <v>267289</v>
      </c>
      <c r="G129" s="6">
        <f>SQRT(SUM($F$2:F129)/A129)</f>
        <v>797.54957232293714</v>
      </c>
      <c r="H129" s="5">
        <f t="shared" si="7"/>
        <v>1</v>
      </c>
      <c r="I129" s="5">
        <f t="shared" si="8"/>
        <v>1</v>
      </c>
    </row>
    <row r="130" spans="1:9">
      <c r="A130">
        <v>129</v>
      </c>
      <c r="B130">
        <v>9</v>
      </c>
      <c r="C130">
        <v>6000</v>
      </c>
      <c r="D130">
        <v>6066</v>
      </c>
      <c r="E130" s="5">
        <f t="shared" si="5"/>
        <v>66</v>
      </c>
      <c r="F130" s="5">
        <f t="shared" si="6"/>
        <v>4356</v>
      </c>
      <c r="G130" s="6">
        <f>SQRT(SUM($F$2:F130)/A130)</f>
        <v>794.47353247194428</v>
      </c>
      <c r="H130" s="5">
        <f t="shared" si="7"/>
        <v>1</v>
      </c>
      <c r="I130" s="5">
        <f t="shared" si="8"/>
        <v>1</v>
      </c>
    </row>
    <row r="131" spans="1:9">
      <c r="A131">
        <v>130</v>
      </c>
      <c r="B131">
        <v>9</v>
      </c>
      <c r="C131">
        <v>6000</v>
      </c>
      <c r="D131">
        <v>6076</v>
      </c>
      <c r="E131" s="5">
        <f t="shared" ref="E131:E194" si="9">ABS(C131-D131)</f>
        <v>76</v>
      </c>
      <c r="F131" s="5">
        <f t="shared" ref="F131:F194" si="10">POWER(E131,2)</f>
        <v>5776</v>
      </c>
      <c r="G131" s="6">
        <f>SQRT(SUM($F$2:F131)/A131)</f>
        <v>791.44003611722269</v>
      </c>
      <c r="H131" s="5">
        <f t="shared" ref="H131:H194" si="11">IF(ABS(E131)/C131&gt;0.2,0,1)</f>
        <v>1</v>
      </c>
      <c r="I131" s="5">
        <f t="shared" ref="I131:I194" si="12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6682</v>
      </c>
      <c r="E132" s="5">
        <f t="shared" si="9"/>
        <v>682</v>
      </c>
      <c r="F132" s="5">
        <f t="shared" si="10"/>
        <v>465124</v>
      </c>
      <c r="G132" s="6">
        <f>SQRT(SUM($F$2:F132)/A132)</f>
        <v>790.66199435218653</v>
      </c>
      <c r="H132" s="5">
        <f t="shared" si="11"/>
        <v>1</v>
      </c>
      <c r="I132" s="5">
        <f t="shared" si="12"/>
        <v>0</v>
      </c>
    </row>
    <row r="133" spans="1:9">
      <c r="A133">
        <v>132</v>
      </c>
      <c r="B133">
        <v>8</v>
      </c>
      <c r="C133">
        <v>6000</v>
      </c>
      <c r="D133">
        <v>5934</v>
      </c>
      <c r="E133" s="5">
        <f t="shared" si="9"/>
        <v>66</v>
      </c>
      <c r="F133" s="5">
        <f t="shared" si="10"/>
        <v>4356</v>
      </c>
      <c r="G133" s="6">
        <f>SQRT(SUM($F$2:F133)/A133)</f>
        <v>787.68231655800287</v>
      </c>
      <c r="H133" s="5">
        <f t="shared" si="11"/>
        <v>1</v>
      </c>
      <c r="I133" s="5">
        <f t="shared" si="12"/>
        <v>1</v>
      </c>
    </row>
    <row r="134" spans="1:9">
      <c r="A134">
        <v>133</v>
      </c>
      <c r="B134">
        <v>9</v>
      </c>
      <c r="C134">
        <v>6000</v>
      </c>
      <c r="D134">
        <v>6486</v>
      </c>
      <c r="E134" s="5">
        <f t="shared" si="9"/>
        <v>486</v>
      </c>
      <c r="F134" s="5">
        <f t="shared" si="10"/>
        <v>236196</v>
      </c>
      <c r="G134" s="6">
        <f>SQRT(SUM($F$2:F134)/A134)</f>
        <v>785.84626574378956</v>
      </c>
      <c r="H134" s="5">
        <f t="shared" si="11"/>
        <v>1</v>
      </c>
      <c r="I134" s="5">
        <f t="shared" si="12"/>
        <v>1</v>
      </c>
    </row>
    <row r="135" spans="1:9">
      <c r="A135">
        <v>134</v>
      </c>
      <c r="B135">
        <v>8</v>
      </c>
      <c r="C135">
        <v>6000</v>
      </c>
      <c r="D135">
        <v>5138</v>
      </c>
      <c r="E135" s="5">
        <f t="shared" si="9"/>
        <v>862</v>
      </c>
      <c r="F135" s="5">
        <f t="shared" si="10"/>
        <v>743044</v>
      </c>
      <c r="G135" s="6">
        <f>SQRT(SUM($F$2:F135)/A135)</f>
        <v>786.44188805250076</v>
      </c>
      <c r="H135" s="5">
        <f t="shared" si="11"/>
        <v>1</v>
      </c>
      <c r="I135" s="5">
        <f t="shared" si="12"/>
        <v>0</v>
      </c>
    </row>
    <row r="136" spans="1:9">
      <c r="A136">
        <v>135</v>
      </c>
      <c r="B136">
        <v>10</v>
      </c>
      <c r="C136">
        <v>6000</v>
      </c>
      <c r="D136">
        <v>6371</v>
      </c>
      <c r="E136" s="5">
        <f t="shared" si="9"/>
        <v>371</v>
      </c>
      <c r="F136" s="5">
        <f t="shared" si="10"/>
        <v>137641</v>
      </c>
      <c r="G136" s="6">
        <f>SQRT(SUM($F$2:F136)/A136)</f>
        <v>784.17408309162613</v>
      </c>
      <c r="H136" s="5">
        <f t="shared" si="11"/>
        <v>1</v>
      </c>
      <c r="I136" s="5">
        <f t="shared" si="12"/>
        <v>1</v>
      </c>
    </row>
    <row r="137" spans="1:9">
      <c r="A137">
        <v>136</v>
      </c>
      <c r="B137">
        <v>9</v>
      </c>
      <c r="C137">
        <v>6000</v>
      </c>
      <c r="D137">
        <v>6236</v>
      </c>
      <c r="E137" s="5">
        <f t="shared" si="9"/>
        <v>236</v>
      </c>
      <c r="F137" s="5">
        <f t="shared" si="10"/>
        <v>55696</v>
      </c>
      <c r="G137" s="6">
        <f>SQRT(SUM($F$2:F137)/A137)</f>
        <v>781.54781382466774</v>
      </c>
      <c r="H137" s="5">
        <f t="shared" si="11"/>
        <v>1</v>
      </c>
      <c r="I137" s="5">
        <f t="shared" si="12"/>
        <v>1</v>
      </c>
    </row>
    <row r="138" spans="1:9">
      <c r="A138">
        <v>137</v>
      </c>
      <c r="B138">
        <v>9</v>
      </c>
      <c r="C138">
        <v>6000</v>
      </c>
      <c r="D138">
        <v>6727</v>
      </c>
      <c r="E138" s="5">
        <f t="shared" si="9"/>
        <v>727</v>
      </c>
      <c r="F138" s="5">
        <f t="shared" si="10"/>
        <v>528529</v>
      </c>
      <c r="G138" s="6">
        <f>SQRT(SUM($F$2:F138)/A138)</f>
        <v>781.16345476839444</v>
      </c>
      <c r="H138" s="5">
        <f t="shared" si="11"/>
        <v>1</v>
      </c>
      <c r="I138" s="5">
        <f t="shared" si="12"/>
        <v>0</v>
      </c>
    </row>
    <row r="139" spans="1:9">
      <c r="A139">
        <v>138</v>
      </c>
      <c r="B139">
        <v>8</v>
      </c>
      <c r="C139">
        <v>6000</v>
      </c>
      <c r="D139">
        <v>5313</v>
      </c>
      <c r="E139" s="5">
        <f t="shared" si="9"/>
        <v>687</v>
      </c>
      <c r="F139" s="5">
        <f t="shared" si="10"/>
        <v>471969</v>
      </c>
      <c r="G139" s="6">
        <f>SQRT(SUM($F$2:F139)/A139)</f>
        <v>780.52197324908013</v>
      </c>
      <c r="H139" s="5">
        <f t="shared" si="11"/>
        <v>1</v>
      </c>
      <c r="I139" s="5">
        <f t="shared" si="12"/>
        <v>0</v>
      </c>
    </row>
    <row r="140" spans="1:9">
      <c r="A140">
        <v>139</v>
      </c>
      <c r="B140">
        <v>10</v>
      </c>
      <c r="C140">
        <v>6000</v>
      </c>
      <c r="D140">
        <v>6926</v>
      </c>
      <c r="E140" s="5">
        <f t="shared" si="9"/>
        <v>926</v>
      </c>
      <c r="F140" s="5">
        <f t="shared" si="10"/>
        <v>857476</v>
      </c>
      <c r="G140" s="6">
        <f>SQRT(SUM($F$2:F140)/A140)</f>
        <v>781.66527639172182</v>
      </c>
      <c r="H140" s="5">
        <f t="shared" si="11"/>
        <v>1</v>
      </c>
      <c r="I140" s="5">
        <f t="shared" si="12"/>
        <v>0</v>
      </c>
    </row>
    <row r="141" spans="1:9">
      <c r="A141">
        <v>140</v>
      </c>
      <c r="B141">
        <v>8</v>
      </c>
      <c r="C141">
        <v>6000</v>
      </c>
      <c r="D141">
        <v>5236</v>
      </c>
      <c r="E141" s="5">
        <f t="shared" si="9"/>
        <v>764</v>
      </c>
      <c r="F141" s="5">
        <f t="shared" si="10"/>
        <v>583696</v>
      </c>
      <c r="G141" s="6">
        <f>SQRT(SUM($F$2:F141)/A141)</f>
        <v>781.5405117001751</v>
      </c>
      <c r="H141" s="5">
        <f t="shared" si="11"/>
        <v>1</v>
      </c>
      <c r="I141" s="5">
        <f t="shared" si="12"/>
        <v>0</v>
      </c>
    </row>
    <row r="142" spans="1:9">
      <c r="A142">
        <v>141</v>
      </c>
      <c r="B142">
        <v>10</v>
      </c>
      <c r="C142">
        <v>6000</v>
      </c>
      <c r="D142">
        <v>5604</v>
      </c>
      <c r="E142" s="5">
        <f t="shared" si="9"/>
        <v>396</v>
      </c>
      <c r="F142" s="5">
        <f t="shared" si="10"/>
        <v>156816</v>
      </c>
      <c r="G142" s="6">
        <f>SQRT(SUM($F$2:F142)/A142)</f>
        <v>779.47789399959413</v>
      </c>
      <c r="H142" s="5">
        <f t="shared" si="11"/>
        <v>1</v>
      </c>
      <c r="I142" s="5">
        <f t="shared" si="12"/>
        <v>1</v>
      </c>
    </row>
    <row r="143" spans="1:9">
      <c r="A143">
        <v>142</v>
      </c>
      <c r="B143">
        <v>9</v>
      </c>
      <c r="C143">
        <v>6000</v>
      </c>
      <c r="D143">
        <v>6419</v>
      </c>
      <c r="E143" s="5">
        <f t="shared" si="9"/>
        <v>419</v>
      </c>
      <c r="F143" s="5">
        <f t="shared" si="10"/>
        <v>175561</v>
      </c>
      <c r="G143" s="6">
        <f>SQRT(SUM($F$2:F143)/A143)</f>
        <v>777.52386404208164</v>
      </c>
      <c r="H143" s="5">
        <f t="shared" si="11"/>
        <v>1</v>
      </c>
      <c r="I143" s="5">
        <f t="shared" si="12"/>
        <v>1</v>
      </c>
    </row>
    <row r="144" spans="1:9">
      <c r="A144">
        <v>143</v>
      </c>
      <c r="B144">
        <v>8</v>
      </c>
      <c r="C144">
        <v>6000</v>
      </c>
      <c r="D144">
        <v>5812</v>
      </c>
      <c r="E144" s="5">
        <f t="shared" si="9"/>
        <v>188</v>
      </c>
      <c r="F144" s="5">
        <f t="shared" si="10"/>
        <v>35344</v>
      </c>
      <c r="G144" s="6">
        <f>SQRT(SUM($F$2:F144)/A144)</f>
        <v>774.95996287288551</v>
      </c>
      <c r="H144" s="5">
        <f t="shared" si="11"/>
        <v>1</v>
      </c>
      <c r="I144" s="5">
        <f t="shared" si="12"/>
        <v>1</v>
      </c>
    </row>
    <row r="145" spans="1:9">
      <c r="A145">
        <v>144</v>
      </c>
      <c r="B145">
        <v>9</v>
      </c>
      <c r="C145">
        <v>6000</v>
      </c>
      <c r="D145">
        <v>5258</v>
      </c>
      <c r="E145" s="5">
        <f t="shared" si="9"/>
        <v>742</v>
      </c>
      <c r="F145" s="5">
        <f t="shared" si="10"/>
        <v>550564</v>
      </c>
      <c r="G145" s="6">
        <f>SQRT(SUM($F$2:F145)/A145)</f>
        <v>774.73590930501382</v>
      </c>
      <c r="H145" s="5">
        <f t="shared" si="11"/>
        <v>1</v>
      </c>
      <c r="I145" s="5">
        <f t="shared" si="12"/>
        <v>0</v>
      </c>
    </row>
    <row r="146" spans="1:9">
      <c r="A146">
        <v>145</v>
      </c>
      <c r="B146">
        <v>10</v>
      </c>
      <c r="C146">
        <v>6000</v>
      </c>
      <c r="D146">
        <v>5942</v>
      </c>
      <c r="E146" s="5">
        <f t="shared" si="9"/>
        <v>58</v>
      </c>
      <c r="F146" s="5">
        <f t="shared" si="10"/>
        <v>3364</v>
      </c>
      <c r="G146" s="6">
        <f>SQRT(SUM($F$2:F146)/A146)</f>
        <v>772.07480877491889</v>
      </c>
      <c r="H146" s="5">
        <f t="shared" si="11"/>
        <v>1</v>
      </c>
      <c r="I146" s="5">
        <f t="shared" si="12"/>
        <v>1</v>
      </c>
    </row>
    <row r="147" spans="1:9">
      <c r="A147">
        <v>146</v>
      </c>
      <c r="B147">
        <v>9</v>
      </c>
      <c r="C147">
        <v>6000</v>
      </c>
      <c r="D147">
        <v>6108</v>
      </c>
      <c r="E147" s="5">
        <f t="shared" si="9"/>
        <v>108</v>
      </c>
      <c r="F147" s="5">
        <f t="shared" si="10"/>
        <v>11664</v>
      </c>
      <c r="G147" s="6">
        <f>SQRT(SUM($F$2:F147)/A147)</f>
        <v>769.47808766543858</v>
      </c>
      <c r="H147" s="5">
        <f t="shared" si="11"/>
        <v>1</v>
      </c>
      <c r="I147" s="5">
        <f t="shared" si="12"/>
        <v>1</v>
      </c>
    </row>
    <row r="148" spans="1:9">
      <c r="A148">
        <v>147</v>
      </c>
      <c r="B148">
        <v>9</v>
      </c>
      <c r="C148">
        <v>6000</v>
      </c>
      <c r="D148">
        <v>5167</v>
      </c>
      <c r="E148" s="5">
        <f t="shared" si="9"/>
        <v>833</v>
      </c>
      <c r="F148" s="5">
        <f t="shared" si="10"/>
        <v>693889</v>
      </c>
      <c r="G148" s="6">
        <f>SQRT(SUM($F$2:F148)/A148)</f>
        <v>769.92791428631745</v>
      </c>
      <c r="H148" s="5">
        <f t="shared" si="11"/>
        <v>1</v>
      </c>
      <c r="I148" s="5">
        <f t="shared" si="12"/>
        <v>0</v>
      </c>
    </row>
    <row r="149" spans="1:9">
      <c r="A149">
        <v>148</v>
      </c>
      <c r="B149">
        <v>10</v>
      </c>
      <c r="C149">
        <v>6000</v>
      </c>
      <c r="D149">
        <v>6214</v>
      </c>
      <c r="E149" s="5">
        <f t="shared" si="9"/>
        <v>214</v>
      </c>
      <c r="F149" s="5">
        <f t="shared" si="10"/>
        <v>45796</v>
      </c>
      <c r="G149" s="6">
        <f>SQRT(SUM($F$2:F149)/A149)</f>
        <v>767.52400261789501</v>
      </c>
      <c r="H149" s="5">
        <f t="shared" si="11"/>
        <v>1</v>
      </c>
      <c r="I149" s="5">
        <f t="shared" si="12"/>
        <v>1</v>
      </c>
    </row>
    <row r="150" spans="1:9">
      <c r="A150">
        <v>149</v>
      </c>
      <c r="B150">
        <v>9</v>
      </c>
      <c r="C150">
        <v>6000</v>
      </c>
      <c r="D150">
        <v>4881</v>
      </c>
      <c r="E150" s="5">
        <f t="shared" si="9"/>
        <v>1119</v>
      </c>
      <c r="F150" s="5">
        <f t="shared" si="10"/>
        <v>1252161</v>
      </c>
      <c r="G150" s="6">
        <f>SQRT(SUM($F$2:F150)/A150)</f>
        <v>770.4175587076794</v>
      </c>
      <c r="H150" s="5">
        <f t="shared" si="11"/>
        <v>1</v>
      </c>
      <c r="I150" s="5">
        <f t="shared" si="12"/>
        <v>0</v>
      </c>
    </row>
    <row r="151" spans="1:9">
      <c r="A151">
        <v>150</v>
      </c>
      <c r="B151">
        <v>11</v>
      </c>
      <c r="C151">
        <v>6000</v>
      </c>
      <c r="D151">
        <v>5980</v>
      </c>
      <c r="E151" s="5">
        <f t="shared" si="9"/>
        <v>20</v>
      </c>
      <c r="F151" s="5">
        <f t="shared" si="10"/>
        <v>400</v>
      </c>
      <c r="G151" s="6">
        <f>SQRT(SUM($F$2:F151)/A151)</f>
        <v>767.84694221352902</v>
      </c>
      <c r="H151" s="5">
        <f t="shared" si="11"/>
        <v>1</v>
      </c>
      <c r="I151" s="5">
        <f t="shared" si="12"/>
        <v>1</v>
      </c>
    </row>
    <row r="152" spans="1:9">
      <c r="A152">
        <v>151</v>
      </c>
      <c r="B152">
        <v>10</v>
      </c>
      <c r="C152">
        <v>6000</v>
      </c>
      <c r="D152">
        <v>6163</v>
      </c>
      <c r="E152" s="5">
        <f t="shared" si="9"/>
        <v>163</v>
      </c>
      <c r="F152" s="5">
        <f t="shared" si="10"/>
        <v>26569</v>
      </c>
      <c r="G152" s="6">
        <f>SQRT(SUM($F$2:F152)/A152)</f>
        <v>765.41512781025881</v>
      </c>
      <c r="H152" s="5">
        <f t="shared" si="11"/>
        <v>1</v>
      </c>
      <c r="I152" s="5">
        <f t="shared" si="12"/>
        <v>1</v>
      </c>
    </row>
    <row r="153" spans="1:9">
      <c r="A153">
        <v>152</v>
      </c>
      <c r="B153">
        <v>9</v>
      </c>
      <c r="C153">
        <v>6000</v>
      </c>
      <c r="D153">
        <v>5103</v>
      </c>
      <c r="E153" s="5">
        <f t="shared" si="9"/>
        <v>897</v>
      </c>
      <c r="F153" s="5">
        <f t="shared" si="10"/>
        <v>804609</v>
      </c>
      <c r="G153" s="6">
        <f>SQRT(SUM($F$2:F153)/A153)</f>
        <v>766.35465285164707</v>
      </c>
      <c r="H153" s="5">
        <f t="shared" si="11"/>
        <v>1</v>
      </c>
      <c r="I153" s="5">
        <f t="shared" si="12"/>
        <v>0</v>
      </c>
    </row>
    <row r="154" spans="1:9">
      <c r="A154">
        <v>153</v>
      </c>
      <c r="B154">
        <v>11</v>
      </c>
      <c r="C154">
        <v>6000</v>
      </c>
      <c r="D154">
        <v>6632</v>
      </c>
      <c r="E154" s="5">
        <f t="shared" si="9"/>
        <v>632</v>
      </c>
      <c r="F154" s="5">
        <f t="shared" si="10"/>
        <v>399424</v>
      </c>
      <c r="G154" s="6">
        <f>SQRT(SUM($F$2:F154)/A154)</f>
        <v>765.55307445266101</v>
      </c>
      <c r="H154" s="5">
        <f t="shared" si="11"/>
        <v>1</v>
      </c>
      <c r="I154" s="5">
        <f t="shared" si="12"/>
        <v>0</v>
      </c>
    </row>
    <row r="155" spans="1:9">
      <c r="A155">
        <v>154</v>
      </c>
      <c r="B155">
        <v>9</v>
      </c>
      <c r="C155">
        <v>6000</v>
      </c>
      <c r="D155">
        <v>4429</v>
      </c>
      <c r="E155" s="5">
        <f t="shared" si="9"/>
        <v>1571</v>
      </c>
      <c r="F155" s="5">
        <f t="shared" si="10"/>
        <v>2468041</v>
      </c>
      <c r="G155" s="6">
        <f>SQRT(SUM($F$2:F155)/A155)</f>
        <v>773.49343300967394</v>
      </c>
      <c r="H155" s="5">
        <f t="shared" si="11"/>
        <v>0</v>
      </c>
      <c r="I155" s="5">
        <f t="shared" si="12"/>
        <v>0</v>
      </c>
    </row>
    <row r="156" spans="1:9">
      <c r="A156">
        <v>155</v>
      </c>
      <c r="B156">
        <v>12</v>
      </c>
      <c r="C156">
        <v>6000</v>
      </c>
      <c r="D156">
        <v>7300</v>
      </c>
      <c r="E156" s="5">
        <f t="shared" si="9"/>
        <v>1300</v>
      </c>
      <c r="F156" s="5">
        <f t="shared" si="10"/>
        <v>1690000</v>
      </c>
      <c r="G156" s="6">
        <f>SQRT(SUM($F$2:F156)/A156)</f>
        <v>778.03301198723921</v>
      </c>
      <c r="H156" s="5">
        <f t="shared" si="11"/>
        <v>0</v>
      </c>
      <c r="I156" s="5">
        <f t="shared" si="12"/>
        <v>0</v>
      </c>
    </row>
    <row r="157" spans="1:9">
      <c r="A157">
        <v>156</v>
      </c>
      <c r="B157">
        <v>8</v>
      </c>
      <c r="C157">
        <v>6000</v>
      </c>
      <c r="D157">
        <v>5279</v>
      </c>
      <c r="E157" s="5">
        <f t="shared" si="9"/>
        <v>721</v>
      </c>
      <c r="F157" s="5">
        <f t="shared" si="10"/>
        <v>519841</v>
      </c>
      <c r="G157" s="6">
        <f>SQRT(SUM($F$2:F157)/A157)</f>
        <v>777.68073585699483</v>
      </c>
      <c r="H157" s="5">
        <f t="shared" si="11"/>
        <v>1</v>
      </c>
      <c r="I157" s="5">
        <f t="shared" si="12"/>
        <v>0</v>
      </c>
    </row>
    <row r="158" spans="1:9">
      <c r="A158">
        <v>157</v>
      </c>
      <c r="B158">
        <v>11</v>
      </c>
      <c r="C158">
        <v>6000</v>
      </c>
      <c r="D158">
        <v>5692</v>
      </c>
      <c r="E158" s="5">
        <f t="shared" si="9"/>
        <v>308</v>
      </c>
      <c r="F158" s="5">
        <f t="shared" si="10"/>
        <v>94864</v>
      </c>
      <c r="G158" s="6">
        <f>SQRT(SUM($F$2:F158)/A158)</f>
        <v>775.5897160505109</v>
      </c>
      <c r="H158" s="5">
        <f t="shared" si="11"/>
        <v>1</v>
      </c>
      <c r="I158" s="5">
        <f t="shared" si="12"/>
        <v>1</v>
      </c>
    </row>
    <row r="159" spans="1:9">
      <c r="A159">
        <v>158</v>
      </c>
      <c r="B159">
        <v>10</v>
      </c>
      <c r="C159">
        <v>6000</v>
      </c>
      <c r="D159">
        <v>7205</v>
      </c>
      <c r="E159" s="5">
        <f t="shared" si="9"/>
        <v>1205</v>
      </c>
      <c r="F159" s="5">
        <f t="shared" si="10"/>
        <v>1452025</v>
      </c>
      <c r="G159" s="6">
        <f>SQRT(SUM($F$2:F159)/A159)</f>
        <v>779.05213422986094</v>
      </c>
      <c r="H159" s="5">
        <f t="shared" si="11"/>
        <v>0</v>
      </c>
      <c r="I159" s="5">
        <f t="shared" si="12"/>
        <v>0</v>
      </c>
    </row>
    <row r="160" spans="1:9">
      <c r="A160">
        <v>159</v>
      </c>
      <c r="B160">
        <v>8</v>
      </c>
      <c r="C160">
        <v>6000</v>
      </c>
      <c r="D160">
        <v>5802</v>
      </c>
      <c r="E160" s="5">
        <f t="shared" si="9"/>
        <v>198</v>
      </c>
      <c r="F160" s="5">
        <f t="shared" si="10"/>
        <v>39204</v>
      </c>
      <c r="G160" s="6">
        <f>SQRT(SUM($F$2:F160)/A160)</f>
        <v>776.75715185376623</v>
      </c>
      <c r="H160" s="5">
        <f t="shared" si="11"/>
        <v>1</v>
      </c>
      <c r="I160" s="5">
        <f t="shared" si="12"/>
        <v>1</v>
      </c>
    </row>
    <row r="161" spans="1:9">
      <c r="A161">
        <v>160</v>
      </c>
      <c r="B161">
        <v>10</v>
      </c>
      <c r="C161">
        <v>6000</v>
      </c>
      <c r="D161">
        <v>6927</v>
      </c>
      <c r="E161" s="5">
        <f t="shared" si="9"/>
        <v>927</v>
      </c>
      <c r="F161" s="5">
        <f t="shared" si="10"/>
        <v>859329</v>
      </c>
      <c r="G161" s="6">
        <f>SQRT(SUM($F$2:F161)/A161)</f>
        <v>777.78630178860828</v>
      </c>
      <c r="H161" s="5">
        <f t="shared" si="11"/>
        <v>1</v>
      </c>
      <c r="I161" s="5">
        <f t="shared" si="12"/>
        <v>0</v>
      </c>
    </row>
    <row r="162" spans="1:9">
      <c r="A162">
        <v>161</v>
      </c>
      <c r="B162">
        <v>8</v>
      </c>
      <c r="C162">
        <v>6000</v>
      </c>
      <c r="D162">
        <v>5594</v>
      </c>
      <c r="E162" s="5">
        <f t="shared" si="9"/>
        <v>406</v>
      </c>
      <c r="F162" s="5">
        <f t="shared" si="10"/>
        <v>164836</v>
      </c>
      <c r="G162" s="6">
        <f>SQRT(SUM($F$2:F162)/A162)</f>
        <v>776.02699335135105</v>
      </c>
      <c r="H162" s="5">
        <f t="shared" si="11"/>
        <v>1</v>
      </c>
      <c r="I162" s="5">
        <f t="shared" si="12"/>
        <v>1</v>
      </c>
    </row>
    <row r="163" spans="1:9">
      <c r="A163">
        <v>162</v>
      </c>
      <c r="B163">
        <v>10</v>
      </c>
      <c r="C163">
        <v>6000</v>
      </c>
      <c r="D163">
        <v>6780</v>
      </c>
      <c r="E163" s="5">
        <f t="shared" si="9"/>
        <v>780</v>
      </c>
      <c r="F163" s="5">
        <f t="shared" si="10"/>
        <v>608400</v>
      </c>
      <c r="G163" s="6">
        <f>SQRT(SUM($F$2:F163)/A163)</f>
        <v>776.05158047358907</v>
      </c>
      <c r="H163" s="5">
        <f t="shared" si="11"/>
        <v>1</v>
      </c>
      <c r="I163" s="5">
        <f t="shared" si="12"/>
        <v>0</v>
      </c>
    </row>
    <row r="164" spans="1:9">
      <c r="A164">
        <v>163</v>
      </c>
      <c r="B164">
        <v>9</v>
      </c>
      <c r="C164">
        <v>6000</v>
      </c>
      <c r="D164">
        <v>6138</v>
      </c>
      <c r="E164" s="5">
        <f t="shared" si="9"/>
        <v>138</v>
      </c>
      <c r="F164" s="5">
        <f t="shared" si="10"/>
        <v>19044</v>
      </c>
      <c r="G164" s="6">
        <f>SQRT(SUM($F$2:F164)/A164)</f>
        <v>773.74289494938989</v>
      </c>
      <c r="H164" s="5">
        <f t="shared" si="11"/>
        <v>1</v>
      </c>
      <c r="I164" s="5">
        <f t="shared" si="12"/>
        <v>1</v>
      </c>
    </row>
    <row r="165" spans="1:9">
      <c r="A165">
        <v>164</v>
      </c>
      <c r="B165">
        <v>9</v>
      </c>
      <c r="C165">
        <v>6000</v>
      </c>
      <c r="D165">
        <v>6217</v>
      </c>
      <c r="E165" s="5">
        <f t="shared" si="9"/>
        <v>217</v>
      </c>
      <c r="F165" s="5">
        <f t="shared" si="10"/>
        <v>47089</v>
      </c>
      <c r="G165" s="6">
        <f>SQRT(SUM($F$2:F165)/A165)</f>
        <v>771.5664064176168</v>
      </c>
      <c r="H165" s="5">
        <f t="shared" si="11"/>
        <v>1</v>
      </c>
      <c r="I165" s="5">
        <f t="shared" si="12"/>
        <v>1</v>
      </c>
    </row>
    <row r="166" spans="1:9">
      <c r="A166">
        <v>165</v>
      </c>
      <c r="B166">
        <v>9</v>
      </c>
      <c r="C166">
        <v>6000</v>
      </c>
      <c r="D166">
        <v>5442</v>
      </c>
      <c r="E166" s="5">
        <f t="shared" si="9"/>
        <v>558</v>
      </c>
      <c r="F166" s="5">
        <f t="shared" si="10"/>
        <v>311364</v>
      </c>
      <c r="G166" s="6">
        <f>SQRT(SUM($F$2:F166)/A166)</f>
        <v>770.45039169346001</v>
      </c>
      <c r="H166" s="5">
        <f t="shared" si="11"/>
        <v>1</v>
      </c>
      <c r="I166" s="5">
        <f t="shared" si="12"/>
        <v>1</v>
      </c>
    </row>
    <row r="167" spans="1:9">
      <c r="A167">
        <v>166</v>
      </c>
      <c r="B167">
        <v>10</v>
      </c>
      <c r="C167">
        <v>6000</v>
      </c>
      <c r="D167">
        <v>5638</v>
      </c>
      <c r="E167" s="5">
        <f t="shared" si="9"/>
        <v>362</v>
      </c>
      <c r="F167" s="5">
        <f t="shared" si="10"/>
        <v>131044</v>
      </c>
      <c r="G167" s="6">
        <f>SQRT(SUM($F$2:F167)/A167)</f>
        <v>768.63994265571648</v>
      </c>
      <c r="H167" s="5">
        <f t="shared" si="11"/>
        <v>1</v>
      </c>
      <c r="I167" s="5">
        <f t="shared" si="12"/>
        <v>1</v>
      </c>
    </row>
    <row r="168" spans="1:9">
      <c r="A168">
        <v>167</v>
      </c>
      <c r="B168">
        <v>10</v>
      </c>
      <c r="C168">
        <v>6000</v>
      </c>
      <c r="D168">
        <v>5568</v>
      </c>
      <c r="E168" s="5">
        <f t="shared" si="9"/>
        <v>432</v>
      </c>
      <c r="F168" s="5">
        <f t="shared" si="10"/>
        <v>186624</v>
      </c>
      <c r="G168" s="6">
        <f>SQRT(SUM($F$2:F168)/A168)</f>
        <v>767.06394896149766</v>
      </c>
      <c r="H168" s="5">
        <f t="shared" si="11"/>
        <v>1</v>
      </c>
      <c r="I168" s="5">
        <f t="shared" si="12"/>
        <v>1</v>
      </c>
    </row>
    <row r="169" spans="1:9">
      <c r="A169">
        <v>168</v>
      </c>
      <c r="B169">
        <v>10</v>
      </c>
      <c r="C169">
        <v>6000</v>
      </c>
      <c r="D169">
        <v>3790</v>
      </c>
      <c r="E169" s="5">
        <f t="shared" si="9"/>
        <v>2210</v>
      </c>
      <c r="F169" s="5">
        <f t="shared" si="10"/>
        <v>4884100</v>
      </c>
      <c r="G169" s="6">
        <f>SQRT(SUM($F$2:F169)/A169)</f>
        <v>783.55396842117489</v>
      </c>
      <c r="H169" s="5">
        <f t="shared" si="11"/>
        <v>0</v>
      </c>
      <c r="I169" s="5">
        <f t="shared" si="12"/>
        <v>0</v>
      </c>
    </row>
    <row r="170" spans="1:9">
      <c r="A170">
        <v>169</v>
      </c>
      <c r="B170">
        <v>12</v>
      </c>
      <c r="C170">
        <v>6000</v>
      </c>
      <c r="D170">
        <v>6305</v>
      </c>
      <c r="E170" s="5">
        <f t="shared" si="9"/>
        <v>305</v>
      </c>
      <c r="F170" s="5">
        <f t="shared" si="10"/>
        <v>93025</v>
      </c>
      <c r="G170" s="6">
        <f>SQRT(SUM($F$2:F170)/A170)</f>
        <v>781.58453452930132</v>
      </c>
      <c r="H170" s="5">
        <f t="shared" si="11"/>
        <v>1</v>
      </c>
      <c r="I170" s="5">
        <f t="shared" si="12"/>
        <v>1</v>
      </c>
    </row>
    <row r="171" spans="1:9">
      <c r="A171">
        <v>170</v>
      </c>
      <c r="B171">
        <v>10</v>
      </c>
      <c r="C171">
        <v>6000</v>
      </c>
      <c r="D171">
        <v>5119</v>
      </c>
      <c r="E171" s="5">
        <f t="shared" si="9"/>
        <v>881</v>
      </c>
      <c r="F171" s="5">
        <f t="shared" si="10"/>
        <v>776161</v>
      </c>
      <c r="G171" s="6">
        <f>SQRT(SUM($F$2:F171)/A171)</f>
        <v>782.20627638975725</v>
      </c>
      <c r="H171" s="5">
        <f t="shared" si="11"/>
        <v>1</v>
      </c>
      <c r="I171" s="5">
        <f t="shared" si="12"/>
        <v>0</v>
      </c>
    </row>
    <row r="172" spans="1:9">
      <c r="A172">
        <v>171</v>
      </c>
      <c r="B172">
        <v>11</v>
      </c>
      <c r="C172">
        <v>6000</v>
      </c>
      <c r="D172">
        <v>6258</v>
      </c>
      <c r="E172" s="5">
        <f t="shared" si="9"/>
        <v>258</v>
      </c>
      <c r="F172" s="5">
        <f t="shared" si="10"/>
        <v>66564</v>
      </c>
      <c r="G172" s="6">
        <f>SQRT(SUM($F$2:F172)/A172)</f>
        <v>780.16528463206384</v>
      </c>
      <c r="H172" s="5">
        <f t="shared" si="11"/>
        <v>1</v>
      </c>
      <c r="I172" s="5">
        <f t="shared" si="12"/>
        <v>1</v>
      </c>
    </row>
    <row r="173" spans="1:9">
      <c r="A173">
        <v>172</v>
      </c>
      <c r="B173">
        <v>10</v>
      </c>
      <c r="C173">
        <v>6000</v>
      </c>
      <c r="D173">
        <v>6500</v>
      </c>
      <c r="E173" s="5">
        <f t="shared" si="9"/>
        <v>500</v>
      </c>
      <c r="F173" s="5">
        <f t="shared" si="10"/>
        <v>250000</v>
      </c>
      <c r="G173" s="6">
        <f>SQRT(SUM($F$2:F173)/A173)</f>
        <v>778.82774164945533</v>
      </c>
      <c r="H173" s="5">
        <f t="shared" si="11"/>
        <v>1</v>
      </c>
      <c r="I173" s="5">
        <f t="shared" si="12"/>
        <v>1</v>
      </c>
    </row>
    <row r="174" spans="1:9">
      <c r="A174">
        <v>173</v>
      </c>
      <c r="B174">
        <v>10</v>
      </c>
      <c r="C174">
        <v>6000</v>
      </c>
      <c r="D174">
        <v>5952</v>
      </c>
      <c r="E174" s="5">
        <f t="shared" si="9"/>
        <v>48</v>
      </c>
      <c r="F174" s="5">
        <f t="shared" si="10"/>
        <v>2304</v>
      </c>
      <c r="G174" s="6">
        <f>SQRT(SUM($F$2:F174)/A174)</f>
        <v>776.58210691859699</v>
      </c>
      <c r="H174" s="5">
        <f t="shared" si="11"/>
        <v>1</v>
      </c>
      <c r="I174" s="5">
        <f t="shared" si="12"/>
        <v>1</v>
      </c>
    </row>
    <row r="175" spans="1:9">
      <c r="A175">
        <v>174</v>
      </c>
      <c r="B175">
        <v>10</v>
      </c>
      <c r="C175">
        <v>6000</v>
      </c>
      <c r="D175">
        <v>6476</v>
      </c>
      <c r="E175" s="5">
        <f t="shared" si="9"/>
        <v>476</v>
      </c>
      <c r="F175" s="5">
        <f t="shared" si="10"/>
        <v>226576</v>
      </c>
      <c r="G175" s="6">
        <f>SQRT(SUM($F$2:F175)/A175)</f>
        <v>775.18768954556322</v>
      </c>
      <c r="H175" s="5">
        <f t="shared" si="11"/>
        <v>1</v>
      </c>
      <c r="I175" s="5">
        <f t="shared" si="12"/>
        <v>1</v>
      </c>
    </row>
    <row r="176" spans="1:9">
      <c r="A176">
        <v>175</v>
      </c>
      <c r="B176">
        <v>10</v>
      </c>
      <c r="C176">
        <v>6000</v>
      </c>
      <c r="D176">
        <v>5537</v>
      </c>
      <c r="E176" s="5">
        <f t="shared" si="9"/>
        <v>463</v>
      </c>
      <c r="F176" s="5">
        <f t="shared" si="10"/>
        <v>214369</v>
      </c>
      <c r="G176" s="6">
        <f>SQRT(SUM($F$2:F176)/A176)</f>
        <v>773.76166504015589</v>
      </c>
      <c r="H176" s="5">
        <f t="shared" si="11"/>
        <v>1</v>
      </c>
      <c r="I176" s="5">
        <f t="shared" si="12"/>
        <v>1</v>
      </c>
    </row>
    <row r="177" spans="1:9">
      <c r="A177">
        <v>176</v>
      </c>
      <c r="B177">
        <v>11</v>
      </c>
      <c r="C177">
        <v>6000</v>
      </c>
      <c r="D177">
        <v>6288</v>
      </c>
      <c r="E177" s="5">
        <f t="shared" si="9"/>
        <v>288</v>
      </c>
      <c r="F177" s="5">
        <f t="shared" si="10"/>
        <v>82944</v>
      </c>
      <c r="G177" s="6">
        <f>SQRT(SUM($F$2:F177)/A177)</f>
        <v>771.86568912308485</v>
      </c>
      <c r="H177" s="5">
        <f t="shared" si="11"/>
        <v>1</v>
      </c>
      <c r="I177" s="5">
        <f t="shared" si="12"/>
        <v>1</v>
      </c>
    </row>
    <row r="178" spans="1:9">
      <c r="A178">
        <v>177</v>
      </c>
      <c r="B178">
        <v>10</v>
      </c>
      <c r="C178">
        <v>6000</v>
      </c>
      <c r="D178">
        <v>6678</v>
      </c>
      <c r="E178" s="5">
        <f t="shared" si="9"/>
        <v>678</v>
      </c>
      <c r="F178" s="5">
        <f t="shared" si="10"/>
        <v>459684</v>
      </c>
      <c r="G178" s="6">
        <f>SQRT(SUM($F$2:F178)/A178)</f>
        <v>771.36745916725511</v>
      </c>
      <c r="H178" s="5">
        <f t="shared" si="11"/>
        <v>1</v>
      </c>
      <c r="I178" s="5">
        <f t="shared" si="12"/>
        <v>0</v>
      </c>
    </row>
    <row r="179" spans="1:9">
      <c r="A179">
        <v>178</v>
      </c>
      <c r="B179">
        <v>9</v>
      </c>
      <c r="C179">
        <v>6000</v>
      </c>
      <c r="D179">
        <v>5927</v>
      </c>
      <c r="E179" s="5">
        <f t="shared" si="9"/>
        <v>73</v>
      </c>
      <c r="F179" s="5">
        <f t="shared" si="10"/>
        <v>5329</v>
      </c>
      <c r="G179" s="6">
        <f>SQRT(SUM($F$2:F179)/A179)</f>
        <v>769.21710528054416</v>
      </c>
      <c r="H179" s="5">
        <f t="shared" si="11"/>
        <v>1</v>
      </c>
      <c r="I179" s="5">
        <f t="shared" si="12"/>
        <v>1</v>
      </c>
    </row>
    <row r="180" spans="1:9">
      <c r="A180">
        <v>179</v>
      </c>
      <c r="B180">
        <v>10</v>
      </c>
      <c r="C180">
        <v>6000</v>
      </c>
      <c r="D180">
        <v>5995</v>
      </c>
      <c r="E180" s="5">
        <f t="shared" si="9"/>
        <v>5</v>
      </c>
      <c r="F180" s="5">
        <f t="shared" si="10"/>
        <v>25</v>
      </c>
      <c r="G180" s="6">
        <f>SQRT(SUM($F$2:F180)/A180)</f>
        <v>767.06553586564507</v>
      </c>
      <c r="H180" s="5">
        <f t="shared" si="11"/>
        <v>1</v>
      </c>
      <c r="I180" s="5">
        <f t="shared" si="12"/>
        <v>1</v>
      </c>
    </row>
    <row r="181" spans="1:9">
      <c r="A181">
        <v>180</v>
      </c>
      <c r="B181">
        <v>10</v>
      </c>
      <c r="C181">
        <v>6000</v>
      </c>
      <c r="D181">
        <v>6380</v>
      </c>
      <c r="E181" s="5">
        <f t="shared" si="9"/>
        <v>380</v>
      </c>
      <c r="F181" s="5">
        <f t="shared" si="10"/>
        <v>144400</v>
      </c>
      <c r="G181" s="6">
        <f>SQRT(SUM($F$2:F181)/A181)</f>
        <v>765.45602602486429</v>
      </c>
      <c r="H181" s="5">
        <f t="shared" si="11"/>
        <v>1</v>
      </c>
      <c r="I181" s="5">
        <f t="shared" si="12"/>
        <v>1</v>
      </c>
    </row>
    <row r="182" spans="1:9">
      <c r="A182">
        <v>181</v>
      </c>
      <c r="B182">
        <v>9</v>
      </c>
      <c r="C182">
        <v>6000</v>
      </c>
      <c r="D182">
        <v>5715</v>
      </c>
      <c r="E182" s="5">
        <f t="shared" si="9"/>
        <v>285</v>
      </c>
      <c r="F182" s="5">
        <f t="shared" si="10"/>
        <v>81225</v>
      </c>
      <c r="G182" s="6">
        <f>SQRT(SUM($F$2:F182)/A182)</f>
        <v>763.63246489162839</v>
      </c>
      <c r="H182" s="5">
        <f t="shared" si="11"/>
        <v>1</v>
      </c>
      <c r="I182" s="5">
        <f t="shared" si="12"/>
        <v>1</v>
      </c>
    </row>
    <row r="183" spans="1:9">
      <c r="A183">
        <v>182</v>
      </c>
      <c r="B183">
        <v>10</v>
      </c>
      <c r="C183">
        <v>6000</v>
      </c>
      <c r="D183">
        <v>6532</v>
      </c>
      <c r="E183" s="5">
        <f t="shared" si="9"/>
        <v>532</v>
      </c>
      <c r="F183" s="5">
        <f t="shared" si="10"/>
        <v>283024</v>
      </c>
      <c r="G183" s="6">
        <f>SQRT(SUM($F$2:F183)/A183)</f>
        <v>762.55201948298736</v>
      </c>
      <c r="H183" s="5">
        <f t="shared" si="11"/>
        <v>1</v>
      </c>
      <c r="I183" s="5">
        <f t="shared" si="12"/>
        <v>1</v>
      </c>
    </row>
    <row r="184" spans="1:9">
      <c r="A184">
        <v>183</v>
      </c>
      <c r="B184">
        <v>9</v>
      </c>
      <c r="C184">
        <v>6000</v>
      </c>
      <c r="D184">
        <v>5573</v>
      </c>
      <c r="E184" s="5">
        <f t="shared" si="9"/>
        <v>427</v>
      </c>
      <c r="F184" s="5">
        <f t="shared" si="10"/>
        <v>182329</v>
      </c>
      <c r="G184" s="6">
        <f>SQRT(SUM($F$2:F184)/A184)</f>
        <v>761.12048908638883</v>
      </c>
      <c r="H184" s="5">
        <f t="shared" si="11"/>
        <v>1</v>
      </c>
      <c r="I184" s="5">
        <f t="shared" si="12"/>
        <v>1</v>
      </c>
    </row>
    <row r="185" spans="1:9">
      <c r="A185">
        <v>184</v>
      </c>
      <c r="B185">
        <v>10</v>
      </c>
      <c r="C185">
        <v>6000</v>
      </c>
      <c r="D185">
        <v>6274</v>
      </c>
      <c r="E185" s="5">
        <f t="shared" si="9"/>
        <v>274</v>
      </c>
      <c r="F185" s="5">
        <f t="shared" si="10"/>
        <v>75076</v>
      </c>
      <c r="G185" s="6">
        <f>SQRT(SUM($F$2:F185)/A185)</f>
        <v>759.31813304695493</v>
      </c>
      <c r="H185" s="5">
        <f t="shared" si="11"/>
        <v>1</v>
      </c>
      <c r="I185" s="5">
        <f t="shared" si="12"/>
        <v>1</v>
      </c>
    </row>
    <row r="186" spans="1:9">
      <c r="A186">
        <v>185</v>
      </c>
      <c r="B186">
        <v>10</v>
      </c>
      <c r="C186">
        <v>6000</v>
      </c>
      <c r="D186">
        <v>6153</v>
      </c>
      <c r="E186" s="5">
        <f t="shared" si="9"/>
        <v>153</v>
      </c>
      <c r="F186" s="5">
        <f t="shared" si="10"/>
        <v>23409</v>
      </c>
      <c r="G186" s="6">
        <f>SQRT(SUM($F$2:F186)/A186)</f>
        <v>757.34668415462147</v>
      </c>
      <c r="H186" s="5">
        <f t="shared" si="11"/>
        <v>1</v>
      </c>
      <c r="I186" s="5">
        <f t="shared" si="12"/>
        <v>1</v>
      </c>
    </row>
    <row r="187" spans="1:9">
      <c r="A187">
        <v>186</v>
      </c>
      <c r="B187">
        <v>10</v>
      </c>
      <c r="C187">
        <v>6000</v>
      </c>
      <c r="D187">
        <v>6281</v>
      </c>
      <c r="E187" s="5">
        <f t="shared" si="9"/>
        <v>281</v>
      </c>
      <c r="F187" s="5">
        <f t="shared" si="10"/>
        <v>78961</v>
      </c>
      <c r="G187" s="6">
        <f>SQRT(SUM($F$2:F187)/A187)</f>
        <v>755.58903533771627</v>
      </c>
      <c r="H187" s="5">
        <f t="shared" si="11"/>
        <v>1</v>
      </c>
      <c r="I187" s="5">
        <f t="shared" si="12"/>
        <v>1</v>
      </c>
    </row>
    <row r="188" spans="1:9">
      <c r="A188">
        <v>187</v>
      </c>
      <c r="B188">
        <v>9</v>
      </c>
      <c r="C188">
        <v>6000</v>
      </c>
      <c r="D188">
        <v>5361</v>
      </c>
      <c r="E188" s="5">
        <f t="shared" si="9"/>
        <v>639</v>
      </c>
      <c r="F188" s="5">
        <f t="shared" si="10"/>
        <v>408321</v>
      </c>
      <c r="G188" s="6">
        <f>SQRT(SUM($F$2:F188)/A188)</f>
        <v>755.01344677617112</v>
      </c>
      <c r="H188" s="5">
        <f t="shared" si="11"/>
        <v>1</v>
      </c>
      <c r="I188" s="5">
        <f t="shared" si="12"/>
        <v>0</v>
      </c>
    </row>
    <row r="189" spans="1:9">
      <c r="A189">
        <v>188</v>
      </c>
      <c r="B189">
        <v>10</v>
      </c>
      <c r="C189">
        <v>6000</v>
      </c>
      <c r="D189">
        <v>6369</v>
      </c>
      <c r="E189" s="5">
        <f t="shared" si="9"/>
        <v>369</v>
      </c>
      <c r="F189" s="5">
        <f t="shared" si="10"/>
        <v>136161</v>
      </c>
      <c r="G189" s="6">
        <f>SQRT(SUM($F$2:F189)/A189)</f>
        <v>753.48351645836817</v>
      </c>
      <c r="H189" s="5">
        <f t="shared" si="11"/>
        <v>1</v>
      </c>
      <c r="I189" s="5">
        <f t="shared" si="12"/>
        <v>1</v>
      </c>
    </row>
    <row r="190" spans="1:9">
      <c r="A190">
        <v>189</v>
      </c>
      <c r="B190">
        <v>9</v>
      </c>
      <c r="C190">
        <v>6000</v>
      </c>
      <c r="D190">
        <v>5325</v>
      </c>
      <c r="E190" s="5">
        <f t="shared" si="9"/>
        <v>675</v>
      </c>
      <c r="F190" s="5">
        <f t="shared" si="10"/>
        <v>455625</v>
      </c>
      <c r="G190" s="6">
        <f>SQRT(SUM($F$2:F190)/A190)</f>
        <v>753.08978363952212</v>
      </c>
      <c r="H190" s="5">
        <f t="shared" si="11"/>
        <v>1</v>
      </c>
      <c r="I190" s="5">
        <f t="shared" si="12"/>
        <v>0</v>
      </c>
    </row>
    <row r="191" spans="1:9">
      <c r="A191">
        <v>190</v>
      </c>
      <c r="B191">
        <v>11</v>
      </c>
      <c r="C191">
        <v>6000</v>
      </c>
      <c r="D191">
        <v>5364</v>
      </c>
      <c r="E191" s="5">
        <f t="shared" si="9"/>
        <v>636</v>
      </c>
      <c r="F191" s="5">
        <f t="shared" si="10"/>
        <v>404496</v>
      </c>
      <c r="G191" s="6">
        <f>SQRT(SUM($F$2:F191)/A191)</f>
        <v>752.52121494836831</v>
      </c>
      <c r="H191" s="5">
        <f t="shared" si="11"/>
        <v>1</v>
      </c>
      <c r="I191" s="5">
        <f t="shared" si="12"/>
        <v>0</v>
      </c>
    </row>
    <row r="192" spans="1:9">
      <c r="A192">
        <v>191</v>
      </c>
      <c r="B192">
        <v>11</v>
      </c>
      <c r="C192">
        <v>6000</v>
      </c>
      <c r="D192">
        <v>6576</v>
      </c>
      <c r="E192" s="5">
        <f t="shared" si="9"/>
        <v>576</v>
      </c>
      <c r="F192" s="5">
        <f t="shared" si="10"/>
        <v>331776</v>
      </c>
      <c r="G192" s="6">
        <f>SQRT(SUM($F$2:F192)/A192)</f>
        <v>751.70497303938771</v>
      </c>
      <c r="H192" s="5">
        <f t="shared" si="11"/>
        <v>1</v>
      </c>
      <c r="I192" s="5">
        <f t="shared" si="12"/>
        <v>1</v>
      </c>
    </row>
    <row r="193" spans="1:9">
      <c r="A193">
        <v>192</v>
      </c>
      <c r="B193">
        <v>9</v>
      </c>
      <c r="C193">
        <v>6000</v>
      </c>
      <c r="D193">
        <v>5923</v>
      </c>
      <c r="E193" s="5">
        <f t="shared" si="9"/>
        <v>77</v>
      </c>
      <c r="F193" s="5">
        <f t="shared" si="10"/>
        <v>5929</v>
      </c>
      <c r="G193" s="6">
        <f>SQRT(SUM($F$2:F193)/A193)</f>
        <v>749.76544596182441</v>
      </c>
      <c r="H193" s="5">
        <f t="shared" si="11"/>
        <v>1</v>
      </c>
      <c r="I193" s="5">
        <f t="shared" si="12"/>
        <v>1</v>
      </c>
    </row>
    <row r="194" spans="1:9">
      <c r="A194">
        <v>193</v>
      </c>
      <c r="B194">
        <v>10</v>
      </c>
      <c r="C194">
        <v>6000</v>
      </c>
      <c r="D194">
        <v>6231</v>
      </c>
      <c r="E194" s="5">
        <f t="shared" si="9"/>
        <v>231</v>
      </c>
      <c r="F194" s="5">
        <f t="shared" si="10"/>
        <v>53361</v>
      </c>
      <c r="G194" s="6">
        <f>SQRT(SUM($F$2:F194)/A194)</f>
        <v>748.00536142823773</v>
      </c>
      <c r="H194" s="5">
        <f t="shared" si="11"/>
        <v>1</v>
      </c>
      <c r="I194" s="5">
        <f t="shared" si="12"/>
        <v>1</v>
      </c>
    </row>
    <row r="195" spans="1:9">
      <c r="A195">
        <v>194</v>
      </c>
      <c r="B195">
        <v>10</v>
      </c>
      <c r="C195">
        <v>6000</v>
      </c>
      <c r="D195">
        <v>6778</v>
      </c>
      <c r="E195" s="5">
        <f t="shared" ref="E195:E258" si="13">ABS(C195-D195)</f>
        <v>778</v>
      </c>
      <c r="F195" s="5">
        <f t="shared" ref="F195:F258" si="14">POWER(E195,2)</f>
        <v>605284</v>
      </c>
      <c r="G195" s="6">
        <f>SQRT(SUM($F$2:F195)/A195)</f>
        <v>748.16305626707242</v>
      </c>
      <c r="H195" s="5">
        <f t="shared" ref="H195:H258" si="15">IF(ABS(E195)/C195&gt;0.2,0,1)</f>
        <v>1</v>
      </c>
      <c r="I195" s="5">
        <f t="shared" ref="I195:I258" si="16">IF(ABS(E195)/C195&gt;0.1,0,1)</f>
        <v>0</v>
      </c>
    </row>
    <row r="196" spans="1:9">
      <c r="A196">
        <v>195</v>
      </c>
      <c r="B196">
        <v>9</v>
      </c>
      <c r="C196">
        <v>6000</v>
      </c>
      <c r="D196">
        <v>5034</v>
      </c>
      <c r="E196" s="5">
        <f t="shared" si="13"/>
        <v>966</v>
      </c>
      <c r="F196" s="5">
        <f t="shared" si="14"/>
        <v>933156</v>
      </c>
      <c r="G196" s="6">
        <f>SQRT(SUM($F$2:F196)/A196)</f>
        <v>749.4417067356685</v>
      </c>
      <c r="H196" s="5">
        <f t="shared" si="15"/>
        <v>1</v>
      </c>
      <c r="I196" s="5">
        <f t="shared" si="16"/>
        <v>0</v>
      </c>
    </row>
    <row r="197" spans="1:9">
      <c r="A197">
        <v>196</v>
      </c>
      <c r="B197">
        <v>11</v>
      </c>
      <c r="C197">
        <v>6000</v>
      </c>
      <c r="D197">
        <v>6425</v>
      </c>
      <c r="E197" s="5">
        <f t="shared" si="13"/>
        <v>425</v>
      </c>
      <c r="F197" s="5">
        <f t="shared" si="14"/>
        <v>180625</v>
      </c>
      <c r="G197" s="6">
        <f>SQRT(SUM($F$2:F197)/A197)</f>
        <v>748.14356979152615</v>
      </c>
      <c r="H197" s="5">
        <f t="shared" si="15"/>
        <v>1</v>
      </c>
      <c r="I197" s="5">
        <f t="shared" si="16"/>
        <v>1</v>
      </c>
    </row>
    <row r="198" spans="1:9">
      <c r="A198">
        <v>197</v>
      </c>
      <c r="B198">
        <v>9</v>
      </c>
      <c r="C198">
        <v>6000</v>
      </c>
      <c r="D198">
        <v>5192</v>
      </c>
      <c r="E198" s="5">
        <f t="shared" si="13"/>
        <v>808</v>
      </c>
      <c r="F198" s="5">
        <f t="shared" si="14"/>
        <v>652864</v>
      </c>
      <c r="G198" s="6">
        <f>SQRT(SUM($F$2:F198)/A198)</f>
        <v>748.45949742744267</v>
      </c>
      <c r="H198" s="5">
        <f t="shared" si="15"/>
        <v>1</v>
      </c>
      <c r="I198" s="5">
        <f t="shared" si="16"/>
        <v>0</v>
      </c>
    </row>
    <row r="199" spans="1:9">
      <c r="A199">
        <v>198</v>
      </c>
      <c r="B199">
        <v>11</v>
      </c>
      <c r="C199">
        <v>6000</v>
      </c>
      <c r="D199">
        <v>6468</v>
      </c>
      <c r="E199" s="5">
        <f t="shared" si="13"/>
        <v>468</v>
      </c>
      <c r="F199" s="5">
        <f t="shared" si="14"/>
        <v>219024</v>
      </c>
      <c r="G199" s="6">
        <f>SQRT(SUM($F$2:F199)/A199)</f>
        <v>747.30753408824296</v>
      </c>
      <c r="H199" s="5">
        <f t="shared" si="15"/>
        <v>1</v>
      </c>
      <c r="I199" s="5">
        <f t="shared" si="16"/>
        <v>1</v>
      </c>
    </row>
    <row r="200" spans="1:9">
      <c r="A200">
        <v>199</v>
      </c>
      <c r="B200">
        <v>9</v>
      </c>
      <c r="C200">
        <v>6000</v>
      </c>
      <c r="D200">
        <v>5412</v>
      </c>
      <c r="E200" s="5">
        <f t="shared" si="13"/>
        <v>588</v>
      </c>
      <c r="F200" s="5">
        <f t="shared" si="14"/>
        <v>345744</v>
      </c>
      <c r="G200" s="6">
        <f>SQRT(SUM($F$2:F200)/A200)</f>
        <v>746.59197887103835</v>
      </c>
      <c r="H200" s="5">
        <f t="shared" si="15"/>
        <v>1</v>
      </c>
      <c r="I200" s="5">
        <f t="shared" si="16"/>
        <v>1</v>
      </c>
    </row>
    <row r="201" spans="1:9">
      <c r="A201">
        <v>200</v>
      </c>
      <c r="B201">
        <v>11</v>
      </c>
      <c r="C201">
        <v>6000</v>
      </c>
      <c r="D201">
        <v>6228</v>
      </c>
      <c r="E201" s="5">
        <f t="shared" si="13"/>
        <v>228</v>
      </c>
      <c r="F201" s="5">
        <f t="shared" si="14"/>
        <v>51984</v>
      </c>
      <c r="G201" s="6">
        <f>SQRT(SUM($F$2:F201)/A201)</f>
        <v>744.89764733149752</v>
      </c>
      <c r="H201" s="5">
        <f t="shared" si="15"/>
        <v>1</v>
      </c>
      <c r="I201" s="5">
        <f t="shared" si="16"/>
        <v>1</v>
      </c>
    </row>
    <row r="202" spans="1:9">
      <c r="A202">
        <v>201</v>
      </c>
      <c r="B202">
        <v>1</v>
      </c>
      <c r="C202">
        <v>9000</v>
      </c>
      <c r="D202">
        <v>984</v>
      </c>
      <c r="E202" s="5">
        <f t="shared" si="13"/>
        <v>8016</v>
      </c>
      <c r="F202" s="5">
        <f t="shared" si="14"/>
        <v>64256256</v>
      </c>
      <c r="G202" s="6">
        <f>SQRT(SUM($F$2:F202)/A202)</f>
        <v>933.69952926263898</v>
      </c>
      <c r="H202" s="5">
        <f t="shared" si="15"/>
        <v>0</v>
      </c>
      <c r="I202" s="5">
        <f t="shared" si="16"/>
        <v>0</v>
      </c>
    </row>
    <row r="203" spans="1:9">
      <c r="A203">
        <v>202</v>
      </c>
      <c r="B203">
        <v>10</v>
      </c>
      <c r="C203">
        <v>9000</v>
      </c>
      <c r="D203">
        <v>5141</v>
      </c>
      <c r="E203" s="5">
        <f t="shared" si="13"/>
        <v>3859</v>
      </c>
      <c r="F203" s="5">
        <f t="shared" si="14"/>
        <v>14891881</v>
      </c>
      <c r="G203" s="6">
        <f>SQRT(SUM($F$2:F203)/A203)</f>
        <v>970.15523408257798</v>
      </c>
      <c r="H203" s="5">
        <f t="shared" si="15"/>
        <v>0</v>
      </c>
      <c r="I203" s="5">
        <f t="shared" si="16"/>
        <v>0</v>
      </c>
    </row>
    <row r="204" spans="1:9">
      <c r="A204">
        <v>203</v>
      </c>
      <c r="B204">
        <v>7</v>
      </c>
      <c r="C204">
        <v>9000</v>
      </c>
      <c r="D204">
        <v>4341</v>
      </c>
      <c r="E204" s="5">
        <f t="shared" si="13"/>
        <v>4659</v>
      </c>
      <c r="F204" s="5">
        <f t="shared" si="14"/>
        <v>21706281</v>
      </c>
      <c r="G204" s="6">
        <f>SQRT(SUM($F$2:F204)/A204)</f>
        <v>1021.5146654956355</v>
      </c>
      <c r="H204" s="5">
        <f t="shared" si="15"/>
        <v>0</v>
      </c>
      <c r="I204" s="5">
        <f t="shared" si="16"/>
        <v>0</v>
      </c>
    </row>
    <row r="205" spans="1:9">
      <c r="A205">
        <v>204</v>
      </c>
      <c r="B205">
        <v>9</v>
      </c>
      <c r="C205">
        <v>9000</v>
      </c>
      <c r="D205">
        <v>5912</v>
      </c>
      <c r="E205" s="5">
        <f t="shared" si="13"/>
        <v>3088</v>
      </c>
      <c r="F205" s="5">
        <f t="shared" si="14"/>
        <v>9535744</v>
      </c>
      <c r="G205" s="6">
        <f>SQRT(SUM($F$2:F205)/A205)</f>
        <v>1041.6913636287975</v>
      </c>
      <c r="H205" s="5">
        <f t="shared" si="15"/>
        <v>0</v>
      </c>
      <c r="I205" s="5">
        <f t="shared" si="16"/>
        <v>0</v>
      </c>
    </row>
    <row r="206" spans="1:9">
      <c r="A206">
        <v>205</v>
      </c>
      <c r="B206">
        <v>8</v>
      </c>
      <c r="C206">
        <v>9000</v>
      </c>
      <c r="D206">
        <v>2893</v>
      </c>
      <c r="E206" s="5">
        <f t="shared" si="13"/>
        <v>6107</v>
      </c>
      <c r="F206" s="5">
        <f t="shared" si="14"/>
        <v>37295449</v>
      </c>
      <c r="G206" s="6">
        <f>SQRT(SUM($F$2:F206)/A206)</f>
        <v>1123.2794148841324</v>
      </c>
      <c r="H206" s="5">
        <f t="shared" si="15"/>
        <v>0</v>
      </c>
      <c r="I206" s="5">
        <f t="shared" si="16"/>
        <v>0</v>
      </c>
    </row>
    <row r="207" spans="1:9">
      <c r="A207">
        <v>206</v>
      </c>
      <c r="B207">
        <v>13</v>
      </c>
      <c r="C207">
        <v>9000</v>
      </c>
      <c r="D207">
        <v>4311</v>
      </c>
      <c r="E207" s="5">
        <f t="shared" si="13"/>
        <v>4689</v>
      </c>
      <c r="F207" s="5">
        <f t="shared" si="14"/>
        <v>21986721</v>
      </c>
      <c r="G207" s="6">
        <f>SQRT(SUM($F$2:F207)/A207)</f>
        <v>1167.203181537084</v>
      </c>
      <c r="H207" s="5">
        <f t="shared" si="15"/>
        <v>0</v>
      </c>
      <c r="I207" s="5">
        <f t="shared" si="16"/>
        <v>0</v>
      </c>
    </row>
    <row r="208" spans="1:9">
      <c r="A208">
        <v>207</v>
      </c>
      <c r="B208">
        <v>13</v>
      </c>
      <c r="C208">
        <v>9000</v>
      </c>
      <c r="D208">
        <v>4399</v>
      </c>
      <c r="E208" s="5">
        <f t="shared" si="13"/>
        <v>4601</v>
      </c>
      <c r="F208" s="5">
        <f t="shared" si="14"/>
        <v>21169201</v>
      </c>
      <c r="G208" s="6">
        <f>SQRT(SUM($F$2:F208)/A208)</f>
        <v>1207.496779883885</v>
      </c>
      <c r="H208" s="5">
        <f t="shared" si="15"/>
        <v>0</v>
      </c>
      <c r="I208" s="5">
        <f t="shared" si="16"/>
        <v>0</v>
      </c>
    </row>
    <row r="209" spans="1:9">
      <c r="A209">
        <v>208</v>
      </c>
      <c r="B209">
        <v>14</v>
      </c>
      <c r="C209">
        <v>9000</v>
      </c>
      <c r="D209">
        <v>8091</v>
      </c>
      <c r="E209" s="5">
        <f t="shared" si="13"/>
        <v>909</v>
      </c>
      <c r="F209" s="5">
        <f t="shared" si="14"/>
        <v>826281</v>
      </c>
      <c r="G209" s="6">
        <f>SQRT(SUM($F$2:F209)/A209)</f>
        <v>1206.2384216263765</v>
      </c>
      <c r="H209" s="5">
        <f t="shared" si="15"/>
        <v>1</v>
      </c>
      <c r="I209" s="5">
        <f t="shared" si="16"/>
        <v>0</v>
      </c>
    </row>
    <row r="210" spans="1:9">
      <c r="A210">
        <v>209</v>
      </c>
      <c r="B210">
        <v>11</v>
      </c>
      <c r="C210">
        <v>9000</v>
      </c>
      <c r="D210">
        <v>5566</v>
      </c>
      <c r="E210" s="5">
        <f t="shared" si="13"/>
        <v>3434</v>
      </c>
      <c r="F210" s="5">
        <f t="shared" si="14"/>
        <v>11792356</v>
      </c>
      <c r="G210" s="6">
        <f>SQRT(SUM($F$2:F210)/A210)</f>
        <v>1226.5692438863152</v>
      </c>
      <c r="H210" s="5">
        <f t="shared" si="15"/>
        <v>0</v>
      </c>
      <c r="I210" s="5">
        <f t="shared" si="16"/>
        <v>0</v>
      </c>
    </row>
    <row r="211" spans="1:9">
      <c r="A211">
        <v>210</v>
      </c>
      <c r="B211">
        <v>14</v>
      </c>
      <c r="C211">
        <v>9000</v>
      </c>
      <c r="D211">
        <v>7601</v>
      </c>
      <c r="E211" s="5">
        <f t="shared" si="13"/>
        <v>1399</v>
      </c>
      <c r="F211" s="5">
        <f t="shared" si="14"/>
        <v>1957201</v>
      </c>
      <c r="G211" s="6">
        <f>SQRT(SUM($F$2:F211)/A211)</f>
        <v>1227.4477430443881</v>
      </c>
      <c r="H211" s="5">
        <f t="shared" si="15"/>
        <v>1</v>
      </c>
      <c r="I211" s="5">
        <f t="shared" si="16"/>
        <v>0</v>
      </c>
    </row>
    <row r="212" spans="1:9">
      <c r="A212">
        <v>211</v>
      </c>
      <c r="B212">
        <v>12</v>
      </c>
      <c r="C212">
        <v>9000</v>
      </c>
      <c r="D212">
        <v>7345</v>
      </c>
      <c r="E212" s="5">
        <f t="shared" si="13"/>
        <v>1655</v>
      </c>
      <c r="F212" s="5">
        <f t="shared" si="14"/>
        <v>2739025</v>
      </c>
      <c r="G212" s="6">
        <f>SQRT(SUM($F$2:F212)/A212)</f>
        <v>1229.8246648043523</v>
      </c>
      <c r="H212" s="5">
        <f t="shared" si="15"/>
        <v>1</v>
      </c>
      <c r="I212" s="5">
        <f t="shared" si="16"/>
        <v>0</v>
      </c>
    </row>
    <row r="213" spans="1:9">
      <c r="A213">
        <v>212</v>
      </c>
      <c r="B213">
        <v>13</v>
      </c>
      <c r="C213">
        <v>9000</v>
      </c>
      <c r="D213">
        <v>6809</v>
      </c>
      <c r="E213" s="5">
        <f t="shared" si="13"/>
        <v>2191</v>
      </c>
      <c r="F213" s="5">
        <f t="shared" si="14"/>
        <v>4800481</v>
      </c>
      <c r="G213" s="6">
        <f>SQRT(SUM($F$2:F213)/A213)</f>
        <v>1236.1141525414259</v>
      </c>
      <c r="H213" s="5">
        <f t="shared" si="15"/>
        <v>0</v>
      </c>
      <c r="I213" s="5">
        <f t="shared" si="16"/>
        <v>0</v>
      </c>
    </row>
    <row r="214" spans="1:9">
      <c r="A214">
        <v>213</v>
      </c>
      <c r="B214">
        <v>14</v>
      </c>
      <c r="C214">
        <v>9000</v>
      </c>
      <c r="D214">
        <v>7510</v>
      </c>
      <c r="E214" s="5">
        <f t="shared" si="13"/>
        <v>1490</v>
      </c>
      <c r="F214" s="5">
        <f t="shared" si="14"/>
        <v>2220100</v>
      </c>
      <c r="G214" s="6">
        <f>SQRT(SUM($F$2:F214)/A214)</f>
        <v>1237.4278145589469</v>
      </c>
      <c r="H214" s="5">
        <f t="shared" si="15"/>
        <v>1</v>
      </c>
      <c r="I214" s="5">
        <f t="shared" si="16"/>
        <v>0</v>
      </c>
    </row>
    <row r="215" spans="1:9">
      <c r="A215">
        <v>214</v>
      </c>
      <c r="B215">
        <v>14</v>
      </c>
      <c r="C215">
        <v>9000</v>
      </c>
      <c r="D215">
        <v>6951</v>
      </c>
      <c r="E215" s="5">
        <f t="shared" si="13"/>
        <v>2049</v>
      </c>
      <c r="F215" s="5">
        <f t="shared" si="14"/>
        <v>4198401</v>
      </c>
      <c r="G215" s="6">
        <f>SQRT(SUM($F$2:F215)/A215)</f>
        <v>1242.4536302673375</v>
      </c>
      <c r="H215" s="5">
        <f t="shared" si="15"/>
        <v>0</v>
      </c>
      <c r="I215" s="5">
        <f t="shared" si="16"/>
        <v>0</v>
      </c>
    </row>
    <row r="216" spans="1:9">
      <c r="A216">
        <v>215</v>
      </c>
      <c r="B216">
        <v>15</v>
      </c>
      <c r="C216">
        <v>9000</v>
      </c>
      <c r="D216">
        <v>8043</v>
      </c>
      <c r="E216" s="5">
        <f t="shared" si="13"/>
        <v>957</v>
      </c>
      <c r="F216" s="5">
        <f t="shared" si="14"/>
        <v>915849</v>
      </c>
      <c r="G216" s="6">
        <f>SQRT(SUM($F$2:F216)/A216)</f>
        <v>1241.2779011595173</v>
      </c>
      <c r="H216" s="5">
        <f t="shared" si="15"/>
        <v>1</v>
      </c>
      <c r="I216" s="5">
        <f t="shared" si="16"/>
        <v>0</v>
      </c>
    </row>
    <row r="217" spans="1:9">
      <c r="A217">
        <v>216</v>
      </c>
      <c r="B217">
        <v>14</v>
      </c>
      <c r="C217">
        <v>9000</v>
      </c>
      <c r="D217">
        <v>7535</v>
      </c>
      <c r="E217" s="5">
        <f t="shared" si="13"/>
        <v>1465</v>
      </c>
      <c r="F217" s="5">
        <f t="shared" si="14"/>
        <v>2146225</v>
      </c>
      <c r="G217" s="6">
        <f>SQRT(SUM($F$2:F217)/A217)</f>
        <v>1242.406477961815</v>
      </c>
      <c r="H217" s="5">
        <f t="shared" si="15"/>
        <v>1</v>
      </c>
      <c r="I217" s="5">
        <f t="shared" si="16"/>
        <v>0</v>
      </c>
    </row>
    <row r="218" spans="1:9">
      <c r="A218">
        <v>217</v>
      </c>
      <c r="B218">
        <v>15</v>
      </c>
      <c r="C218">
        <v>9000</v>
      </c>
      <c r="D218">
        <v>7393</v>
      </c>
      <c r="E218" s="5">
        <f t="shared" si="13"/>
        <v>1607</v>
      </c>
      <c r="F218" s="5">
        <f t="shared" si="14"/>
        <v>2582449</v>
      </c>
      <c r="G218" s="6">
        <f>SQRT(SUM($F$2:F218)/A218)</f>
        <v>1244.3316678197862</v>
      </c>
      <c r="H218" s="5">
        <f t="shared" si="15"/>
        <v>1</v>
      </c>
      <c r="I218" s="5">
        <f t="shared" si="16"/>
        <v>0</v>
      </c>
    </row>
    <row r="219" spans="1:9">
      <c r="A219">
        <v>218</v>
      </c>
      <c r="B219">
        <v>16</v>
      </c>
      <c r="C219">
        <v>9000</v>
      </c>
      <c r="D219">
        <v>8268</v>
      </c>
      <c r="E219" s="5">
        <f t="shared" si="13"/>
        <v>732</v>
      </c>
      <c r="F219" s="5">
        <f t="shared" si="14"/>
        <v>535824</v>
      </c>
      <c r="G219" s="6">
        <f>SQRT(SUM($F$2:F219)/A219)</f>
        <v>1242.4639363086249</v>
      </c>
      <c r="H219" s="5">
        <f t="shared" si="15"/>
        <v>1</v>
      </c>
      <c r="I219" s="5">
        <f t="shared" si="16"/>
        <v>1</v>
      </c>
    </row>
    <row r="220" spans="1:9">
      <c r="A220">
        <v>219</v>
      </c>
      <c r="B220">
        <v>15</v>
      </c>
      <c r="C220">
        <v>9000</v>
      </c>
      <c r="D220">
        <v>7721</v>
      </c>
      <c r="E220" s="5">
        <f t="shared" si="13"/>
        <v>1279</v>
      </c>
      <c r="F220" s="5">
        <f t="shared" si="14"/>
        <v>1635841</v>
      </c>
      <c r="G220" s="6">
        <f>SQRT(SUM($F$2:F220)/A220)</f>
        <v>1242.6332090514252</v>
      </c>
      <c r="H220" s="5">
        <f t="shared" si="15"/>
        <v>1</v>
      </c>
      <c r="I220" s="5">
        <f t="shared" si="16"/>
        <v>0</v>
      </c>
    </row>
    <row r="221" spans="1:9">
      <c r="A221">
        <v>220</v>
      </c>
      <c r="B221">
        <v>16</v>
      </c>
      <c r="C221">
        <v>9000</v>
      </c>
      <c r="D221">
        <v>8207</v>
      </c>
      <c r="E221" s="5">
        <f t="shared" si="13"/>
        <v>793</v>
      </c>
      <c r="F221" s="5">
        <f t="shared" si="14"/>
        <v>628849</v>
      </c>
      <c r="G221" s="6">
        <f>SQRT(SUM($F$2:F221)/A221)</f>
        <v>1240.9580536460896</v>
      </c>
      <c r="H221" s="5">
        <f t="shared" si="15"/>
        <v>1</v>
      </c>
      <c r="I221" s="5">
        <f t="shared" si="16"/>
        <v>1</v>
      </c>
    </row>
    <row r="222" spans="1:9">
      <c r="A222">
        <v>221</v>
      </c>
      <c r="B222">
        <v>16</v>
      </c>
      <c r="C222">
        <v>9000</v>
      </c>
      <c r="D222">
        <v>7106</v>
      </c>
      <c r="E222" s="5">
        <f t="shared" si="13"/>
        <v>1894</v>
      </c>
      <c r="F222" s="5">
        <f t="shared" si="14"/>
        <v>3587236</v>
      </c>
      <c r="G222" s="6">
        <f>SQRT(SUM($F$2:F222)/A222)</f>
        <v>1244.6849026108296</v>
      </c>
      <c r="H222" s="5">
        <f t="shared" si="15"/>
        <v>0</v>
      </c>
      <c r="I222" s="5">
        <f t="shared" si="16"/>
        <v>0</v>
      </c>
    </row>
    <row r="223" spans="1:9">
      <c r="A223">
        <v>222</v>
      </c>
      <c r="B223">
        <v>17</v>
      </c>
      <c r="C223">
        <v>9000</v>
      </c>
      <c r="D223">
        <v>8294</v>
      </c>
      <c r="E223" s="5">
        <f t="shared" si="13"/>
        <v>706</v>
      </c>
      <c r="F223" s="5">
        <f t="shared" si="14"/>
        <v>498436</v>
      </c>
      <c r="G223" s="6">
        <f>SQRT(SUM($F$2:F223)/A223)</f>
        <v>1242.7820215762511</v>
      </c>
      <c r="H223" s="5">
        <f t="shared" si="15"/>
        <v>1</v>
      </c>
      <c r="I223" s="5">
        <f t="shared" si="16"/>
        <v>1</v>
      </c>
    </row>
    <row r="224" spans="1:9">
      <c r="A224">
        <v>223</v>
      </c>
      <c r="B224">
        <v>16</v>
      </c>
      <c r="C224">
        <v>9000</v>
      </c>
      <c r="D224">
        <v>7718</v>
      </c>
      <c r="E224" s="5">
        <f t="shared" si="13"/>
        <v>1282</v>
      </c>
      <c r="F224" s="5">
        <f t="shared" si="14"/>
        <v>1643524</v>
      </c>
      <c r="G224" s="6">
        <f>SQRT(SUM($F$2:F224)/A224)</f>
        <v>1242.9606489699875</v>
      </c>
      <c r="H224" s="5">
        <f t="shared" si="15"/>
        <v>1</v>
      </c>
      <c r="I224" s="5">
        <f t="shared" si="16"/>
        <v>0</v>
      </c>
    </row>
    <row r="225" spans="1:9">
      <c r="A225">
        <v>224</v>
      </c>
      <c r="B225">
        <v>17</v>
      </c>
      <c r="C225">
        <v>9000</v>
      </c>
      <c r="D225">
        <v>9148</v>
      </c>
      <c r="E225" s="5">
        <f t="shared" si="13"/>
        <v>148</v>
      </c>
      <c r="F225" s="5">
        <f t="shared" si="14"/>
        <v>21904</v>
      </c>
      <c r="G225" s="6">
        <f>SQRT(SUM($F$2:F225)/A225)</f>
        <v>1240.2225030787247</v>
      </c>
      <c r="H225" s="5">
        <f t="shared" si="15"/>
        <v>1</v>
      </c>
      <c r="I225" s="5">
        <f t="shared" si="16"/>
        <v>1</v>
      </c>
    </row>
    <row r="226" spans="1:9">
      <c r="A226">
        <v>225</v>
      </c>
      <c r="B226">
        <v>16</v>
      </c>
      <c r="C226">
        <v>9000</v>
      </c>
      <c r="D226">
        <v>8741</v>
      </c>
      <c r="E226" s="5">
        <f t="shared" si="13"/>
        <v>259</v>
      </c>
      <c r="F226" s="5">
        <f t="shared" si="14"/>
        <v>67081</v>
      </c>
      <c r="G226" s="6">
        <f>SQRT(SUM($F$2:F226)/A226)</f>
        <v>1237.5838413798251</v>
      </c>
      <c r="H226" s="5">
        <f t="shared" si="15"/>
        <v>1</v>
      </c>
      <c r="I226" s="5">
        <f t="shared" si="16"/>
        <v>1</v>
      </c>
    </row>
    <row r="227" spans="1:9">
      <c r="A227">
        <v>226</v>
      </c>
      <c r="B227">
        <v>16</v>
      </c>
      <c r="C227">
        <v>9000</v>
      </c>
      <c r="D227">
        <v>10384</v>
      </c>
      <c r="E227" s="5">
        <f t="shared" si="13"/>
        <v>1384</v>
      </c>
      <c r="F227" s="5">
        <f t="shared" si="14"/>
        <v>1915456</v>
      </c>
      <c r="G227" s="6">
        <f>SQRT(SUM($F$2:F227)/A227)</f>
        <v>1238.2698338471826</v>
      </c>
      <c r="H227" s="5">
        <f t="shared" si="15"/>
        <v>1</v>
      </c>
      <c r="I227" s="5">
        <f t="shared" si="16"/>
        <v>0</v>
      </c>
    </row>
    <row r="228" spans="1:9">
      <c r="A228">
        <v>227</v>
      </c>
      <c r="B228">
        <v>14</v>
      </c>
      <c r="C228">
        <v>9000</v>
      </c>
      <c r="D228">
        <v>7489</v>
      </c>
      <c r="E228" s="5">
        <f t="shared" si="13"/>
        <v>1511</v>
      </c>
      <c r="F228" s="5">
        <f t="shared" si="14"/>
        <v>2283121</v>
      </c>
      <c r="G228" s="6">
        <f>SQRT(SUM($F$2:F228)/A228)</f>
        <v>1239.6028815571372</v>
      </c>
      <c r="H228" s="5">
        <f t="shared" si="15"/>
        <v>1</v>
      </c>
      <c r="I228" s="5">
        <f t="shared" si="16"/>
        <v>0</v>
      </c>
    </row>
    <row r="229" spans="1:9">
      <c r="A229">
        <v>228</v>
      </c>
      <c r="B229">
        <v>17</v>
      </c>
      <c r="C229">
        <v>9000</v>
      </c>
      <c r="D229">
        <v>8725</v>
      </c>
      <c r="E229" s="5">
        <f t="shared" si="13"/>
        <v>275</v>
      </c>
      <c r="F229" s="5">
        <f t="shared" si="14"/>
        <v>75625</v>
      </c>
      <c r="G229" s="6">
        <f>SQRT(SUM($F$2:F229)/A229)</f>
        <v>1237.0155422444725</v>
      </c>
      <c r="H229" s="5">
        <f t="shared" si="15"/>
        <v>1</v>
      </c>
      <c r="I229" s="5">
        <f t="shared" si="16"/>
        <v>1</v>
      </c>
    </row>
    <row r="230" spans="1:9">
      <c r="A230">
        <v>229</v>
      </c>
      <c r="B230">
        <v>16</v>
      </c>
      <c r="C230">
        <v>9000</v>
      </c>
      <c r="D230">
        <v>8288</v>
      </c>
      <c r="E230" s="5">
        <f t="shared" si="13"/>
        <v>712</v>
      </c>
      <c r="F230" s="5">
        <f t="shared" si="14"/>
        <v>506944</v>
      </c>
      <c r="G230" s="6">
        <f>SQRT(SUM($F$2:F230)/A230)</f>
        <v>1235.2081008484954</v>
      </c>
      <c r="H230" s="5">
        <f t="shared" si="15"/>
        <v>1</v>
      </c>
      <c r="I230" s="5">
        <f t="shared" si="16"/>
        <v>1</v>
      </c>
    </row>
    <row r="231" spans="1:9">
      <c r="A231">
        <v>230</v>
      </c>
      <c r="B231">
        <v>17</v>
      </c>
      <c r="C231">
        <v>9000</v>
      </c>
      <c r="D231">
        <v>9491</v>
      </c>
      <c r="E231" s="5">
        <f t="shared" si="13"/>
        <v>491</v>
      </c>
      <c r="F231" s="5">
        <f t="shared" si="14"/>
        <v>241081</v>
      </c>
      <c r="G231" s="6">
        <f>SQRT(SUM($F$2:F231)/A231)</f>
        <v>1232.9450849931216</v>
      </c>
      <c r="H231" s="5">
        <f t="shared" si="15"/>
        <v>1</v>
      </c>
      <c r="I231" s="5">
        <f t="shared" si="16"/>
        <v>1</v>
      </c>
    </row>
    <row r="232" spans="1:9">
      <c r="A232">
        <v>231</v>
      </c>
      <c r="B232">
        <v>15</v>
      </c>
      <c r="C232">
        <v>9000</v>
      </c>
      <c r="D232">
        <v>7954</v>
      </c>
      <c r="E232" s="5">
        <f t="shared" si="13"/>
        <v>1046</v>
      </c>
      <c r="F232" s="5">
        <f t="shared" si="14"/>
        <v>1094116</v>
      </c>
      <c r="G232" s="6">
        <f>SQRT(SUM($F$2:F232)/A232)</f>
        <v>1232.196925848001</v>
      </c>
      <c r="H232" s="5">
        <f t="shared" si="15"/>
        <v>1</v>
      </c>
      <c r="I232" s="5">
        <f t="shared" si="16"/>
        <v>0</v>
      </c>
    </row>
    <row r="233" spans="1:9">
      <c r="A233">
        <v>232</v>
      </c>
      <c r="B233">
        <v>17</v>
      </c>
      <c r="C233">
        <v>9000</v>
      </c>
      <c r="D233">
        <v>9285</v>
      </c>
      <c r="E233" s="5">
        <f t="shared" si="13"/>
        <v>285</v>
      </c>
      <c r="F233" s="5">
        <f t="shared" si="14"/>
        <v>81225</v>
      </c>
      <c r="G233" s="6">
        <f>SQRT(SUM($F$2:F233)/A233)</f>
        <v>1229.6808266151129</v>
      </c>
      <c r="H233" s="5">
        <f t="shared" si="15"/>
        <v>1</v>
      </c>
      <c r="I233" s="5">
        <f t="shared" si="16"/>
        <v>1</v>
      </c>
    </row>
    <row r="234" spans="1:9">
      <c r="A234">
        <v>233</v>
      </c>
      <c r="B234">
        <v>16</v>
      </c>
      <c r="C234">
        <v>9000</v>
      </c>
      <c r="D234">
        <v>8785</v>
      </c>
      <c r="E234" s="5">
        <f t="shared" si="13"/>
        <v>215</v>
      </c>
      <c r="F234" s="5">
        <f t="shared" si="14"/>
        <v>46225</v>
      </c>
      <c r="G234" s="6">
        <f>SQRT(SUM($F$2:F234)/A234)</f>
        <v>1227.1200276386005</v>
      </c>
      <c r="H234" s="5">
        <f t="shared" si="15"/>
        <v>1</v>
      </c>
      <c r="I234" s="5">
        <f t="shared" si="16"/>
        <v>1</v>
      </c>
    </row>
    <row r="235" spans="1:9">
      <c r="A235">
        <v>234</v>
      </c>
      <c r="B235">
        <v>16</v>
      </c>
      <c r="C235">
        <v>9000</v>
      </c>
      <c r="D235">
        <v>9487</v>
      </c>
      <c r="E235" s="5">
        <f t="shared" si="13"/>
        <v>487</v>
      </c>
      <c r="F235" s="5">
        <f t="shared" si="14"/>
        <v>237169</v>
      </c>
      <c r="G235" s="6">
        <f>SQRT(SUM($F$2:F235)/A235)</f>
        <v>1224.9089605103154</v>
      </c>
      <c r="H235" s="5">
        <f t="shared" si="15"/>
        <v>1</v>
      </c>
      <c r="I235" s="5">
        <f t="shared" si="16"/>
        <v>1</v>
      </c>
    </row>
    <row r="236" spans="1:9">
      <c r="A236">
        <v>235</v>
      </c>
      <c r="B236">
        <v>16</v>
      </c>
      <c r="C236">
        <v>9000</v>
      </c>
      <c r="D236">
        <v>8385</v>
      </c>
      <c r="E236" s="5">
        <f t="shared" si="13"/>
        <v>615</v>
      </c>
      <c r="F236" s="5">
        <f t="shared" si="14"/>
        <v>378225</v>
      </c>
      <c r="G236" s="6">
        <f>SQRT(SUM($F$2:F236)/A236)</f>
        <v>1222.9581924274976</v>
      </c>
      <c r="H236" s="5">
        <f t="shared" si="15"/>
        <v>1</v>
      </c>
      <c r="I236" s="5">
        <f t="shared" si="16"/>
        <v>1</v>
      </c>
    </row>
    <row r="237" spans="1:9">
      <c r="A237">
        <v>236</v>
      </c>
      <c r="B237">
        <v>17</v>
      </c>
      <c r="C237">
        <v>9000</v>
      </c>
      <c r="D237">
        <v>9055</v>
      </c>
      <c r="E237" s="5">
        <f t="shared" si="13"/>
        <v>55</v>
      </c>
      <c r="F237" s="5">
        <f t="shared" si="14"/>
        <v>3025</v>
      </c>
      <c r="G237" s="6">
        <f>SQRT(SUM($F$2:F237)/A237)</f>
        <v>1220.3696803754431</v>
      </c>
      <c r="H237" s="5">
        <f t="shared" si="15"/>
        <v>1</v>
      </c>
      <c r="I237" s="5">
        <f t="shared" si="16"/>
        <v>1</v>
      </c>
    </row>
    <row r="238" spans="1:9">
      <c r="A238">
        <v>237</v>
      </c>
      <c r="B238">
        <v>16</v>
      </c>
      <c r="C238">
        <v>9000</v>
      </c>
      <c r="D238">
        <v>9198</v>
      </c>
      <c r="E238" s="5">
        <f t="shared" si="13"/>
        <v>198</v>
      </c>
      <c r="F238" s="5">
        <f t="shared" si="14"/>
        <v>39204</v>
      </c>
      <c r="G238" s="6">
        <f>SQRT(SUM($F$2:F238)/A238)</f>
        <v>1217.8602543625923</v>
      </c>
      <c r="H238" s="5">
        <f t="shared" si="15"/>
        <v>1</v>
      </c>
      <c r="I238" s="5">
        <f t="shared" si="16"/>
        <v>1</v>
      </c>
    </row>
    <row r="239" spans="1:9">
      <c r="A239">
        <v>238</v>
      </c>
      <c r="B239">
        <v>16</v>
      </c>
      <c r="C239">
        <v>9000</v>
      </c>
      <c r="D239">
        <v>8856</v>
      </c>
      <c r="E239" s="5">
        <f t="shared" si="13"/>
        <v>144</v>
      </c>
      <c r="F239" s="5">
        <f t="shared" si="14"/>
        <v>20736</v>
      </c>
      <c r="G239" s="6">
        <f>SQRT(SUM($F$2:F239)/A239)</f>
        <v>1215.3348762150035</v>
      </c>
      <c r="H239" s="5">
        <f t="shared" si="15"/>
        <v>1</v>
      </c>
      <c r="I239" s="5">
        <f t="shared" si="16"/>
        <v>1</v>
      </c>
    </row>
    <row r="240" spans="1:9">
      <c r="A240">
        <v>239</v>
      </c>
      <c r="B240">
        <v>16</v>
      </c>
      <c r="C240">
        <v>9000</v>
      </c>
      <c r="D240">
        <v>9590</v>
      </c>
      <c r="E240" s="5">
        <f t="shared" si="13"/>
        <v>590</v>
      </c>
      <c r="F240" s="5">
        <f t="shared" si="14"/>
        <v>348100</v>
      </c>
      <c r="G240" s="6">
        <f>SQRT(SUM($F$2:F240)/A240)</f>
        <v>1213.3899899794899</v>
      </c>
      <c r="H240" s="5">
        <f t="shared" si="15"/>
        <v>1</v>
      </c>
      <c r="I240" s="5">
        <f t="shared" si="16"/>
        <v>1</v>
      </c>
    </row>
    <row r="241" spans="1:9">
      <c r="A241">
        <v>240</v>
      </c>
      <c r="B241">
        <v>15</v>
      </c>
      <c r="C241">
        <v>9000</v>
      </c>
      <c r="D241">
        <v>8301</v>
      </c>
      <c r="E241" s="5">
        <f t="shared" si="13"/>
        <v>699</v>
      </c>
      <c r="F241" s="5">
        <f t="shared" si="14"/>
        <v>488601</v>
      </c>
      <c r="G241" s="6">
        <f>SQRT(SUM($F$2:F241)/A241)</f>
        <v>1211.6998218755887</v>
      </c>
      <c r="H241" s="5">
        <f t="shared" si="15"/>
        <v>1</v>
      </c>
      <c r="I241" s="5">
        <f t="shared" si="16"/>
        <v>1</v>
      </c>
    </row>
    <row r="242" spans="1:9">
      <c r="A242">
        <v>241</v>
      </c>
      <c r="B242">
        <v>17</v>
      </c>
      <c r="C242">
        <v>9000</v>
      </c>
      <c r="D242">
        <v>8859</v>
      </c>
      <c r="E242" s="5">
        <f t="shared" si="13"/>
        <v>141</v>
      </c>
      <c r="F242" s="5">
        <f t="shared" si="14"/>
        <v>19881</v>
      </c>
      <c r="G242" s="6">
        <f>SQRT(SUM($F$2:F242)/A242)</f>
        <v>1209.2174195052166</v>
      </c>
      <c r="H242" s="5">
        <f t="shared" si="15"/>
        <v>1</v>
      </c>
      <c r="I242" s="5">
        <f t="shared" si="16"/>
        <v>1</v>
      </c>
    </row>
    <row r="243" spans="1:9">
      <c r="A243">
        <v>242</v>
      </c>
      <c r="B243">
        <v>16</v>
      </c>
      <c r="C243">
        <v>9000</v>
      </c>
      <c r="D243">
        <v>9149</v>
      </c>
      <c r="E243" s="5">
        <f t="shared" si="13"/>
        <v>149</v>
      </c>
      <c r="F243" s="5">
        <f t="shared" si="14"/>
        <v>22201</v>
      </c>
      <c r="G243" s="6">
        <f>SQRT(SUM($F$2:F243)/A243)</f>
        <v>1206.7544615946165</v>
      </c>
      <c r="H243" s="5">
        <f t="shared" si="15"/>
        <v>1</v>
      </c>
      <c r="I243" s="5">
        <f t="shared" si="16"/>
        <v>1</v>
      </c>
    </row>
    <row r="244" spans="1:9">
      <c r="A244">
        <v>243</v>
      </c>
      <c r="B244">
        <v>16</v>
      </c>
      <c r="C244">
        <v>9000</v>
      </c>
      <c r="D244">
        <v>8395</v>
      </c>
      <c r="E244" s="5">
        <f t="shared" si="13"/>
        <v>605</v>
      </c>
      <c r="F244" s="5">
        <f t="shared" si="14"/>
        <v>366025</v>
      </c>
      <c r="G244" s="6">
        <f>SQRT(SUM($F$2:F244)/A244)</f>
        <v>1204.8940957167165</v>
      </c>
      <c r="H244" s="5">
        <f t="shared" si="15"/>
        <v>1</v>
      </c>
      <c r="I244" s="5">
        <f t="shared" si="16"/>
        <v>1</v>
      </c>
    </row>
    <row r="245" spans="1:9">
      <c r="A245">
        <v>244</v>
      </c>
      <c r="B245">
        <v>17</v>
      </c>
      <c r="C245">
        <v>9000</v>
      </c>
      <c r="D245">
        <v>8869</v>
      </c>
      <c r="E245" s="5">
        <f t="shared" si="13"/>
        <v>131</v>
      </c>
      <c r="F245" s="5">
        <f t="shared" si="14"/>
        <v>17161</v>
      </c>
      <c r="G245" s="6">
        <f>SQRT(SUM($F$2:F245)/A245)</f>
        <v>1202.4517610719017</v>
      </c>
      <c r="H245" s="5">
        <f t="shared" si="15"/>
        <v>1</v>
      </c>
      <c r="I245" s="5">
        <f t="shared" si="16"/>
        <v>1</v>
      </c>
    </row>
    <row r="246" spans="1:9">
      <c r="A246">
        <v>245</v>
      </c>
      <c r="B246">
        <v>17</v>
      </c>
      <c r="C246">
        <v>9000</v>
      </c>
      <c r="D246">
        <v>9062</v>
      </c>
      <c r="E246" s="5">
        <f t="shared" si="13"/>
        <v>62</v>
      </c>
      <c r="F246" s="5">
        <f t="shared" si="14"/>
        <v>3844</v>
      </c>
      <c r="G246" s="6">
        <f>SQRT(SUM($F$2:F246)/A246)</f>
        <v>1200.0018061210897</v>
      </c>
      <c r="H246" s="5">
        <f t="shared" si="15"/>
        <v>1</v>
      </c>
      <c r="I246" s="5">
        <f t="shared" si="16"/>
        <v>1</v>
      </c>
    </row>
    <row r="247" spans="1:9">
      <c r="A247">
        <v>246</v>
      </c>
      <c r="B247">
        <v>16</v>
      </c>
      <c r="C247">
        <v>9000</v>
      </c>
      <c r="D247">
        <v>9525</v>
      </c>
      <c r="E247" s="5">
        <f t="shared" si="13"/>
        <v>525</v>
      </c>
      <c r="F247" s="5">
        <f t="shared" si="14"/>
        <v>275625</v>
      </c>
      <c r="G247" s="6">
        <f>SQRT(SUM($F$2:F247)/A247)</f>
        <v>1198.027998573428</v>
      </c>
      <c r="H247" s="5">
        <f t="shared" si="15"/>
        <v>1</v>
      </c>
      <c r="I247" s="5">
        <f t="shared" si="16"/>
        <v>1</v>
      </c>
    </row>
    <row r="248" spans="1:9">
      <c r="A248">
        <v>247</v>
      </c>
      <c r="B248">
        <v>16</v>
      </c>
      <c r="C248">
        <v>9000</v>
      </c>
      <c r="D248">
        <v>8729</v>
      </c>
      <c r="E248" s="5">
        <f t="shared" si="13"/>
        <v>271</v>
      </c>
      <c r="F248" s="5">
        <f t="shared" si="14"/>
        <v>73441</v>
      </c>
      <c r="G248" s="6">
        <f>SQRT(SUM($F$2:F248)/A248)</f>
        <v>1195.7247188374365</v>
      </c>
      <c r="H248" s="5">
        <f t="shared" si="15"/>
        <v>1</v>
      </c>
      <c r="I248" s="5">
        <f t="shared" si="16"/>
        <v>1</v>
      </c>
    </row>
    <row r="249" spans="1:9">
      <c r="A249">
        <v>248</v>
      </c>
      <c r="B249">
        <v>17</v>
      </c>
      <c r="C249">
        <v>9000</v>
      </c>
      <c r="D249">
        <v>9541</v>
      </c>
      <c r="E249" s="5">
        <f t="shared" si="13"/>
        <v>541</v>
      </c>
      <c r="F249" s="5">
        <f t="shared" si="14"/>
        <v>292681</v>
      </c>
      <c r="G249" s="6">
        <f>SQRT(SUM($F$2:F249)/A249)</f>
        <v>1193.8059377199813</v>
      </c>
      <c r="H249" s="5">
        <f t="shared" si="15"/>
        <v>1</v>
      </c>
      <c r="I249" s="5">
        <f t="shared" si="16"/>
        <v>1</v>
      </c>
    </row>
    <row r="250" spans="1:9">
      <c r="A250">
        <v>249</v>
      </c>
      <c r="B250">
        <v>16</v>
      </c>
      <c r="C250">
        <v>9000</v>
      </c>
      <c r="D250">
        <v>9730</v>
      </c>
      <c r="E250" s="5">
        <f t="shared" si="13"/>
        <v>730</v>
      </c>
      <c r="F250" s="5">
        <f t="shared" si="14"/>
        <v>532900</v>
      </c>
      <c r="G250" s="6">
        <f>SQRT(SUM($F$2:F250)/A250)</f>
        <v>1192.3041527945311</v>
      </c>
      <c r="H250" s="5">
        <f t="shared" si="15"/>
        <v>1</v>
      </c>
      <c r="I250" s="5">
        <f t="shared" si="16"/>
        <v>1</v>
      </c>
    </row>
    <row r="251" spans="1:9">
      <c r="A251">
        <v>250</v>
      </c>
      <c r="B251">
        <v>15</v>
      </c>
      <c r="C251">
        <v>9000</v>
      </c>
      <c r="D251">
        <v>8301</v>
      </c>
      <c r="E251" s="5">
        <f t="shared" si="13"/>
        <v>699</v>
      </c>
      <c r="F251" s="5">
        <f t="shared" si="14"/>
        <v>488601</v>
      </c>
      <c r="G251" s="6">
        <f>SQRT(SUM($F$2:F251)/A251)</f>
        <v>1190.7381072259341</v>
      </c>
      <c r="H251" s="5">
        <f t="shared" si="15"/>
        <v>1</v>
      </c>
      <c r="I251" s="5">
        <f t="shared" si="16"/>
        <v>1</v>
      </c>
    </row>
    <row r="252" spans="1:9">
      <c r="A252">
        <v>251</v>
      </c>
      <c r="B252">
        <v>17</v>
      </c>
      <c r="C252">
        <v>9000</v>
      </c>
      <c r="D252">
        <v>9897</v>
      </c>
      <c r="E252" s="5">
        <f t="shared" si="13"/>
        <v>897</v>
      </c>
      <c r="F252" s="5">
        <f t="shared" si="14"/>
        <v>804609</v>
      </c>
      <c r="G252" s="6">
        <f>SQRT(SUM($F$2:F252)/A252)</f>
        <v>1189.711738161946</v>
      </c>
      <c r="H252" s="5">
        <f t="shared" si="15"/>
        <v>1</v>
      </c>
      <c r="I252" s="5">
        <f t="shared" si="16"/>
        <v>1</v>
      </c>
    </row>
    <row r="253" spans="1:9">
      <c r="A253">
        <v>252</v>
      </c>
      <c r="B253">
        <v>15</v>
      </c>
      <c r="C253">
        <v>9000</v>
      </c>
      <c r="D253">
        <v>9045</v>
      </c>
      <c r="E253" s="5">
        <f t="shared" si="13"/>
        <v>45</v>
      </c>
      <c r="F253" s="5">
        <f t="shared" si="14"/>
        <v>2025</v>
      </c>
      <c r="G253" s="6">
        <f>SQRT(SUM($F$2:F253)/A253)</f>
        <v>1187.3522364207402</v>
      </c>
      <c r="H253" s="5">
        <f t="shared" si="15"/>
        <v>1</v>
      </c>
      <c r="I253" s="5">
        <f t="shared" si="16"/>
        <v>1</v>
      </c>
    </row>
    <row r="254" spans="1:9">
      <c r="A254">
        <v>253</v>
      </c>
      <c r="B254">
        <v>16</v>
      </c>
      <c r="C254">
        <v>9000</v>
      </c>
      <c r="D254">
        <v>9356</v>
      </c>
      <c r="E254" s="5">
        <f t="shared" si="13"/>
        <v>356</v>
      </c>
      <c r="F254" s="5">
        <f t="shared" si="14"/>
        <v>126736</v>
      </c>
      <c r="G254" s="6">
        <f>SQRT(SUM($F$2:F254)/A254)</f>
        <v>1185.2147117900108</v>
      </c>
      <c r="H254" s="5">
        <f t="shared" si="15"/>
        <v>1</v>
      </c>
      <c r="I254" s="5">
        <f t="shared" si="16"/>
        <v>1</v>
      </c>
    </row>
    <row r="255" spans="1:9">
      <c r="A255">
        <v>254</v>
      </c>
      <c r="B255">
        <v>15</v>
      </c>
      <c r="C255">
        <v>9000</v>
      </c>
      <c r="D255">
        <v>9159</v>
      </c>
      <c r="E255" s="5">
        <f t="shared" si="13"/>
        <v>159</v>
      </c>
      <c r="F255" s="5">
        <f t="shared" si="14"/>
        <v>25281</v>
      </c>
      <c r="G255" s="6">
        <f>SQRT(SUM($F$2:F255)/A255)</f>
        <v>1182.9213820296732</v>
      </c>
      <c r="H255" s="5">
        <f t="shared" si="15"/>
        <v>1</v>
      </c>
      <c r="I255" s="5">
        <f t="shared" si="16"/>
        <v>1</v>
      </c>
    </row>
    <row r="256" spans="1:9">
      <c r="A256">
        <v>255</v>
      </c>
      <c r="B256">
        <v>16</v>
      </c>
      <c r="C256">
        <v>9000</v>
      </c>
      <c r="D256">
        <v>9667</v>
      </c>
      <c r="E256" s="5">
        <f t="shared" si="13"/>
        <v>667</v>
      </c>
      <c r="F256" s="5">
        <f t="shared" si="14"/>
        <v>444889</v>
      </c>
      <c r="G256" s="6">
        <f>SQRT(SUM($F$2:F256)/A256)</f>
        <v>1181.3383072085792</v>
      </c>
      <c r="H256" s="5">
        <f t="shared" si="15"/>
        <v>1</v>
      </c>
      <c r="I256" s="5">
        <f t="shared" si="16"/>
        <v>1</v>
      </c>
    </row>
    <row r="257" spans="1:9">
      <c r="A257">
        <v>256</v>
      </c>
      <c r="B257">
        <v>15</v>
      </c>
      <c r="C257">
        <v>9000</v>
      </c>
      <c r="D257">
        <v>8198</v>
      </c>
      <c r="E257" s="5">
        <f t="shared" si="13"/>
        <v>802</v>
      </c>
      <c r="F257" s="5">
        <f t="shared" si="14"/>
        <v>643204</v>
      </c>
      <c r="G257" s="6">
        <f>SQRT(SUM($F$2:F257)/A257)</f>
        <v>1180.0937694469453</v>
      </c>
      <c r="H257" s="5">
        <f t="shared" si="15"/>
        <v>1</v>
      </c>
      <c r="I257" s="5">
        <f t="shared" si="16"/>
        <v>1</v>
      </c>
    </row>
    <row r="258" spans="1:9">
      <c r="A258">
        <v>257</v>
      </c>
      <c r="B258">
        <v>17</v>
      </c>
      <c r="C258">
        <v>9000</v>
      </c>
      <c r="D258">
        <v>8190</v>
      </c>
      <c r="E258" s="5">
        <f t="shared" si="13"/>
        <v>810</v>
      </c>
      <c r="F258" s="5">
        <f t="shared" si="14"/>
        <v>656100</v>
      </c>
      <c r="G258" s="6">
        <f>SQRT(SUM($F$2:F258)/A258)</f>
        <v>1178.8789009202851</v>
      </c>
      <c r="H258" s="5">
        <f t="shared" si="15"/>
        <v>1</v>
      </c>
      <c r="I258" s="5">
        <f t="shared" si="16"/>
        <v>1</v>
      </c>
    </row>
    <row r="259" spans="1:9">
      <c r="A259">
        <v>258</v>
      </c>
      <c r="B259">
        <v>17</v>
      </c>
      <c r="C259">
        <v>9000</v>
      </c>
      <c r="D259">
        <v>9685</v>
      </c>
      <c r="E259" s="5">
        <f t="shared" ref="E259:E322" si="17">ABS(C259-D259)</f>
        <v>685</v>
      </c>
      <c r="F259" s="5">
        <f t="shared" ref="F259:F322" si="18">POWER(E259,2)</f>
        <v>469225</v>
      </c>
      <c r="G259" s="6">
        <f>SQRT(SUM($F$2:F259)/A259)</f>
        <v>1177.3646484857086</v>
      </c>
      <c r="H259" s="5">
        <f t="shared" ref="H259:H322" si="19">IF(ABS(E259)/C259&gt;0.2,0,1)</f>
        <v>1</v>
      </c>
      <c r="I259" s="5">
        <f t="shared" ref="I259:I322" si="20">IF(ABS(E259)/C259&gt;0.1,0,1)</f>
        <v>1</v>
      </c>
    </row>
    <row r="260" spans="1:9">
      <c r="A260">
        <v>259</v>
      </c>
      <c r="B260">
        <v>15</v>
      </c>
      <c r="C260">
        <v>9000</v>
      </c>
      <c r="D260">
        <v>8747</v>
      </c>
      <c r="E260" s="5">
        <f t="shared" si="17"/>
        <v>253</v>
      </c>
      <c r="F260" s="5">
        <f t="shared" si="18"/>
        <v>64009</v>
      </c>
      <c r="G260" s="6">
        <f>SQRT(SUM($F$2:F260)/A260)</f>
        <v>1175.1946984013241</v>
      </c>
      <c r="H260" s="5">
        <f t="shared" si="19"/>
        <v>1</v>
      </c>
      <c r="I260" s="5">
        <f t="shared" si="20"/>
        <v>1</v>
      </c>
    </row>
    <row r="261" spans="1:9">
      <c r="A261">
        <v>260</v>
      </c>
      <c r="B261">
        <v>16</v>
      </c>
      <c r="C261">
        <v>9000</v>
      </c>
      <c r="D261">
        <v>8824</v>
      </c>
      <c r="E261" s="5">
        <f t="shared" si="17"/>
        <v>176</v>
      </c>
      <c r="F261" s="5">
        <f t="shared" si="18"/>
        <v>30976</v>
      </c>
      <c r="G261" s="6">
        <f>SQRT(SUM($F$2:F261)/A261)</f>
        <v>1172.983316820176</v>
      </c>
      <c r="H261" s="5">
        <f t="shared" si="19"/>
        <v>1</v>
      </c>
      <c r="I261" s="5">
        <f t="shared" si="20"/>
        <v>1</v>
      </c>
    </row>
    <row r="262" spans="1:9">
      <c r="A262">
        <v>261</v>
      </c>
      <c r="B262">
        <v>16</v>
      </c>
      <c r="C262">
        <v>9000</v>
      </c>
      <c r="D262">
        <v>8167</v>
      </c>
      <c r="E262" s="5">
        <f t="shared" si="17"/>
        <v>833</v>
      </c>
      <c r="F262" s="5">
        <f t="shared" si="18"/>
        <v>693889</v>
      </c>
      <c r="G262" s="6">
        <f>SQRT(SUM($F$2:F262)/A262)</f>
        <v>1171.8689480558928</v>
      </c>
      <c r="H262" s="5">
        <f t="shared" si="19"/>
        <v>1</v>
      </c>
      <c r="I262" s="5">
        <f t="shared" si="20"/>
        <v>1</v>
      </c>
    </row>
    <row r="263" spans="1:9">
      <c r="A263">
        <v>262</v>
      </c>
      <c r="B263">
        <v>17</v>
      </c>
      <c r="C263">
        <v>9000</v>
      </c>
      <c r="D263">
        <v>8081</v>
      </c>
      <c r="E263" s="5">
        <f t="shared" si="17"/>
        <v>919</v>
      </c>
      <c r="F263" s="5">
        <f t="shared" si="18"/>
        <v>844561</v>
      </c>
      <c r="G263" s="6">
        <f>SQRT(SUM($F$2:F263)/A263)</f>
        <v>1171.0076140064455</v>
      </c>
      <c r="H263" s="5">
        <f t="shared" si="19"/>
        <v>1</v>
      </c>
      <c r="I263" s="5">
        <f t="shared" si="20"/>
        <v>0</v>
      </c>
    </row>
    <row r="264" spans="1:9">
      <c r="A264">
        <v>263</v>
      </c>
      <c r="B264">
        <v>17</v>
      </c>
      <c r="C264">
        <v>9000</v>
      </c>
      <c r="D264">
        <v>9458</v>
      </c>
      <c r="E264" s="5">
        <f t="shared" si="17"/>
        <v>458</v>
      </c>
      <c r="F264" s="5">
        <f t="shared" si="18"/>
        <v>209764</v>
      </c>
      <c r="G264" s="6">
        <f>SQRT(SUM($F$2:F264)/A264)</f>
        <v>1169.1203966662888</v>
      </c>
      <c r="H264" s="5">
        <f t="shared" si="19"/>
        <v>1</v>
      </c>
      <c r="I264" s="5">
        <f t="shared" si="20"/>
        <v>1</v>
      </c>
    </row>
    <row r="265" spans="1:9">
      <c r="A265">
        <v>264</v>
      </c>
      <c r="B265">
        <v>16</v>
      </c>
      <c r="C265">
        <v>9000</v>
      </c>
      <c r="D265">
        <v>8617</v>
      </c>
      <c r="E265" s="5">
        <f t="shared" si="17"/>
        <v>383</v>
      </c>
      <c r="F265" s="5">
        <f t="shared" si="18"/>
        <v>146689</v>
      </c>
      <c r="G265" s="6">
        <f>SQRT(SUM($F$2:F265)/A265)</f>
        <v>1167.1421114557272</v>
      </c>
      <c r="H265" s="5">
        <f t="shared" si="19"/>
        <v>1</v>
      </c>
      <c r="I265" s="5">
        <f t="shared" si="20"/>
        <v>1</v>
      </c>
    </row>
    <row r="266" spans="1:9">
      <c r="A266">
        <v>265</v>
      </c>
      <c r="B266">
        <v>17</v>
      </c>
      <c r="C266">
        <v>9000</v>
      </c>
      <c r="D266">
        <v>7935</v>
      </c>
      <c r="E266" s="5">
        <f t="shared" si="17"/>
        <v>1065</v>
      </c>
      <c r="F266" s="5">
        <f t="shared" si="18"/>
        <v>1134225</v>
      </c>
      <c r="G266" s="6">
        <f>SQRT(SUM($F$2:F266)/A266)</f>
        <v>1166.7734772310396</v>
      </c>
      <c r="H266" s="5">
        <f t="shared" si="19"/>
        <v>1</v>
      </c>
      <c r="I266" s="5">
        <f t="shared" si="20"/>
        <v>0</v>
      </c>
    </row>
    <row r="267" spans="1:9">
      <c r="A267">
        <v>266</v>
      </c>
      <c r="B267">
        <v>18</v>
      </c>
      <c r="C267">
        <v>9000</v>
      </c>
      <c r="D267">
        <v>3603</v>
      </c>
      <c r="E267" s="5">
        <f t="shared" si="17"/>
        <v>5397</v>
      </c>
      <c r="F267" s="5">
        <f t="shared" si="18"/>
        <v>29127609</v>
      </c>
      <c r="G267" s="6">
        <f>SQRT(SUM($F$2:F267)/A267)</f>
        <v>1210.679454108933</v>
      </c>
      <c r="H267" s="5">
        <f t="shared" si="19"/>
        <v>0</v>
      </c>
      <c r="I267" s="5">
        <f t="shared" si="20"/>
        <v>0</v>
      </c>
    </row>
    <row r="268" spans="1:9">
      <c r="A268">
        <v>267</v>
      </c>
      <c r="B268">
        <v>24</v>
      </c>
      <c r="C268">
        <v>9000</v>
      </c>
      <c r="D268">
        <v>4309</v>
      </c>
      <c r="E268" s="5">
        <f t="shared" si="17"/>
        <v>4691</v>
      </c>
      <c r="F268" s="5">
        <f t="shared" si="18"/>
        <v>22005481</v>
      </c>
      <c r="G268" s="6">
        <f>SQRT(SUM($F$2:F268)/A268)</f>
        <v>1242.0437157203041</v>
      </c>
      <c r="H268" s="5">
        <f t="shared" si="19"/>
        <v>0</v>
      </c>
      <c r="I268" s="5">
        <f t="shared" si="20"/>
        <v>0</v>
      </c>
    </row>
    <row r="269" spans="1:9">
      <c r="A269">
        <v>268</v>
      </c>
      <c r="B269">
        <v>24</v>
      </c>
      <c r="C269">
        <v>9000</v>
      </c>
      <c r="D269">
        <v>10069</v>
      </c>
      <c r="E269" s="5">
        <f t="shared" si="17"/>
        <v>1069</v>
      </c>
      <c r="F269" s="5">
        <f t="shared" si="18"/>
        <v>1142761</v>
      </c>
      <c r="G269" s="6">
        <f>SQRT(SUM($F$2:F269)/A269)</f>
        <v>1241.44286390005</v>
      </c>
      <c r="H269" s="5">
        <f t="shared" si="19"/>
        <v>1</v>
      </c>
      <c r="I269" s="5">
        <f t="shared" si="20"/>
        <v>0</v>
      </c>
    </row>
    <row r="270" spans="1:9">
      <c r="A270">
        <v>269</v>
      </c>
      <c r="B270">
        <v>18</v>
      </c>
      <c r="C270">
        <v>9000</v>
      </c>
      <c r="D270">
        <v>8790</v>
      </c>
      <c r="E270" s="5">
        <f t="shared" si="17"/>
        <v>210</v>
      </c>
      <c r="F270" s="5">
        <f t="shared" si="18"/>
        <v>44100</v>
      </c>
      <c r="G270" s="6">
        <f>SQRT(SUM($F$2:F270)/A270)</f>
        <v>1239.1993502821799</v>
      </c>
      <c r="H270" s="5">
        <f t="shared" si="19"/>
        <v>1</v>
      </c>
      <c r="I270" s="5">
        <f t="shared" si="20"/>
        <v>1</v>
      </c>
    </row>
    <row r="271" spans="1:9">
      <c r="A271">
        <v>270</v>
      </c>
      <c r="B271">
        <v>19</v>
      </c>
      <c r="C271">
        <v>9000</v>
      </c>
      <c r="D271">
        <v>9394</v>
      </c>
      <c r="E271" s="5">
        <f t="shared" si="17"/>
        <v>394</v>
      </c>
      <c r="F271" s="5">
        <f t="shared" si="18"/>
        <v>155236</v>
      </c>
      <c r="G271" s="6">
        <f>SQRT(SUM($F$2:F271)/A271)</f>
        <v>1237.1348005835155</v>
      </c>
      <c r="H271" s="5">
        <f t="shared" si="19"/>
        <v>1</v>
      </c>
      <c r="I271" s="5">
        <f t="shared" si="20"/>
        <v>1</v>
      </c>
    </row>
    <row r="272" spans="1:9">
      <c r="A272">
        <v>271</v>
      </c>
      <c r="B272">
        <v>19</v>
      </c>
      <c r="C272">
        <v>9000</v>
      </c>
      <c r="D272">
        <v>9024</v>
      </c>
      <c r="E272" s="5">
        <f t="shared" si="17"/>
        <v>24</v>
      </c>
      <c r="F272" s="5">
        <f t="shared" si="18"/>
        <v>576</v>
      </c>
      <c r="G272" s="6">
        <f>SQRT(SUM($F$2:F272)/A272)</f>
        <v>1234.8510151108494</v>
      </c>
      <c r="H272" s="5">
        <f t="shared" si="19"/>
        <v>1</v>
      </c>
      <c r="I272" s="5">
        <f t="shared" si="20"/>
        <v>1</v>
      </c>
    </row>
    <row r="273" spans="1:9">
      <c r="A273">
        <v>272</v>
      </c>
      <c r="B273">
        <v>19</v>
      </c>
      <c r="C273">
        <v>9000</v>
      </c>
      <c r="D273">
        <v>9742</v>
      </c>
      <c r="E273" s="5">
        <f t="shared" si="17"/>
        <v>742</v>
      </c>
      <c r="F273" s="5">
        <f t="shared" si="18"/>
        <v>550564</v>
      </c>
      <c r="G273" s="6">
        <f>SQRT(SUM($F$2:F273)/A273)</f>
        <v>1233.3998013024573</v>
      </c>
      <c r="H273" s="5">
        <f t="shared" si="19"/>
        <v>1</v>
      </c>
      <c r="I273" s="5">
        <f t="shared" si="20"/>
        <v>1</v>
      </c>
    </row>
    <row r="274" spans="1:9">
      <c r="A274">
        <v>273</v>
      </c>
      <c r="B274">
        <v>18</v>
      </c>
      <c r="C274">
        <v>9000</v>
      </c>
      <c r="D274">
        <v>8983</v>
      </c>
      <c r="E274" s="5">
        <f t="shared" si="17"/>
        <v>17</v>
      </c>
      <c r="F274" s="5">
        <f t="shared" si="18"/>
        <v>289</v>
      </c>
      <c r="G274" s="6">
        <f>SQRT(SUM($F$2:F274)/A274)</f>
        <v>1231.1391847828143</v>
      </c>
      <c r="H274" s="5">
        <f t="shared" si="19"/>
        <v>1</v>
      </c>
      <c r="I274" s="5">
        <f t="shared" si="20"/>
        <v>1</v>
      </c>
    </row>
    <row r="275" spans="1:9">
      <c r="A275">
        <v>274</v>
      </c>
      <c r="B275">
        <v>19</v>
      </c>
      <c r="C275">
        <v>9000</v>
      </c>
      <c r="D275">
        <v>9710</v>
      </c>
      <c r="E275" s="5">
        <f t="shared" si="17"/>
        <v>710</v>
      </c>
      <c r="F275" s="5">
        <f t="shared" si="18"/>
        <v>504100</v>
      </c>
      <c r="G275" s="6">
        <f>SQRT(SUM($F$2:F275)/A275)</f>
        <v>1229.6388526836638</v>
      </c>
      <c r="H275" s="5">
        <f t="shared" si="19"/>
        <v>1</v>
      </c>
      <c r="I275" s="5">
        <f t="shared" si="20"/>
        <v>1</v>
      </c>
    </row>
    <row r="276" spans="1:9">
      <c r="A276">
        <v>275</v>
      </c>
      <c r="B276">
        <v>18</v>
      </c>
      <c r="C276">
        <v>9000</v>
      </c>
      <c r="D276">
        <v>9098</v>
      </c>
      <c r="E276" s="5">
        <f t="shared" si="17"/>
        <v>98</v>
      </c>
      <c r="F276" s="5">
        <f t="shared" si="18"/>
        <v>9604</v>
      </c>
      <c r="G276" s="6">
        <f>SQRT(SUM($F$2:F276)/A276)</f>
        <v>1227.4153360915477</v>
      </c>
      <c r="H276" s="5">
        <f t="shared" si="19"/>
        <v>1</v>
      </c>
      <c r="I276" s="5">
        <f t="shared" si="20"/>
        <v>1</v>
      </c>
    </row>
    <row r="277" spans="1:9">
      <c r="A277">
        <v>276</v>
      </c>
      <c r="B277">
        <v>19</v>
      </c>
      <c r="C277">
        <v>9000</v>
      </c>
      <c r="D277">
        <v>9398</v>
      </c>
      <c r="E277" s="5">
        <f t="shared" si="17"/>
        <v>398</v>
      </c>
      <c r="F277" s="5">
        <f t="shared" si="18"/>
        <v>158404</v>
      </c>
      <c r="G277" s="6">
        <f>SQRT(SUM($F$2:F277)/A277)</f>
        <v>1225.4239372914815</v>
      </c>
      <c r="H277" s="5">
        <f t="shared" si="19"/>
        <v>1</v>
      </c>
      <c r="I277" s="5">
        <f t="shared" si="20"/>
        <v>1</v>
      </c>
    </row>
    <row r="278" spans="1:9">
      <c r="A278">
        <v>277</v>
      </c>
      <c r="B278">
        <v>18</v>
      </c>
      <c r="C278">
        <v>9000</v>
      </c>
      <c r="D278">
        <v>8663</v>
      </c>
      <c r="E278" s="5">
        <f t="shared" si="17"/>
        <v>337</v>
      </c>
      <c r="F278" s="5">
        <f t="shared" si="18"/>
        <v>113569</v>
      </c>
      <c r="G278" s="6">
        <f>SQRT(SUM($F$2:F278)/A278)</f>
        <v>1223.3775596395428</v>
      </c>
      <c r="H278" s="5">
        <f t="shared" si="19"/>
        <v>1</v>
      </c>
      <c r="I278" s="5">
        <f t="shared" si="20"/>
        <v>1</v>
      </c>
    </row>
    <row r="279" spans="1:9">
      <c r="A279">
        <v>278</v>
      </c>
      <c r="B279">
        <v>19</v>
      </c>
      <c r="C279">
        <v>9000</v>
      </c>
      <c r="D279">
        <v>10009</v>
      </c>
      <c r="E279" s="5">
        <f t="shared" si="17"/>
        <v>1009</v>
      </c>
      <c r="F279" s="5">
        <f t="shared" si="18"/>
        <v>1018081</v>
      </c>
      <c r="G279" s="6">
        <f>SQRT(SUM($F$2:F279)/A279)</f>
        <v>1222.6737801481925</v>
      </c>
      <c r="H279" s="5">
        <f t="shared" si="19"/>
        <v>1</v>
      </c>
      <c r="I279" s="5">
        <f t="shared" si="20"/>
        <v>0</v>
      </c>
    </row>
    <row r="280" spans="1:9">
      <c r="A280">
        <v>279</v>
      </c>
      <c r="B280">
        <v>17</v>
      </c>
      <c r="C280">
        <v>9000</v>
      </c>
      <c r="D280">
        <v>8676</v>
      </c>
      <c r="E280" s="5">
        <f t="shared" si="17"/>
        <v>324</v>
      </c>
      <c r="F280" s="5">
        <f t="shared" si="18"/>
        <v>104976</v>
      </c>
      <c r="G280" s="6">
        <f>SQRT(SUM($F$2:F280)/A280)</f>
        <v>1220.6347752216004</v>
      </c>
      <c r="H280" s="5">
        <f t="shared" si="19"/>
        <v>1</v>
      </c>
      <c r="I280" s="5">
        <f t="shared" si="20"/>
        <v>1</v>
      </c>
    </row>
    <row r="281" spans="1:9">
      <c r="A281">
        <v>280</v>
      </c>
      <c r="B281">
        <v>19</v>
      </c>
      <c r="C281">
        <v>9000</v>
      </c>
      <c r="D281">
        <v>9634</v>
      </c>
      <c r="E281" s="5">
        <f t="shared" si="17"/>
        <v>634</v>
      </c>
      <c r="F281" s="5">
        <f t="shared" si="18"/>
        <v>401956</v>
      </c>
      <c r="G281" s="6">
        <f>SQRT(SUM($F$2:F281)/A281)</f>
        <v>1219.0420683002346</v>
      </c>
      <c r="H281" s="5">
        <f t="shared" si="19"/>
        <v>1</v>
      </c>
      <c r="I281" s="5">
        <f t="shared" si="20"/>
        <v>1</v>
      </c>
    </row>
    <row r="282" spans="1:9">
      <c r="A282">
        <v>281</v>
      </c>
      <c r="B282">
        <v>18</v>
      </c>
      <c r="C282">
        <v>9000</v>
      </c>
      <c r="D282">
        <v>7984</v>
      </c>
      <c r="E282" s="5">
        <f t="shared" si="17"/>
        <v>1016</v>
      </c>
      <c r="F282" s="5">
        <f t="shared" si="18"/>
        <v>1032256</v>
      </c>
      <c r="G282" s="6">
        <f>SQRT(SUM($F$2:F282)/A282)</f>
        <v>1218.3794937322816</v>
      </c>
      <c r="H282" s="5">
        <f t="shared" si="19"/>
        <v>1</v>
      </c>
      <c r="I282" s="5">
        <f t="shared" si="20"/>
        <v>0</v>
      </c>
    </row>
    <row r="283" spans="1:9">
      <c r="A283">
        <v>282</v>
      </c>
      <c r="B283">
        <v>20</v>
      </c>
      <c r="C283">
        <v>9000</v>
      </c>
      <c r="D283">
        <v>8347</v>
      </c>
      <c r="E283" s="5">
        <f t="shared" si="17"/>
        <v>653</v>
      </c>
      <c r="F283" s="5">
        <f t="shared" si="18"/>
        <v>426409</v>
      </c>
      <c r="G283" s="6">
        <f>SQRT(SUM($F$2:F283)/A283)</f>
        <v>1216.8388049799219</v>
      </c>
      <c r="H283" s="5">
        <f t="shared" si="19"/>
        <v>1</v>
      </c>
      <c r="I283" s="5">
        <f t="shared" si="20"/>
        <v>1</v>
      </c>
    </row>
    <row r="284" spans="1:9">
      <c r="A284">
        <v>283</v>
      </c>
      <c r="B284">
        <v>19</v>
      </c>
      <c r="C284">
        <v>9000</v>
      </c>
      <c r="D284">
        <v>9936</v>
      </c>
      <c r="E284" s="5">
        <f t="shared" si="17"/>
        <v>936</v>
      </c>
      <c r="F284" s="5">
        <f t="shared" si="18"/>
        <v>876096</v>
      </c>
      <c r="G284" s="6">
        <f>SQRT(SUM($F$2:F284)/A284)</f>
        <v>1215.9606404616654</v>
      </c>
      <c r="H284" s="5">
        <f t="shared" si="19"/>
        <v>1</v>
      </c>
      <c r="I284" s="5">
        <f t="shared" si="20"/>
        <v>0</v>
      </c>
    </row>
    <row r="285" spans="1:9">
      <c r="A285">
        <v>284</v>
      </c>
      <c r="B285">
        <v>18</v>
      </c>
      <c r="C285">
        <v>9000</v>
      </c>
      <c r="D285">
        <v>9139</v>
      </c>
      <c r="E285" s="5">
        <f t="shared" si="17"/>
        <v>139</v>
      </c>
      <c r="F285" s="5">
        <f t="shared" si="18"/>
        <v>19321</v>
      </c>
      <c r="G285" s="6">
        <f>SQRT(SUM($F$2:F285)/A285)</f>
        <v>1213.8460003954606</v>
      </c>
      <c r="H285" s="5">
        <f t="shared" si="19"/>
        <v>1</v>
      </c>
      <c r="I285" s="5">
        <f t="shared" si="20"/>
        <v>1</v>
      </c>
    </row>
    <row r="286" spans="1:9">
      <c r="A286">
        <v>285</v>
      </c>
      <c r="B286">
        <v>18</v>
      </c>
      <c r="C286">
        <v>9000</v>
      </c>
      <c r="D286">
        <v>9786</v>
      </c>
      <c r="E286" s="5">
        <f t="shared" si="17"/>
        <v>786</v>
      </c>
      <c r="F286" s="5">
        <f t="shared" si="18"/>
        <v>617796</v>
      </c>
      <c r="G286" s="6">
        <f>SQRT(SUM($F$2:F286)/A286)</f>
        <v>1212.6087232860705</v>
      </c>
      <c r="H286" s="5">
        <f t="shared" si="19"/>
        <v>1</v>
      </c>
      <c r="I286" s="5">
        <f t="shared" si="20"/>
        <v>1</v>
      </c>
    </row>
    <row r="287" spans="1:9">
      <c r="A287">
        <v>286</v>
      </c>
      <c r="B287">
        <v>17</v>
      </c>
      <c r="C287">
        <v>9000</v>
      </c>
      <c r="D287">
        <v>9329</v>
      </c>
      <c r="E287" s="5">
        <f t="shared" si="17"/>
        <v>329</v>
      </c>
      <c r="F287" s="5">
        <f t="shared" si="18"/>
        <v>108241</v>
      </c>
      <c r="G287" s="6">
        <f>SQRT(SUM($F$2:F287)/A287)</f>
        <v>1210.6432391285025</v>
      </c>
      <c r="H287" s="5">
        <f t="shared" si="19"/>
        <v>1</v>
      </c>
      <c r="I287" s="5">
        <f t="shared" si="20"/>
        <v>1</v>
      </c>
    </row>
    <row r="288" spans="1:9">
      <c r="A288">
        <v>287</v>
      </c>
      <c r="B288">
        <v>18</v>
      </c>
      <c r="C288">
        <v>9000</v>
      </c>
      <c r="D288">
        <v>9278</v>
      </c>
      <c r="E288" s="5">
        <f t="shared" si="17"/>
        <v>278</v>
      </c>
      <c r="F288" s="5">
        <f t="shared" si="18"/>
        <v>77284</v>
      </c>
      <c r="G288" s="6">
        <f>SQRT(SUM($F$2:F288)/A288)</f>
        <v>1208.6436677861025</v>
      </c>
      <c r="H288" s="5">
        <f t="shared" si="19"/>
        <v>1</v>
      </c>
      <c r="I288" s="5">
        <f t="shared" si="20"/>
        <v>1</v>
      </c>
    </row>
    <row r="289" spans="1:9">
      <c r="A289">
        <v>288</v>
      </c>
      <c r="B289">
        <v>18</v>
      </c>
      <c r="C289">
        <v>9000</v>
      </c>
      <c r="D289">
        <v>10052</v>
      </c>
      <c r="E289" s="5">
        <f t="shared" si="17"/>
        <v>1052</v>
      </c>
      <c r="F289" s="5">
        <f t="shared" si="18"/>
        <v>1106704</v>
      </c>
      <c r="G289" s="6">
        <f>SQRT(SUM($F$2:F289)/A289)</f>
        <v>1208.1349046843513</v>
      </c>
      <c r="H289" s="5">
        <f t="shared" si="19"/>
        <v>1</v>
      </c>
      <c r="I289" s="5">
        <f t="shared" si="20"/>
        <v>0</v>
      </c>
    </row>
    <row r="290" spans="1:9">
      <c r="A290">
        <v>289</v>
      </c>
      <c r="B290">
        <v>17</v>
      </c>
      <c r="C290">
        <v>9000</v>
      </c>
      <c r="D290">
        <v>8730</v>
      </c>
      <c r="E290" s="5">
        <f t="shared" si="17"/>
        <v>270</v>
      </c>
      <c r="F290" s="5">
        <f t="shared" si="18"/>
        <v>72900</v>
      </c>
      <c r="G290" s="6">
        <f>SQRT(SUM($F$2:F290)/A290)</f>
        <v>1206.1474672703866</v>
      </c>
      <c r="H290" s="5">
        <f t="shared" si="19"/>
        <v>1</v>
      </c>
      <c r="I290" s="5">
        <f t="shared" si="20"/>
        <v>1</v>
      </c>
    </row>
    <row r="291" spans="1:9">
      <c r="A291">
        <v>290</v>
      </c>
      <c r="B291">
        <v>18</v>
      </c>
      <c r="C291">
        <v>9000</v>
      </c>
      <c r="D291">
        <v>9402</v>
      </c>
      <c r="E291" s="5">
        <f t="shared" si="17"/>
        <v>402</v>
      </c>
      <c r="F291" s="5">
        <f t="shared" si="18"/>
        <v>161604</v>
      </c>
      <c r="G291" s="6">
        <f>SQRT(SUM($F$2:F291)/A291)</f>
        <v>1204.297490169097</v>
      </c>
      <c r="H291" s="5">
        <f t="shared" si="19"/>
        <v>1</v>
      </c>
      <c r="I291" s="5">
        <f t="shared" si="20"/>
        <v>1</v>
      </c>
    </row>
    <row r="292" spans="1:9">
      <c r="A292">
        <v>291</v>
      </c>
      <c r="B292">
        <v>17</v>
      </c>
      <c r="C292">
        <v>9000</v>
      </c>
      <c r="D292">
        <v>9543</v>
      </c>
      <c r="E292" s="5">
        <f t="shared" si="17"/>
        <v>543</v>
      </c>
      <c r="F292" s="5">
        <f t="shared" si="18"/>
        <v>294849</v>
      </c>
      <c r="G292" s="6">
        <f>SQRT(SUM($F$2:F292)/A292)</f>
        <v>1202.6477918909618</v>
      </c>
      <c r="H292" s="5">
        <f t="shared" si="19"/>
        <v>1</v>
      </c>
      <c r="I292" s="5">
        <f t="shared" si="20"/>
        <v>1</v>
      </c>
    </row>
    <row r="293" spans="1:9">
      <c r="A293">
        <v>292</v>
      </c>
      <c r="B293">
        <v>17</v>
      </c>
      <c r="C293">
        <v>9000</v>
      </c>
      <c r="D293">
        <v>8009</v>
      </c>
      <c r="E293" s="5">
        <f t="shared" si="17"/>
        <v>991</v>
      </c>
      <c r="F293" s="5">
        <f t="shared" si="18"/>
        <v>982081</v>
      </c>
      <c r="G293" s="6">
        <f>SQRT(SUM($F$2:F293)/A293)</f>
        <v>1201.98656768872</v>
      </c>
      <c r="H293" s="5">
        <f t="shared" si="19"/>
        <v>1</v>
      </c>
      <c r="I293" s="5">
        <f t="shared" si="20"/>
        <v>0</v>
      </c>
    </row>
    <row r="294" spans="1:9">
      <c r="A294">
        <v>293</v>
      </c>
      <c r="B294">
        <v>19</v>
      </c>
      <c r="C294">
        <v>9000</v>
      </c>
      <c r="D294">
        <v>9469</v>
      </c>
      <c r="E294" s="5">
        <f t="shared" si="17"/>
        <v>469</v>
      </c>
      <c r="F294" s="5">
        <f t="shared" si="18"/>
        <v>219961</v>
      </c>
      <c r="G294" s="6">
        <f>SQRT(SUM($F$2:F294)/A294)</f>
        <v>1200.2464195225878</v>
      </c>
      <c r="H294" s="5">
        <f t="shared" si="19"/>
        <v>1</v>
      </c>
      <c r="I294" s="5">
        <f t="shared" si="20"/>
        <v>1</v>
      </c>
    </row>
    <row r="295" spans="1:9">
      <c r="A295">
        <v>294</v>
      </c>
      <c r="B295">
        <v>17</v>
      </c>
      <c r="C295">
        <v>9000</v>
      </c>
      <c r="D295">
        <v>8975</v>
      </c>
      <c r="E295" s="5">
        <f t="shared" si="17"/>
        <v>25</v>
      </c>
      <c r="F295" s="5">
        <f t="shared" si="18"/>
        <v>625</v>
      </c>
      <c r="G295" s="6">
        <f>SQRT(SUM($F$2:F295)/A295)</f>
        <v>1198.2043325113541</v>
      </c>
      <c r="H295" s="5">
        <f t="shared" si="19"/>
        <v>1</v>
      </c>
      <c r="I295" s="5">
        <f t="shared" si="20"/>
        <v>1</v>
      </c>
    </row>
    <row r="296" spans="1:9">
      <c r="A296">
        <v>295</v>
      </c>
      <c r="B296">
        <v>18</v>
      </c>
      <c r="C296">
        <v>9000</v>
      </c>
      <c r="D296">
        <v>8727</v>
      </c>
      <c r="E296" s="5">
        <f t="shared" si="17"/>
        <v>273</v>
      </c>
      <c r="F296" s="5">
        <f t="shared" si="18"/>
        <v>74529</v>
      </c>
      <c r="G296" s="6">
        <f>SQRT(SUM($F$2:F296)/A296)</f>
        <v>1196.2773529097446</v>
      </c>
      <c r="H296" s="5">
        <f t="shared" si="19"/>
        <v>1</v>
      </c>
      <c r="I296" s="5">
        <f t="shared" si="20"/>
        <v>1</v>
      </c>
    </row>
    <row r="297" spans="1:9">
      <c r="A297">
        <v>296</v>
      </c>
      <c r="B297">
        <v>18</v>
      </c>
      <c r="C297">
        <v>9000</v>
      </c>
      <c r="D297">
        <v>9413</v>
      </c>
      <c r="E297" s="5">
        <f t="shared" si="17"/>
        <v>413</v>
      </c>
      <c r="F297" s="5">
        <f t="shared" si="18"/>
        <v>170569</v>
      </c>
      <c r="G297" s="6">
        <f>SQRT(SUM($F$2:F297)/A297)</f>
        <v>1194.4961379797965</v>
      </c>
      <c r="H297" s="5">
        <f t="shared" si="19"/>
        <v>1</v>
      </c>
      <c r="I297" s="5">
        <f t="shared" si="20"/>
        <v>1</v>
      </c>
    </row>
    <row r="298" spans="1:9">
      <c r="A298">
        <v>297</v>
      </c>
      <c r="B298">
        <v>17</v>
      </c>
      <c r="C298">
        <v>9000</v>
      </c>
      <c r="D298">
        <v>8884</v>
      </c>
      <c r="E298" s="5">
        <f t="shared" si="17"/>
        <v>116</v>
      </c>
      <c r="F298" s="5">
        <f t="shared" si="18"/>
        <v>13456</v>
      </c>
      <c r="G298" s="6">
        <f>SQRT(SUM($F$2:F298)/A298)</f>
        <v>1192.502502662036</v>
      </c>
      <c r="H298" s="5">
        <f t="shared" si="19"/>
        <v>1</v>
      </c>
      <c r="I298" s="5">
        <f t="shared" si="20"/>
        <v>1</v>
      </c>
    </row>
    <row r="299" spans="1:9">
      <c r="A299">
        <v>298</v>
      </c>
      <c r="B299">
        <v>18</v>
      </c>
      <c r="C299">
        <v>9000</v>
      </c>
      <c r="D299">
        <v>9123</v>
      </c>
      <c r="E299" s="5">
        <f t="shared" si="17"/>
        <v>123</v>
      </c>
      <c r="F299" s="5">
        <f t="shared" si="18"/>
        <v>15129</v>
      </c>
      <c r="G299" s="6">
        <f>SQRT(SUM($F$2:F299)/A299)</f>
        <v>1190.5213002894795</v>
      </c>
      <c r="H299" s="5">
        <f t="shared" si="19"/>
        <v>1</v>
      </c>
      <c r="I299" s="5">
        <f t="shared" si="20"/>
        <v>1</v>
      </c>
    </row>
    <row r="300" spans="1:9">
      <c r="A300">
        <v>299</v>
      </c>
      <c r="B300">
        <v>18</v>
      </c>
      <c r="C300">
        <v>9000</v>
      </c>
      <c r="D300">
        <v>9715</v>
      </c>
      <c r="E300" s="5">
        <f t="shared" si="17"/>
        <v>715</v>
      </c>
      <c r="F300" s="5">
        <f t="shared" si="18"/>
        <v>511225</v>
      </c>
      <c r="G300" s="6">
        <f>SQRT(SUM($F$2:F300)/A300)</f>
        <v>1189.2478624159346</v>
      </c>
      <c r="H300" s="5">
        <f t="shared" si="19"/>
        <v>1</v>
      </c>
      <c r="I300" s="5">
        <f t="shared" si="20"/>
        <v>1</v>
      </c>
    </row>
    <row r="301" spans="1:9">
      <c r="A301">
        <v>300</v>
      </c>
      <c r="B301">
        <v>17</v>
      </c>
      <c r="C301">
        <v>9000</v>
      </c>
      <c r="D301">
        <v>8597</v>
      </c>
      <c r="E301" s="5">
        <f t="shared" si="17"/>
        <v>403</v>
      </c>
      <c r="F301" s="5">
        <f t="shared" si="18"/>
        <v>162409</v>
      </c>
      <c r="G301" s="6">
        <f>SQRT(SUM($F$2:F301)/A301)</f>
        <v>1187.49209400877</v>
      </c>
      <c r="H301" s="5">
        <f t="shared" si="19"/>
        <v>1</v>
      </c>
      <c r="I301" s="5">
        <f t="shared" si="20"/>
        <v>1</v>
      </c>
    </row>
    <row r="302" spans="1:9">
      <c r="A302">
        <v>301</v>
      </c>
      <c r="B302">
        <v>18</v>
      </c>
      <c r="C302">
        <v>5000</v>
      </c>
      <c r="D302">
        <v>9959</v>
      </c>
      <c r="E302" s="5">
        <f t="shared" si="17"/>
        <v>4959</v>
      </c>
      <c r="F302" s="5">
        <f t="shared" si="18"/>
        <v>24591681</v>
      </c>
      <c r="G302" s="6">
        <f>SQRT(SUM($F$2:F302)/A302)</f>
        <v>1219.4886502572758</v>
      </c>
      <c r="H302" s="5">
        <f t="shared" si="19"/>
        <v>0</v>
      </c>
      <c r="I302" s="5">
        <f t="shared" si="20"/>
        <v>0</v>
      </c>
    </row>
    <row r="303" spans="1:9">
      <c r="A303">
        <v>302</v>
      </c>
      <c r="B303">
        <v>11</v>
      </c>
      <c r="C303">
        <v>5000</v>
      </c>
      <c r="D303">
        <v>5756</v>
      </c>
      <c r="E303" s="5">
        <f t="shared" si="17"/>
        <v>756</v>
      </c>
      <c r="F303" s="5">
        <f t="shared" si="18"/>
        <v>571536</v>
      </c>
      <c r="G303" s="6">
        <f>SQRT(SUM($F$2:F303)/A303)</f>
        <v>1218.2449364415857</v>
      </c>
      <c r="H303" s="5">
        <f t="shared" si="19"/>
        <v>1</v>
      </c>
      <c r="I303" s="5">
        <f t="shared" si="20"/>
        <v>0</v>
      </c>
    </row>
    <row r="304" spans="1:9">
      <c r="A304">
        <v>303</v>
      </c>
      <c r="B304">
        <v>15</v>
      </c>
      <c r="C304">
        <v>5000</v>
      </c>
      <c r="D304">
        <v>8502</v>
      </c>
      <c r="E304" s="5">
        <f t="shared" si="17"/>
        <v>3502</v>
      </c>
      <c r="F304" s="5">
        <f t="shared" si="18"/>
        <v>12264004</v>
      </c>
      <c r="G304" s="6">
        <f>SQRT(SUM($F$2:F304)/A304)</f>
        <v>1232.7602758402661</v>
      </c>
      <c r="H304" s="5">
        <f t="shared" si="19"/>
        <v>0</v>
      </c>
      <c r="I304" s="5">
        <f t="shared" si="20"/>
        <v>0</v>
      </c>
    </row>
    <row r="305" spans="1:9">
      <c r="A305">
        <v>304</v>
      </c>
      <c r="B305">
        <v>12</v>
      </c>
      <c r="C305">
        <v>5000</v>
      </c>
      <c r="D305">
        <v>6542</v>
      </c>
      <c r="E305" s="5">
        <f t="shared" si="17"/>
        <v>1542</v>
      </c>
      <c r="F305" s="5">
        <f t="shared" si="18"/>
        <v>2377764</v>
      </c>
      <c r="G305" s="6">
        <f>SQRT(SUM($F$2:F305)/A305)</f>
        <v>1233.9045682517881</v>
      </c>
      <c r="H305" s="5">
        <f t="shared" si="19"/>
        <v>0</v>
      </c>
      <c r="I305" s="5">
        <f t="shared" si="20"/>
        <v>0</v>
      </c>
    </row>
    <row r="306" spans="1:9">
      <c r="A306">
        <v>305</v>
      </c>
      <c r="B306">
        <v>13</v>
      </c>
      <c r="C306">
        <v>5000</v>
      </c>
      <c r="D306">
        <v>7037</v>
      </c>
      <c r="E306" s="5">
        <f t="shared" si="17"/>
        <v>2037</v>
      </c>
      <c r="F306" s="5">
        <f t="shared" si="18"/>
        <v>4149369</v>
      </c>
      <c r="G306" s="6">
        <f>SQRT(SUM($F$2:F306)/A306)</f>
        <v>1237.3896321043524</v>
      </c>
      <c r="H306" s="5">
        <f t="shared" si="19"/>
        <v>0</v>
      </c>
      <c r="I306" s="5">
        <f t="shared" si="20"/>
        <v>0</v>
      </c>
    </row>
    <row r="307" spans="1:9">
      <c r="A307">
        <v>306</v>
      </c>
      <c r="B307">
        <v>12</v>
      </c>
      <c r="C307">
        <v>5000</v>
      </c>
      <c r="D307">
        <v>6554</v>
      </c>
      <c r="E307" s="5">
        <f t="shared" si="17"/>
        <v>1554</v>
      </c>
      <c r="F307" s="5">
        <f t="shared" si="18"/>
        <v>2414916</v>
      </c>
      <c r="G307" s="6">
        <f>SQRT(SUM($F$2:F307)/A307)</f>
        <v>1238.5561275314703</v>
      </c>
      <c r="H307" s="5">
        <f t="shared" si="19"/>
        <v>0</v>
      </c>
      <c r="I307" s="5">
        <f t="shared" si="20"/>
        <v>0</v>
      </c>
    </row>
    <row r="308" spans="1:9">
      <c r="A308">
        <v>307</v>
      </c>
      <c r="B308">
        <v>12</v>
      </c>
      <c r="C308">
        <v>5000</v>
      </c>
      <c r="D308">
        <v>7310</v>
      </c>
      <c r="E308" s="5">
        <f t="shared" si="17"/>
        <v>2310</v>
      </c>
      <c r="F308" s="5">
        <f t="shared" si="18"/>
        <v>5336100</v>
      </c>
      <c r="G308" s="6">
        <f>SQRT(SUM($F$2:F308)/A308)</f>
        <v>1243.545697704805</v>
      </c>
      <c r="H308" s="5">
        <f t="shared" si="19"/>
        <v>0</v>
      </c>
      <c r="I308" s="5">
        <f t="shared" si="20"/>
        <v>0</v>
      </c>
    </row>
    <row r="309" spans="1:9">
      <c r="A309">
        <v>308</v>
      </c>
      <c r="B309">
        <v>11</v>
      </c>
      <c r="C309">
        <v>5000</v>
      </c>
      <c r="D309">
        <v>6879</v>
      </c>
      <c r="E309" s="5">
        <f t="shared" si="17"/>
        <v>1879</v>
      </c>
      <c r="F309" s="5">
        <f t="shared" si="18"/>
        <v>3530641</v>
      </c>
      <c r="G309" s="6">
        <f>SQRT(SUM($F$2:F309)/A309)</f>
        <v>1246.1333090909552</v>
      </c>
      <c r="H309" s="5">
        <f t="shared" si="19"/>
        <v>0</v>
      </c>
      <c r="I309" s="5">
        <f t="shared" si="20"/>
        <v>0</v>
      </c>
    </row>
    <row r="310" spans="1:9">
      <c r="A310">
        <v>309</v>
      </c>
      <c r="B310">
        <v>11</v>
      </c>
      <c r="C310">
        <v>5000</v>
      </c>
      <c r="D310">
        <v>7640</v>
      </c>
      <c r="E310" s="5">
        <f t="shared" si="17"/>
        <v>2640</v>
      </c>
      <c r="F310" s="5">
        <f t="shared" si="18"/>
        <v>6969600</v>
      </c>
      <c r="G310" s="6">
        <f>SQRT(SUM($F$2:F310)/A310)</f>
        <v>1253.1473038109061</v>
      </c>
      <c r="H310" s="5">
        <f t="shared" si="19"/>
        <v>0</v>
      </c>
      <c r="I310" s="5">
        <f t="shared" si="20"/>
        <v>0</v>
      </c>
    </row>
    <row r="311" spans="1:9">
      <c r="A311">
        <v>310</v>
      </c>
      <c r="B311">
        <v>9</v>
      </c>
      <c r="C311">
        <v>5000</v>
      </c>
      <c r="D311">
        <v>5378</v>
      </c>
      <c r="E311" s="5">
        <f t="shared" si="17"/>
        <v>378</v>
      </c>
      <c r="F311" s="5">
        <f t="shared" si="18"/>
        <v>142884</v>
      </c>
      <c r="G311" s="6">
        <f>SQRT(SUM($F$2:F311)/A311)</f>
        <v>1251.3086530354094</v>
      </c>
      <c r="H311" s="5">
        <f t="shared" si="19"/>
        <v>1</v>
      </c>
      <c r="I311" s="5">
        <f t="shared" si="20"/>
        <v>1</v>
      </c>
    </row>
    <row r="312" spans="1:9">
      <c r="A312">
        <v>311</v>
      </c>
      <c r="B312">
        <v>11</v>
      </c>
      <c r="C312">
        <v>5000</v>
      </c>
      <c r="D312">
        <v>6033</v>
      </c>
      <c r="E312" s="5">
        <f t="shared" si="17"/>
        <v>1033</v>
      </c>
      <c r="F312" s="5">
        <f t="shared" si="18"/>
        <v>1067089</v>
      </c>
      <c r="G312" s="6">
        <f>SQRT(SUM($F$2:F312)/A312)</f>
        <v>1250.6677650442984</v>
      </c>
      <c r="H312" s="5">
        <f t="shared" si="19"/>
        <v>0</v>
      </c>
      <c r="I312" s="5">
        <f t="shared" si="20"/>
        <v>0</v>
      </c>
    </row>
    <row r="313" spans="1:9">
      <c r="A313">
        <v>312</v>
      </c>
      <c r="B313">
        <v>11</v>
      </c>
      <c r="C313">
        <v>5000</v>
      </c>
      <c r="D313">
        <v>6186</v>
      </c>
      <c r="E313" s="5">
        <f t="shared" si="17"/>
        <v>1186</v>
      </c>
      <c r="F313" s="5">
        <f t="shared" si="18"/>
        <v>1406596</v>
      </c>
      <c r="G313" s="6">
        <f>SQRT(SUM($F$2:F313)/A313)</f>
        <v>1250.4658388386961</v>
      </c>
      <c r="H313" s="5">
        <f t="shared" si="19"/>
        <v>0</v>
      </c>
      <c r="I313" s="5">
        <f t="shared" si="20"/>
        <v>0</v>
      </c>
    </row>
    <row r="314" spans="1:9">
      <c r="A314">
        <v>313</v>
      </c>
      <c r="B314">
        <v>10</v>
      </c>
      <c r="C314">
        <v>5000</v>
      </c>
      <c r="D314">
        <v>5667</v>
      </c>
      <c r="E314" s="5">
        <f t="shared" si="17"/>
        <v>667</v>
      </c>
      <c r="F314" s="5">
        <f t="shared" si="18"/>
        <v>444889</v>
      </c>
      <c r="G314" s="6">
        <f>SQRT(SUM($F$2:F314)/A314)</f>
        <v>1249.0358083254591</v>
      </c>
      <c r="H314" s="5">
        <f t="shared" si="19"/>
        <v>1</v>
      </c>
      <c r="I314" s="5">
        <f t="shared" si="20"/>
        <v>0</v>
      </c>
    </row>
    <row r="315" spans="1:9">
      <c r="A315">
        <v>314</v>
      </c>
      <c r="B315">
        <v>10</v>
      </c>
      <c r="C315">
        <v>5000</v>
      </c>
      <c r="D315">
        <v>5611</v>
      </c>
      <c r="E315" s="5">
        <f t="shared" si="17"/>
        <v>611</v>
      </c>
      <c r="F315" s="5">
        <f t="shared" si="18"/>
        <v>373321</v>
      </c>
      <c r="G315" s="6">
        <f>SQRT(SUM($F$2:F315)/A315)</f>
        <v>1247.5219156136318</v>
      </c>
      <c r="H315" s="5">
        <f t="shared" si="19"/>
        <v>1</v>
      </c>
      <c r="I315" s="5">
        <f t="shared" si="20"/>
        <v>0</v>
      </c>
    </row>
    <row r="316" spans="1:9">
      <c r="A316">
        <v>315</v>
      </c>
      <c r="B316">
        <v>10</v>
      </c>
      <c r="C316">
        <v>5000</v>
      </c>
      <c r="D316">
        <v>5724</v>
      </c>
      <c r="E316" s="5">
        <f t="shared" si="17"/>
        <v>724</v>
      </c>
      <c r="F316" s="5">
        <f t="shared" si="18"/>
        <v>524176</v>
      </c>
      <c r="G316" s="6">
        <f>SQRT(SUM($F$2:F316)/A316)</f>
        <v>1246.2079726558932</v>
      </c>
      <c r="H316" s="5">
        <f t="shared" si="19"/>
        <v>1</v>
      </c>
      <c r="I316" s="5">
        <f t="shared" si="20"/>
        <v>0</v>
      </c>
    </row>
    <row r="317" spans="1:9">
      <c r="A317">
        <v>316</v>
      </c>
      <c r="B317">
        <v>10</v>
      </c>
      <c r="C317">
        <v>5000</v>
      </c>
      <c r="D317">
        <v>5477</v>
      </c>
      <c r="E317" s="5">
        <f t="shared" si="17"/>
        <v>477</v>
      </c>
      <c r="F317" s="5">
        <f t="shared" si="18"/>
        <v>227529</v>
      </c>
      <c r="G317" s="6">
        <f>SQRT(SUM($F$2:F317)/A317)</f>
        <v>1244.5238744397927</v>
      </c>
      <c r="H317" s="5">
        <f t="shared" si="19"/>
        <v>1</v>
      </c>
      <c r="I317" s="5">
        <f t="shared" si="20"/>
        <v>1</v>
      </c>
    </row>
    <row r="318" spans="1:9">
      <c r="A318">
        <v>317</v>
      </c>
      <c r="B318">
        <v>10</v>
      </c>
      <c r="C318">
        <v>5000</v>
      </c>
      <c r="D318">
        <v>5484</v>
      </c>
      <c r="E318" s="5">
        <f t="shared" si="17"/>
        <v>484</v>
      </c>
      <c r="F318" s="5">
        <f t="shared" si="18"/>
        <v>234256</v>
      </c>
      <c r="G318" s="6">
        <f>SQRT(SUM($F$2:F318)/A318)</f>
        <v>1242.856678140113</v>
      </c>
      <c r="H318" s="5">
        <f t="shared" si="19"/>
        <v>1</v>
      </c>
      <c r="I318" s="5">
        <f t="shared" si="20"/>
        <v>1</v>
      </c>
    </row>
    <row r="319" spans="1:9">
      <c r="A319">
        <v>318</v>
      </c>
      <c r="B319">
        <v>10</v>
      </c>
      <c r="C319">
        <v>5000</v>
      </c>
      <c r="D319">
        <v>6139</v>
      </c>
      <c r="E319" s="5">
        <f t="shared" si="17"/>
        <v>1139</v>
      </c>
      <c r="F319" s="5">
        <f t="shared" si="18"/>
        <v>1297321</v>
      </c>
      <c r="G319" s="6">
        <f>SQRT(SUM($F$2:F319)/A319)</f>
        <v>1242.5436909418402</v>
      </c>
      <c r="H319" s="5">
        <f t="shared" si="19"/>
        <v>0</v>
      </c>
      <c r="I319" s="5">
        <f t="shared" si="20"/>
        <v>0</v>
      </c>
    </row>
    <row r="320" spans="1:9">
      <c r="A320">
        <v>319</v>
      </c>
      <c r="B320">
        <v>9</v>
      </c>
      <c r="C320">
        <v>5000</v>
      </c>
      <c r="D320">
        <v>4383</v>
      </c>
      <c r="E320" s="5">
        <f t="shared" si="17"/>
        <v>617</v>
      </c>
      <c r="F320" s="5">
        <f t="shared" si="18"/>
        <v>380689</v>
      </c>
      <c r="G320" s="6">
        <f>SQRT(SUM($F$2:F320)/A320)</f>
        <v>1241.0754803646644</v>
      </c>
      <c r="H320" s="5">
        <f t="shared" si="19"/>
        <v>1</v>
      </c>
      <c r="I320" s="5">
        <f t="shared" si="20"/>
        <v>0</v>
      </c>
    </row>
    <row r="321" spans="1:9">
      <c r="A321">
        <v>320</v>
      </c>
      <c r="B321">
        <v>11</v>
      </c>
      <c r="C321">
        <v>5000</v>
      </c>
      <c r="D321">
        <v>5748</v>
      </c>
      <c r="E321" s="5">
        <f t="shared" si="17"/>
        <v>748</v>
      </c>
      <c r="F321" s="5">
        <f t="shared" si="18"/>
        <v>559504</v>
      </c>
      <c r="G321" s="6">
        <f>SQRT(SUM($F$2:F321)/A321)</f>
        <v>1239.8400942762739</v>
      </c>
      <c r="H321" s="5">
        <f t="shared" si="19"/>
        <v>1</v>
      </c>
      <c r="I321" s="5">
        <f t="shared" si="20"/>
        <v>0</v>
      </c>
    </row>
    <row r="322" spans="1:9">
      <c r="A322">
        <v>321</v>
      </c>
      <c r="B322">
        <v>9</v>
      </c>
      <c r="C322">
        <v>5000</v>
      </c>
      <c r="D322">
        <v>5488</v>
      </c>
      <c r="E322" s="5">
        <f t="shared" si="17"/>
        <v>488</v>
      </c>
      <c r="F322" s="5">
        <f t="shared" si="18"/>
        <v>238144</v>
      </c>
      <c r="G322" s="6">
        <f>SQRT(SUM($F$2:F322)/A322)</f>
        <v>1238.2069880158726</v>
      </c>
      <c r="H322" s="5">
        <f t="shared" si="19"/>
        <v>1</v>
      </c>
      <c r="I322" s="5">
        <f t="shared" si="20"/>
        <v>1</v>
      </c>
    </row>
    <row r="323" spans="1:9">
      <c r="A323">
        <v>322</v>
      </c>
      <c r="B323">
        <v>10</v>
      </c>
      <c r="C323">
        <v>5000</v>
      </c>
      <c r="D323">
        <v>6032</v>
      </c>
      <c r="E323" s="5">
        <f t="shared" ref="E323:E386" si="21">ABS(C323-D323)</f>
        <v>1032</v>
      </c>
      <c r="F323" s="5">
        <f t="shared" ref="F323:F386" si="22">POWER(E323,2)</f>
        <v>1065024</v>
      </c>
      <c r="G323" s="6">
        <f>SQRT(SUM($F$2:F323)/A323)</f>
        <v>1237.6197790077954</v>
      </c>
      <c r="H323" s="5">
        <f t="shared" ref="H323:H386" si="23">IF(ABS(E323)/C323&gt;0.2,0,1)</f>
        <v>0</v>
      </c>
      <c r="I323" s="5">
        <f t="shared" ref="I323:I386" si="24">IF(ABS(E323)/C323&gt;0.1,0,1)</f>
        <v>0</v>
      </c>
    </row>
    <row r="324" spans="1:9">
      <c r="A324">
        <v>323</v>
      </c>
      <c r="B324">
        <v>9</v>
      </c>
      <c r="C324">
        <v>5000</v>
      </c>
      <c r="D324">
        <v>5000</v>
      </c>
      <c r="E324" s="5">
        <f t="shared" si="21"/>
        <v>0</v>
      </c>
      <c r="F324" s="5">
        <f t="shared" si="22"/>
        <v>0</v>
      </c>
      <c r="G324" s="6">
        <f>SQRT(SUM($F$2:F324)/A324)</f>
        <v>1235.7024737837057</v>
      </c>
      <c r="H324" s="5">
        <f t="shared" si="23"/>
        <v>1</v>
      </c>
      <c r="I324" s="5">
        <f t="shared" si="24"/>
        <v>1</v>
      </c>
    </row>
    <row r="325" spans="1:9">
      <c r="A325">
        <v>324</v>
      </c>
      <c r="B325">
        <v>10</v>
      </c>
      <c r="C325">
        <v>5000</v>
      </c>
      <c r="D325">
        <v>5778</v>
      </c>
      <c r="E325" s="5">
        <f t="shared" si="21"/>
        <v>778</v>
      </c>
      <c r="F325" s="5">
        <f t="shared" si="22"/>
        <v>605284</v>
      </c>
      <c r="G325" s="6">
        <f>SQRT(SUM($F$2:F325)/A325)</f>
        <v>1234.5508992502116</v>
      </c>
      <c r="H325" s="5">
        <f t="shared" si="23"/>
        <v>1</v>
      </c>
      <c r="I325" s="5">
        <f t="shared" si="24"/>
        <v>0</v>
      </c>
    </row>
    <row r="326" spans="1:9">
      <c r="A326">
        <v>325</v>
      </c>
      <c r="B326">
        <v>9</v>
      </c>
      <c r="C326">
        <v>5000</v>
      </c>
      <c r="D326">
        <v>4457</v>
      </c>
      <c r="E326" s="5">
        <f t="shared" si="21"/>
        <v>543</v>
      </c>
      <c r="F326" s="5">
        <f t="shared" si="22"/>
        <v>294849</v>
      </c>
      <c r="G326" s="6">
        <f>SQRT(SUM($F$2:F326)/A326)</f>
        <v>1233.0180708638959</v>
      </c>
      <c r="H326" s="5">
        <f t="shared" si="23"/>
        <v>1</v>
      </c>
      <c r="I326" s="5">
        <f t="shared" si="24"/>
        <v>0</v>
      </c>
    </row>
    <row r="327" spans="1:9">
      <c r="A327">
        <v>326</v>
      </c>
      <c r="B327">
        <v>10</v>
      </c>
      <c r="C327">
        <v>5000</v>
      </c>
      <c r="D327">
        <v>2729</v>
      </c>
      <c r="E327" s="5">
        <f t="shared" si="21"/>
        <v>2271</v>
      </c>
      <c r="F327" s="5">
        <f t="shared" si="22"/>
        <v>5157441</v>
      </c>
      <c r="G327" s="6">
        <f>SQRT(SUM($F$2:F327)/A327)</f>
        <v>1237.5339730107728</v>
      </c>
      <c r="H327" s="5">
        <f t="shared" si="23"/>
        <v>0</v>
      </c>
      <c r="I327" s="5">
        <f t="shared" si="24"/>
        <v>0</v>
      </c>
    </row>
    <row r="328" spans="1:9">
      <c r="A328">
        <v>327</v>
      </c>
      <c r="B328">
        <v>13</v>
      </c>
      <c r="C328">
        <v>5000</v>
      </c>
      <c r="D328">
        <v>3745</v>
      </c>
      <c r="E328" s="5">
        <f t="shared" si="21"/>
        <v>1255</v>
      </c>
      <c r="F328" s="5">
        <f t="shared" si="22"/>
        <v>1575025</v>
      </c>
      <c r="G328" s="6">
        <f>SQRT(SUM($F$2:F328)/A328)</f>
        <v>1237.5877616920379</v>
      </c>
      <c r="H328" s="5">
        <f t="shared" si="23"/>
        <v>0</v>
      </c>
      <c r="I328" s="5">
        <f t="shared" si="24"/>
        <v>0</v>
      </c>
    </row>
    <row r="329" spans="1:9">
      <c r="A329">
        <v>328</v>
      </c>
      <c r="B329">
        <v>12</v>
      </c>
      <c r="C329">
        <v>5000</v>
      </c>
      <c r="D329">
        <v>4421</v>
      </c>
      <c r="E329" s="5">
        <f t="shared" si="21"/>
        <v>579</v>
      </c>
      <c r="F329" s="5">
        <f t="shared" si="22"/>
        <v>335241</v>
      </c>
      <c r="G329" s="6">
        <f>SQRT(SUM($F$2:F329)/A329)</f>
        <v>1236.1132473870887</v>
      </c>
      <c r="H329" s="5">
        <f t="shared" si="23"/>
        <v>1</v>
      </c>
      <c r="I329" s="5">
        <f t="shared" si="24"/>
        <v>0</v>
      </c>
    </row>
    <row r="330" spans="1:9">
      <c r="A330">
        <v>329</v>
      </c>
      <c r="B330">
        <v>11</v>
      </c>
      <c r="C330">
        <v>5000</v>
      </c>
      <c r="D330">
        <v>5829</v>
      </c>
      <c r="E330" s="5">
        <f t="shared" si="21"/>
        <v>829</v>
      </c>
      <c r="F330" s="5">
        <f t="shared" si="22"/>
        <v>687241</v>
      </c>
      <c r="G330" s="6">
        <f>SQRT(SUM($F$2:F330)/A330)</f>
        <v>1235.0791614120965</v>
      </c>
      <c r="H330" s="5">
        <f t="shared" si="23"/>
        <v>1</v>
      </c>
      <c r="I330" s="5">
        <f t="shared" si="24"/>
        <v>0</v>
      </c>
    </row>
    <row r="331" spans="1:9">
      <c r="A331">
        <v>330</v>
      </c>
      <c r="B331">
        <v>10</v>
      </c>
      <c r="C331">
        <v>5000</v>
      </c>
      <c r="D331">
        <v>5482</v>
      </c>
      <c r="E331" s="5">
        <f t="shared" si="21"/>
        <v>482</v>
      </c>
      <c r="F331" s="5">
        <f t="shared" si="22"/>
        <v>232324</v>
      </c>
      <c r="G331" s="6">
        <f>SQRT(SUM($F$2:F331)/A331)</f>
        <v>1233.4918161893336</v>
      </c>
      <c r="H331" s="5">
        <f t="shared" si="23"/>
        <v>1</v>
      </c>
      <c r="I331" s="5">
        <f t="shared" si="24"/>
        <v>1</v>
      </c>
    </row>
    <row r="332" spans="1:9">
      <c r="A332">
        <v>331</v>
      </c>
      <c r="B332">
        <v>10</v>
      </c>
      <c r="C332">
        <v>5000</v>
      </c>
      <c r="D332">
        <v>5154</v>
      </c>
      <c r="E332" s="5">
        <f t="shared" si="21"/>
        <v>154</v>
      </c>
      <c r="F332" s="5">
        <f t="shared" si="22"/>
        <v>23716</v>
      </c>
      <c r="G332" s="6">
        <f>SQRT(SUM($F$2:F332)/A332)</f>
        <v>1231.6562130685381</v>
      </c>
      <c r="H332" s="5">
        <f t="shared" si="23"/>
        <v>1</v>
      </c>
      <c r="I332" s="5">
        <f t="shared" si="24"/>
        <v>1</v>
      </c>
    </row>
    <row r="333" spans="1:9">
      <c r="A333">
        <v>332</v>
      </c>
      <c r="B333">
        <v>10</v>
      </c>
      <c r="C333">
        <v>5000</v>
      </c>
      <c r="D333">
        <v>5073</v>
      </c>
      <c r="E333" s="5">
        <f t="shared" si="21"/>
        <v>73</v>
      </c>
      <c r="F333" s="5">
        <f t="shared" si="22"/>
        <v>5329</v>
      </c>
      <c r="G333" s="6">
        <f>SQRT(SUM($F$2:F333)/A333)</f>
        <v>1229.8064361849501</v>
      </c>
      <c r="H333" s="5">
        <f t="shared" si="23"/>
        <v>1</v>
      </c>
      <c r="I333" s="5">
        <f t="shared" si="24"/>
        <v>1</v>
      </c>
    </row>
    <row r="334" spans="1:9">
      <c r="A334">
        <v>333</v>
      </c>
      <c r="B334">
        <v>10</v>
      </c>
      <c r="C334">
        <v>5000</v>
      </c>
      <c r="D334">
        <v>5601</v>
      </c>
      <c r="E334" s="5">
        <f t="shared" si="21"/>
        <v>601</v>
      </c>
      <c r="F334" s="5">
        <f t="shared" si="22"/>
        <v>361201</v>
      </c>
      <c r="G334" s="6">
        <f>SQRT(SUM($F$2:F334)/A334)</f>
        <v>1228.4000751973051</v>
      </c>
      <c r="H334" s="5">
        <f t="shared" si="23"/>
        <v>1</v>
      </c>
      <c r="I334" s="5">
        <f t="shared" si="24"/>
        <v>0</v>
      </c>
    </row>
    <row r="335" spans="1:9">
      <c r="A335">
        <v>334</v>
      </c>
      <c r="B335">
        <v>10</v>
      </c>
      <c r="C335">
        <v>5000</v>
      </c>
      <c r="D335">
        <v>6006</v>
      </c>
      <c r="E335" s="5">
        <f t="shared" si="21"/>
        <v>1006</v>
      </c>
      <c r="F335" s="5">
        <f t="shared" si="22"/>
        <v>1012036</v>
      </c>
      <c r="G335" s="6">
        <f>SQRT(SUM($F$2:F335)/A335)</f>
        <v>1227.7943346276331</v>
      </c>
      <c r="H335" s="5">
        <f t="shared" si="23"/>
        <v>0</v>
      </c>
      <c r="I335" s="5">
        <f t="shared" si="24"/>
        <v>0</v>
      </c>
    </row>
    <row r="336" spans="1:9">
      <c r="A336">
        <v>335</v>
      </c>
      <c r="B336">
        <v>9</v>
      </c>
      <c r="C336">
        <v>5000</v>
      </c>
      <c r="D336">
        <v>5978</v>
      </c>
      <c r="E336" s="5">
        <f t="shared" si="21"/>
        <v>978</v>
      </c>
      <c r="F336" s="5">
        <f t="shared" si="22"/>
        <v>956484</v>
      </c>
      <c r="G336" s="6">
        <f>SQRT(SUM($F$2:F336)/A336)</f>
        <v>1227.1243486966507</v>
      </c>
      <c r="H336" s="5">
        <f t="shared" si="23"/>
        <v>1</v>
      </c>
      <c r="I336" s="5">
        <f t="shared" si="24"/>
        <v>0</v>
      </c>
    </row>
    <row r="337" spans="1:9">
      <c r="A337">
        <v>336</v>
      </c>
      <c r="B337">
        <v>9</v>
      </c>
      <c r="C337">
        <v>5000</v>
      </c>
      <c r="D337">
        <v>5500</v>
      </c>
      <c r="E337" s="5">
        <f t="shared" si="21"/>
        <v>500</v>
      </c>
      <c r="F337" s="5">
        <f t="shared" si="22"/>
        <v>250000</v>
      </c>
      <c r="G337" s="6">
        <f>SQRT(SUM($F$2:F337)/A337)</f>
        <v>1225.6004917901228</v>
      </c>
      <c r="H337" s="5">
        <f t="shared" si="23"/>
        <v>1</v>
      </c>
      <c r="I337" s="5">
        <f t="shared" si="24"/>
        <v>1</v>
      </c>
    </row>
    <row r="338" spans="1:9">
      <c r="A338">
        <v>337</v>
      </c>
      <c r="B338">
        <v>9</v>
      </c>
      <c r="C338">
        <v>5000</v>
      </c>
      <c r="D338">
        <v>5571</v>
      </c>
      <c r="E338" s="5">
        <f t="shared" si="21"/>
        <v>571</v>
      </c>
      <c r="F338" s="5">
        <f t="shared" si="22"/>
        <v>326041</v>
      </c>
      <c r="G338" s="6">
        <f>SQRT(SUM($F$2:F338)/A338)</f>
        <v>1224.1759621680815</v>
      </c>
      <c r="H338" s="5">
        <f t="shared" si="23"/>
        <v>1</v>
      </c>
      <c r="I338" s="5">
        <f t="shared" si="24"/>
        <v>0</v>
      </c>
    </row>
    <row r="339" spans="1:9">
      <c r="A339">
        <v>338</v>
      </c>
      <c r="B339">
        <v>9</v>
      </c>
      <c r="C339">
        <v>5000</v>
      </c>
      <c r="D339">
        <v>5648</v>
      </c>
      <c r="E339" s="5">
        <f t="shared" si="21"/>
        <v>648</v>
      </c>
      <c r="F339" s="5">
        <f t="shared" si="22"/>
        <v>419904</v>
      </c>
      <c r="G339" s="6">
        <f>SQRT(SUM($F$2:F339)/A339)</f>
        <v>1222.8717667802155</v>
      </c>
      <c r="H339" s="5">
        <f t="shared" si="23"/>
        <v>1</v>
      </c>
      <c r="I339" s="5">
        <f t="shared" si="24"/>
        <v>0</v>
      </c>
    </row>
    <row r="340" spans="1:9">
      <c r="A340">
        <v>339</v>
      </c>
      <c r="B340">
        <v>9</v>
      </c>
      <c r="C340">
        <v>5000</v>
      </c>
      <c r="D340">
        <v>5547</v>
      </c>
      <c r="E340" s="5">
        <f t="shared" si="21"/>
        <v>547</v>
      </c>
      <c r="F340" s="5">
        <f t="shared" si="22"/>
        <v>299209</v>
      </c>
      <c r="G340" s="6">
        <f>SQRT(SUM($F$2:F340)/A340)</f>
        <v>1221.4281500209977</v>
      </c>
      <c r="H340" s="5">
        <f t="shared" si="23"/>
        <v>1</v>
      </c>
      <c r="I340" s="5">
        <f t="shared" si="24"/>
        <v>0</v>
      </c>
    </row>
    <row r="341" spans="1:9">
      <c r="A341">
        <v>340</v>
      </c>
      <c r="B341">
        <v>9</v>
      </c>
      <c r="C341">
        <v>5000</v>
      </c>
      <c r="D341">
        <v>5816</v>
      </c>
      <c r="E341" s="5">
        <f t="shared" si="21"/>
        <v>816</v>
      </c>
      <c r="F341" s="5">
        <f t="shared" si="22"/>
        <v>665856</v>
      </c>
      <c r="G341" s="6">
        <f>SQRT(SUM($F$2:F341)/A341)</f>
        <v>1220.4332114169181</v>
      </c>
      <c r="H341" s="5">
        <f t="shared" si="23"/>
        <v>1</v>
      </c>
      <c r="I341" s="5">
        <f t="shared" si="24"/>
        <v>0</v>
      </c>
    </row>
    <row r="342" spans="1:9">
      <c r="A342">
        <v>341</v>
      </c>
      <c r="B342">
        <v>8</v>
      </c>
      <c r="C342">
        <v>5000</v>
      </c>
      <c r="D342">
        <v>4760</v>
      </c>
      <c r="E342" s="5">
        <f t="shared" si="21"/>
        <v>240</v>
      </c>
      <c r="F342" s="5">
        <f t="shared" si="22"/>
        <v>57600</v>
      </c>
      <c r="G342" s="6">
        <f>SQRT(SUM($F$2:F342)/A342)</f>
        <v>1218.7117086247276</v>
      </c>
      <c r="H342" s="5">
        <f t="shared" si="23"/>
        <v>1</v>
      </c>
      <c r="I342" s="5">
        <f t="shared" si="24"/>
        <v>1</v>
      </c>
    </row>
    <row r="343" spans="1:9">
      <c r="A343">
        <v>342</v>
      </c>
      <c r="B343">
        <v>9</v>
      </c>
      <c r="C343">
        <v>5000</v>
      </c>
      <c r="D343">
        <v>5541</v>
      </c>
      <c r="E343" s="5">
        <f t="shared" si="21"/>
        <v>541</v>
      </c>
      <c r="F343" s="5">
        <f t="shared" si="22"/>
        <v>292681</v>
      </c>
      <c r="G343" s="6">
        <f>SQRT(SUM($F$2:F343)/A343)</f>
        <v>1217.2802310144996</v>
      </c>
      <c r="H343" s="5">
        <f t="shared" si="23"/>
        <v>1</v>
      </c>
      <c r="I343" s="5">
        <f t="shared" si="24"/>
        <v>0</v>
      </c>
    </row>
    <row r="344" spans="1:9">
      <c r="A344">
        <v>343</v>
      </c>
      <c r="B344">
        <v>8</v>
      </c>
      <c r="C344">
        <v>5000</v>
      </c>
      <c r="D344">
        <v>4816</v>
      </c>
      <c r="E344" s="5">
        <f t="shared" si="21"/>
        <v>184</v>
      </c>
      <c r="F344" s="5">
        <f t="shared" si="22"/>
        <v>33856</v>
      </c>
      <c r="G344" s="6">
        <f>SQRT(SUM($F$2:F344)/A344)</f>
        <v>1215.5450768355906</v>
      </c>
      <c r="H344" s="5">
        <f t="shared" si="23"/>
        <v>1</v>
      </c>
      <c r="I344" s="5">
        <f t="shared" si="24"/>
        <v>1</v>
      </c>
    </row>
    <row r="345" spans="1:9">
      <c r="A345">
        <v>344</v>
      </c>
      <c r="B345">
        <v>9</v>
      </c>
      <c r="C345">
        <v>5000</v>
      </c>
      <c r="D345">
        <v>5382</v>
      </c>
      <c r="E345" s="5">
        <f t="shared" si="21"/>
        <v>382</v>
      </c>
      <c r="F345" s="5">
        <f t="shared" si="22"/>
        <v>145924</v>
      </c>
      <c r="G345" s="6">
        <f>SQRT(SUM($F$2:F345)/A345)</f>
        <v>1213.9517405928343</v>
      </c>
      <c r="H345" s="5">
        <f t="shared" si="23"/>
        <v>1</v>
      </c>
      <c r="I345" s="5">
        <f t="shared" si="24"/>
        <v>1</v>
      </c>
    </row>
    <row r="346" spans="1:9">
      <c r="A346">
        <v>345</v>
      </c>
      <c r="B346">
        <v>8</v>
      </c>
      <c r="C346">
        <v>5000</v>
      </c>
      <c r="D346">
        <v>5002</v>
      </c>
      <c r="E346" s="5">
        <f t="shared" si="21"/>
        <v>2</v>
      </c>
      <c r="F346" s="5">
        <f t="shared" si="22"/>
        <v>4</v>
      </c>
      <c r="G346" s="6">
        <f>SQRT(SUM($F$2:F346)/A346)</f>
        <v>1212.1911182839019</v>
      </c>
      <c r="H346" s="5">
        <f t="shared" si="23"/>
        <v>1</v>
      </c>
      <c r="I346" s="5">
        <f t="shared" si="24"/>
        <v>1</v>
      </c>
    </row>
    <row r="347" spans="1:9">
      <c r="A347">
        <v>346</v>
      </c>
      <c r="B347">
        <v>9</v>
      </c>
      <c r="C347">
        <v>5000</v>
      </c>
      <c r="D347">
        <v>5708</v>
      </c>
      <c r="E347" s="5">
        <f t="shared" si="21"/>
        <v>708</v>
      </c>
      <c r="F347" s="5">
        <f t="shared" si="22"/>
        <v>501264</v>
      </c>
      <c r="G347" s="6">
        <f>SQRT(SUM($F$2:F347)/A347)</f>
        <v>1211.0364177853251</v>
      </c>
      <c r="H347" s="5">
        <f t="shared" si="23"/>
        <v>1</v>
      </c>
      <c r="I347" s="5">
        <f t="shared" si="24"/>
        <v>0</v>
      </c>
    </row>
    <row r="348" spans="1:9">
      <c r="A348">
        <v>347</v>
      </c>
      <c r="B348">
        <v>8</v>
      </c>
      <c r="C348">
        <v>5000</v>
      </c>
      <c r="D348">
        <v>5238</v>
      </c>
      <c r="E348" s="5">
        <f t="shared" si="21"/>
        <v>238</v>
      </c>
      <c r="F348" s="5">
        <f t="shared" si="22"/>
        <v>56644</v>
      </c>
      <c r="G348" s="6">
        <f>SQRT(SUM($F$2:F348)/A348)</f>
        <v>1209.3576414357894</v>
      </c>
      <c r="H348" s="5">
        <f t="shared" si="23"/>
        <v>1</v>
      </c>
      <c r="I348" s="5">
        <f t="shared" si="24"/>
        <v>1</v>
      </c>
    </row>
    <row r="349" spans="1:9">
      <c r="A349">
        <v>348</v>
      </c>
      <c r="B349">
        <v>8</v>
      </c>
      <c r="C349">
        <v>5000</v>
      </c>
      <c r="D349">
        <v>4629</v>
      </c>
      <c r="E349" s="5">
        <f t="shared" si="21"/>
        <v>371</v>
      </c>
      <c r="F349" s="5">
        <f t="shared" si="22"/>
        <v>137641</v>
      </c>
      <c r="G349" s="6">
        <f>SQRT(SUM($F$2:F349)/A349)</f>
        <v>1207.7825577878461</v>
      </c>
      <c r="H349" s="5">
        <f t="shared" si="23"/>
        <v>1</v>
      </c>
      <c r="I349" s="5">
        <f t="shared" si="24"/>
        <v>1</v>
      </c>
    </row>
    <row r="350" spans="1:9">
      <c r="A350">
        <v>349</v>
      </c>
      <c r="B350">
        <v>9</v>
      </c>
      <c r="C350">
        <v>5000</v>
      </c>
      <c r="D350">
        <v>5915</v>
      </c>
      <c r="E350" s="5">
        <f t="shared" si="21"/>
        <v>915</v>
      </c>
      <c r="F350" s="5">
        <f t="shared" si="22"/>
        <v>837225</v>
      </c>
      <c r="G350" s="6">
        <f>SQRT(SUM($F$2:F350)/A350)</f>
        <v>1207.0450966428359</v>
      </c>
      <c r="H350" s="5">
        <f t="shared" si="23"/>
        <v>1</v>
      </c>
      <c r="I350" s="5">
        <f t="shared" si="24"/>
        <v>0</v>
      </c>
    </row>
    <row r="351" spans="1:9">
      <c r="A351">
        <v>350</v>
      </c>
      <c r="B351">
        <v>7</v>
      </c>
      <c r="C351">
        <v>5000</v>
      </c>
      <c r="D351">
        <v>4426</v>
      </c>
      <c r="E351" s="5">
        <f t="shared" si="21"/>
        <v>574</v>
      </c>
      <c r="F351" s="5">
        <f t="shared" si="22"/>
        <v>329476</v>
      </c>
      <c r="G351" s="6">
        <f>SQRT(SUM($F$2:F351)/A351)</f>
        <v>1205.709952091061</v>
      </c>
      <c r="H351" s="5">
        <f t="shared" si="23"/>
        <v>1</v>
      </c>
      <c r="I351" s="5">
        <f t="shared" si="24"/>
        <v>0</v>
      </c>
    </row>
    <row r="352" spans="1:9">
      <c r="A352">
        <v>351</v>
      </c>
      <c r="B352">
        <v>9</v>
      </c>
      <c r="C352">
        <v>5000</v>
      </c>
      <c r="D352">
        <v>5242</v>
      </c>
      <c r="E352" s="5">
        <f t="shared" si="21"/>
        <v>242</v>
      </c>
      <c r="F352" s="5">
        <f t="shared" si="22"/>
        <v>58564</v>
      </c>
      <c r="G352" s="6">
        <f>SQRT(SUM($F$2:F352)/A352)</f>
        <v>1204.0604794513597</v>
      </c>
      <c r="H352" s="5">
        <f t="shared" si="23"/>
        <v>1</v>
      </c>
      <c r="I352" s="5">
        <f t="shared" si="24"/>
        <v>1</v>
      </c>
    </row>
    <row r="353" spans="1:9">
      <c r="A353">
        <v>352</v>
      </c>
      <c r="B353">
        <v>8</v>
      </c>
      <c r="C353">
        <v>5000</v>
      </c>
      <c r="D353">
        <v>5246</v>
      </c>
      <c r="E353" s="5">
        <f t="shared" si="21"/>
        <v>246</v>
      </c>
      <c r="F353" s="5">
        <f t="shared" si="22"/>
        <v>60516</v>
      </c>
      <c r="G353" s="6">
        <f>SQRT(SUM($F$2:F353)/A353)</f>
        <v>1202.4204412823481</v>
      </c>
      <c r="H353" s="5">
        <f t="shared" si="23"/>
        <v>1</v>
      </c>
      <c r="I353" s="5">
        <f t="shared" si="24"/>
        <v>1</v>
      </c>
    </row>
    <row r="354" spans="1:9">
      <c r="A354">
        <v>353</v>
      </c>
      <c r="B354">
        <v>8</v>
      </c>
      <c r="C354">
        <v>5000</v>
      </c>
      <c r="D354">
        <v>4920</v>
      </c>
      <c r="E354" s="5">
        <f t="shared" si="21"/>
        <v>80</v>
      </c>
      <c r="F354" s="5">
        <f t="shared" si="22"/>
        <v>6400</v>
      </c>
      <c r="G354" s="6">
        <f>SQRT(SUM($F$2:F354)/A354)</f>
        <v>1200.7236380439535</v>
      </c>
      <c r="H354" s="5">
        <f t="shared" si="23"/>
        <v>1</v>
      </c>
      <c r="I354" s="5">
        <f t="shared" si="24"/>
        <v>1</v>
      </c>
    </row>
    <row r="355" spans="1:9">
      <c r="A355">
        <v>354</v>
      </c>
      <c r="B355">
        <v>8</v>
      </c>
      <c r="C355">
        <v>5000</v>
      </c>
      <c r="D355">
        <v>5164</v>
      </c>
      <c r="E355" s="5">
        <f t="shared" si="21"/>
        <v>164</v>
      </c>
      <c r="F355" s="5">
        <f t="shared" si="22"/>
        <v>26896</v>
      </c>
      <c r="G355" s="6">
        <f>SQRT(SUM($F$2:F355)/A355)</f>
        <v>1199.0581838462167</v>
      </c>
      <c r="H355" s="5">
        <f t="shared" si="23"/>
        <v>1</v>
      </c>
      <c r="I355" s="5">
        <f t="shared" si="24"/>
        <v>1</v>
      </c>
    </row>
    <row r="356" spans="1:9">
      <c r="A356">
        <v>355</v>
      </c>
      <c r="B356">
        <v>8</v>
      </c>
      <c r="C356">
        <v>5000</v>
      </c>
      <c r="D356">
        <v>4650</v>
      </c>
      <c r="E356" s="5">
        <f t="shared" si="21"/>
        <v>350</v>
      </c>
      <c r="F356" s="5">
        <f t="shared" si="22"/>
        <v>122500</v>
      </c>
      <c r="G356" s="6">
        <f>SQRT(SUM($F$2:F356)/A356)</f>
        <v>1197.5122652199068</v>
      </c>
      <c r="H356" s="5">
        <f t="shared" si="23"/>
        <v>1</v>
      </c>
      <c r="I356" s="5">
        <f t="shared" si="24"/>
        <v>1</v>
      </c>
    </row>
    <row r="357" spans="1:9">
      <c r="A357">
        <v>356</v>
      </c>
      <c r="B357">
        <v>9</v>
      </c>
      <c r="C357">
        <v>5000</v>
      </c>
      <c r="D357">
        <v>6084</v>
      </c>
      <c r="E357" s="5">
        <f t="shared" si="21"/>
        <v>1084</v>
      </c>
      <c r="F357" s="5">
        <f t="shared" si="22"/>
        <v>1175056</v>
      </c>
      <c r="G357" s="6">
        <f>SQRT(SUM($F$2:F357)/A357)</f>
        <v>1197.2084841389915</v>
      </c>
      <c r="H357" s="5">
        <f t="shared" si="23"/>
        <v>0</v>
      </c>
      <c r="I357" s="5">
        <f t="shared" si="24"/>
        <v>0</v>
      </c>
    </row>
    <row r="358" spans="1:9">
      <c r="A358">
        <v>357</v>
      </c>
      <c r="B358">
        <v>7</v>
      </c>
      <c r="C358">
        <v>5000</v>
      </c>
      <c r="D358">
        <v>4473</v>
      </c>
      <c r="E358" s="5">
        <f t="shared" si="21"/>
        <v>527</v>
      </c>
      <c r="F358" s="5">
        <f t="shared" si="22"/>
        <v>277729</v>
      </c>
      <c r="G358" s="6">
        <f>SQRT(SUM($F$2:F358)/A358)</f>
        <v>1195.8558600831616</v>
      </c>
      <c r="H358" s="5">
        <f t="shared" si="23"/>
        <v>1</v>
      </c>
      <c r="I358" s="5">
        <f t="shared" si="24"/>
        <v>0</v>
      </c>
    </row>
    <row r="359" spans="1:9">
      <c r="A359">
        <v>358</v>
      </c>
      <c r="B359">
        <v>9</v>
      </c>
      <c r="C359">
        <v>5000</v>
      </c>
      <c r="D359">
        <v>5741</v>
      </c>
      <c r="E359" s="5">
        <f t="shared" si="21"/>
        <v>741</v>
      </c>
      <c r="F359" s="5">
        <f t="shared" si="22"/>
        <v>549081</v>
      </c>
      <c r="G359" s="6">
        <f>SQRT(SUM($F$2:F359)/A359)</f>
        <v>1194.8265026807783</v>
      </c>
      <c r="H359" s="5">
        <f t="shared" si="23"/>
        <v>1</v>
      </c>
      <c r="I359" s="5">
        <f t="shared" si="24"/>
        <v>0</v>
      </c>
    </row>
    <row r="360" spans="1:9">
      <c r="A360">
        <v>359</v>
      </c>
      <c r="B360">
        <v>7</v>
      </c>
      <c r="C360">
        <v>5000</v>
      </c>
      <c r="D360">
        <v>4104</v>
      </c>
      <c r="E360" s="5">
        <f t="shared" si="21"/>
        <v>896</v>
      </c>
      <c r="F360" s="5">
        <f t="shared" si="22"/>
        <v>802816</v>
      </c>
      <c r="G360" s="6">
        <f>SQRT(SUM($F$2:F360)/A360)</f>
        <v>1194.09798476276</v>
      </c>
      <c r="H360" s="5">
        <f t="shared" si="23"/>
        <v>1</v>
      </c>
      <c r="I360" s="5">
        <f t="shared" si="24"/>
        <v>0</v>
      </c>
    </row>
    <row r="361" spans="1:9">
      <c r="A361">
        <v>360</v>
      </c>
      <c r="B361">
        <v>9</v>
      </c>
      <c r="C361">
        <v>5000</v>
      </c>
      <c r="D361">
        <v>5390</v>
      </c>
      <c r="E361" s="5">
        <f t="shared" si="21"/>
        <v>390</v>
      </c>
      <c r="F361" s="5">
        <f t="shared" si="22"/>
        <v>152100</v>
      </c>
      <c r="G361" s="6">
        <f>SQRT(SUM($F$2:F361)/A361)</f>
        <v>1192.6155068680862</v>
      </c>
      <c r="H361" s="5">
        <f t="shared" si="23"/>
        <v>1</v>
      </c>
      <c r="I361" s="5">
        <f t="shared" si="24"/>
        <v>1</v>
      </c>
    </row>
    <row r="362" spans="1:9">
      <c r="A362">
        <v>361</v>
      </c>
      <c r="B362">
        <v>8</v>
      </c>
      <c r="C362">
        <v>5000</v>
      </c>
      <c r="D362">
        <v>4771</v>
      </c>
      <c r="E362" s="5">
        <f t="shared" si="21"/>
        <v>229</v>
      </c>
      <c r="F362" s="5">
        <f t="shared" si="22"/>
        <v>52441</v>
      </c>
      <c r="G362" s="6">
        <f>SQRT(SUM($F$2:F362)/A362)</f>
        <v>1191.0235245414258</v>
      </c>
      <c r="H362" s="5">
        <f t="shared" si="23"/>
        <v>1</v>
      </c>
      <c r="I362" s="5">
        <f t="shared" si="24"/>
        <v>1</v>
      </c>
    </row>
    <row r="363" spans="1:9">
      <c r="A363">
        <v>362</v>
      </c>
      <c r="B363">
        <v>9</v>
      </c>
      <c r="C363">
        <v>5000</v>
      </c>
      <c r="D363">
        <v>5491</v>
      </c>
      <c r="E363" s="5">
        <f t="shared" si="21"/>
        <v>491</v>
      </c>
      <c r="F363" s="5">
        <f t="shared" si="22"/>
        <v>241081</v>
      </c>
      <c r="G363" s="6">
        <f>SQRT(SUM($F$2:F363)/A363)</f>
        <v>1189.6572594775455</v>
      </c>
      <c r="H363" s="5">
        <f t="shared" si="23"/>
        <v>1</v>
      </c>
      <c r="I363" s="5">
        <f t="shared" si="24"/>
        <v>1</v>
      </c>
    </row>
    <row r="364" spans="1:9">
      <c r="A364">
        <v>363</v>
      </c>
      <c r="B364">
        <v>8</v>
      </c>
      <c r="C364">
        <v>5000</v>
      </c>
      <c r="D364">
        <v>4901</v>
      </c>
      <c r="E364" s="5">
        <f t="shared" si="21"/>
        <v>99</v>
      </c>
      <c r="F364" s="5">
        <f t="shared" si="22"/>
        <v>9801</v>
      </c>
      <c r="G364" s="6">
        <f>SQRT(SUM($F$2:F364)/A364)</f>
        <v>1188.0288464279408</v>
      </c>
      <c r="H364" s="5">
        <f t="shared" si="23"/>
        <v>1</v>
      </c>
      <c r="I364" s="5">
        <f t="shared" si="24"/>
        <v>1</v>
      </c>
    </row>
    <row r="365" spans="1:9">
      <c r="A365">
        <v>364</v>
      </c>
      <c r="B365">
        <v>8</v>
      </c>
      <c r="C365">
        <v>5000</v>
      </c>
      <c r="D365">
        <v>5629</v>
      </c>
      <c r="E365" s="5">
        <f t="shared" si="21"/>
        <v>629</v>
      </c>
      <c r="F365" s="5">
        <f t="shared" si="22"/>
        <v>395641</v>
      </c>
      <c r="G365" s="6">
        <f>SQRT(SUM($F$2:F365)/A365)</f>
        <v>1186.8538068318308</v>
      </c>
      <c r="H365" s="5">
        <f t="shared" si="23"/>
        <v>1</v>
      </c>
      <c r="I365" s="5">
        <f t="shared" si="24"/>
        <v>0</v>
      </c>
    </row>
    <row r="366" spans="1:9">
      <c r="A366">
        <v>365</v>
      </c>
      <c r="B366">
        <v>7</v>
      </c>
      <c r="C366">
        <v>5000</v>
      </c>
      <c r="D366">
        <v>4683</v>
      </c>
      <c r="E366" s="5">
        <f t="shared" si="21"/>
        <v>317</v>
      </c>
      <c r="F366" s="5">
        <f t="shared" si="22"/>
        <v>100489</v>
      </c>
      <c r="G366" s="6">
        <f>SQRT(SUM($F$2:F366)/A366)</f>
        <v>1185.3430022051475</v>
      </c>
      <c r="H366" s="5">
        <f t="shared" si="23"/>
        <v>1</v>
      </c>
      <c r="I366" s="5">
        <f t="shared" si="24"/>
        <v>1</v>
      </c>
    </row>
    <row r="367" spans="1:9">
      <c r="A367">
        <v>366</v>
      </c>
      <c r="B367">
        <v>8</v>
      </c>
      <c r="C367">
        <v>5000</v>
      </c>
      <c r="D367">
        <v>5075</v>
      </c>
      <c r="E367" s="5">
        <f t="shared" si="21"/>
        <v>75</v>
      </c>
      <c r="F367" s="5">
        <f t="shared" si="22"/>
        <v>5625</v>
      </c>
      <c r="G367" s="6">
        <f>SQRT(SUM($F$2:F367)/A367)</f>
        <v>1183.7290652847889</v>
      </c>
      <c r="H367" s="5">
        <f t="shared" si="23"/>
        <v>1</v>
      </c>
      <c r="I367" s="5">
        <f t="shared" si="24"/>
        <v>1</v>
      </c>
    </row>
    <row r="368" spans="1:9">
      <c r="A368">
        <v>367</v>
      </c>
      <c r="B368">
        <v>8</v>
      </c>
      <c r="C368">
        <v>5000</v>
      </c>
      <c r="D368">
        <v>5422</v>
      </c>
      <c r="E368" s="5">
        <f t="shared" si="21"/>
        <v>422</v>
      </c>
      <c r="F368" s="5">
        <f t="shared" si="22"/>
        <v>178084</v>
      </c>
      <c r="G368" s="6">
        <f>SQRT(SUM($F$2:F368)/A368)</f>
        <v>1182.3204808113785</v>
      </c>
      <c r="H368" s="5">
        <f t="shared" si="23"/>
        <v>1</v>
      </c>
      <c r="I368" s="5">
        <f t="shared" si="24"/>
        <v>1</v>
      </c>
    </row>
    <row r="369" spans="1:9">
      <c r="A369">
        <v>368</v>
      </c>
      <c r="B369">
        <v>8</v>
      </c>
      <c r="C369">
        <v>5000</v>
      </c>
      <c r="D369">
        <v>5529</v>
      </c>
      <c r="E369" s="5">
        <f t="shared" si="21"/>
        <v>529</v>
      </c>
      <c r="F369" s="5">
        <f t="shared" si="22"/>
        <v>279841</v>
      </c>
      <c r="G369" s="6">
        <f>SQRT(SUM($F$2:F369)/A369)</f>
        <v>1181.0349551208851</v>
      </c>
      <c r="H369" s="5">
        <f t="shared" si="23"/>
        <v>1</v>
      </c>
      <c r="I369" s="5">
        <f t="shared" si="24"/>
        <v>0</v>
      </c>
    </row>
    <row r="370" spans="1:9">
      <c r="A370">
        <v>369</v>
      </c>
      <c r="B370">
        <v>7</v>
      </c>
      <c r="C370">
        <v>5000</v>
      </c>
      <c r="D370">
        <v>4685</v>
      </c>
      <c r="E370" s="5">
        <f t="shared" si="21"/>
        <v>315</v>
      </c>
      <c r="F370" s="5">
        <f t="shared" si="22"/>
        <v>99225</v>
      </c>
      <c r="G370" s="6">
        <f>SQRT(SUM($F$2:F370)/A370)</f>
        <v>1179.5475419812624</v>
      </c>
      <c r="H370" s="5">
        <f t="shared" si="23"/>
        <v>1</v>
      </c>
      <c r="I370" s="5">
        <f t="shared" si="24"/>
        <v>1</v>
      </c>
    </row>
    <row r="371" spans="1:9">
      <c r="A371">
        <v>370</v>
      </c>
      <c r="B371">
        <v>8</v>
      </c>
      <c r="C371">
        <v>5000</v>
      </c>
      <c r="D371">
        <v>4911</v>
      </c>
      <c r="E371" s="5">
        <f t="shared" si="21"/>
        <v>89</v>
      </c>
      <c r="F371" s="5">
        <f t="shared" si="22"/>
        <v>7921</v>
      </c>
      <c r="G371" s="6">
        <f>SQRT(SUM($F$2:F371)/A371)</f>
        <v>1177.9615673077174</v>
      </c>
      <c r="H371" s="5">
        <f t="shared" si="23"/>
        <v>1</v>
      </c>
      <c r="I371" s="5">
        <f t="shared" si="24"/>
        <v>1</v>
      </c>
    </row>
    <row r="372" spans="1:9">
      <c r="A372">
        <v>371</v>
      </c>
      <c r="B372">
        <v>8</v>
      </c>
      <c r="C372">
        <v>5000</v>
      </c>
      <c r="D372">
        <v>3513</v>
      </c>
      <c r="E372" s="5">
        <f t="shared" si="21"/>
        <v>1487</v>
      </c>
      <c r="F372" s="5">
        <f t="shared" si="22"/>
        <v>2211169</v>
      </c>
      <c r="G372" s="6">
        <f>SQRT(SUM($F$2:F372)/A372)</f>
        <v>1178.9034456781462</v>
      </c>
      <c r="H372" s="5">
        <f t="shared" si="23"/>
        <v>0</v>
      </c>
      <c r="I372" s="5">
        <f t="shared" si="24"/>
        <v>0</v>
      </c>
    </row>
    <row r="373" spans="1:9">
      <c r="A373">
        <v>372</v>
      </c>
      <c r="B373">
        <v>10</v>
      </c>
      <c r="C373">
        <v>5000</v>
      </c>
      <c r="D373">
        <v>3619</v>
      </c>
      <c r="E373" s="5">
        <f t="shared" si="21"/>
        <v>1381</v>
      </c>
      <c r="F373" s="5">
        <f t="shared" si="22"/>
        <v>1907161</v>
      </c>
      <c r="G373" s="6">
        <f>SQRT(SUM($F$2:F373)/A373)</f>
        <v>1179.4931342587124</v>
      </c>
      <c r="H373" s="5">
        <f t="shared" si="23"/>
        <v>0</v>
      </c>
      <c r="I373" s="5">
        <f t="shared" si="24"/>
        <v>0</v>
      </c>
    </row>
    <row r="374" spans="1:9">
      <c r="A374">
        <v>373</v>
      </c>
      <c r="B374">
        <v>10</v>
      </c>
      <c r="C374">
        <v>5000</v>
      </c>
      <c r="D374">
        <v>2847</v>
      </c>
      <c r="E374" s="5">
        <f t="shared" si="21"/>
        <v>2153</v>
      </c>
      <c r="F374" s="5">
        <f t="shared" si="22"/>
        <v>4635409</v>
      </c>
      <c r="G374" s="6">
        <f>SQRT(SUM($F$2:F374)/A374)</f>
        <v>1183.1743971855949</v>
      </c>
      <c r="H374" s="5">
        <f t="shared" si="23"/>
        <v>0</v>
      </c>
      <c r="I374" s="5">
        <f t="shared" si="24"/>
        <v>0</v>
      </c>
    </row>
    <row r="375" spans="1:9">
      <c r="A375">
        <v>374</v>
      </c>
      <c r="B375">
        <v>11</v>
      </c>
      <c r="C375">
        <v>5000</v>
      </c>
      <c r="D375">
        <v>2746</v>
      </c>
      <c r="E375" s="5">
        <f t="shared" si="21"/>
        <v>2254</v>
      </c>
      <c r="F375" s="5">
        <f t="shared" si="22"/>
        <v>5080516</v>
      </c>
      <c r="G375" s="6">
        <f>SQRT(SUM($F$2:F375)/A375)</f>
        <v>1187.3259320776065</v>
      </c>
      <c r="H375" s="5">
        <f t="shared" si="23"/>
        <v>0</v>
      </c>
      <c r="I375" s="5">
        <f t="shared" si="24"/>
        <v>0</v>
      </c>
    </row>
    <row r="376" spans="1:9">
      <c r="A376">
        <v>375</v>
      </c>
      <c r="B376">
        <v>12</v>
      </c>
      <c r="C376">
        <v>5000</v>
      </c>
      <c r="D376">
        <v>3555</v>
      </c>
      <c r="E376" s="5">
        <f t="shared" si="21"/>
        <v>1445</v>
      </c>
      <c r="F376" s="5">
        <f t="shared" si="22"/>
        <v>2088025</v>
      </c>
      <c r="G376" s="6">
        <f>SQRT(SUM($F$2:F376)/A376)</f>
        <v>1188.0873795025909</v>
      </c>
      <c r="H376" s="5">
        <f t="shared" si="23"/>
        <v>0</v>
      </c>
      <c r="I376" s="5">
        <f t="shared" si="24"/>
        <v>0</v>
      </c>
    </row>
    <row r="377" spans="1:9">
      <c r="A377">
        <v>376</v>
      </c>
      <c r="B377">
        <v>12</v>
      </c>
      <c r="C377">
        <v>5000</v>
      </c>
      <c r="D377">
        <v>2853</v>
      </c>
      <c r="E377" s="5">
        <f t="shared" si="21"/>
        <v>2147</v>
      </c>
      <c r="F377" s="5">
        <f t="shared" si="22"/>
        <v>4609609</v>
      </c>
      <c r="G377" s="6">
        <f>SQRT(SUM($F$2:F377)/A377)</f>
        <v>1191.6614842668644</v>
      </c>
      <c r="H377" s="5">
        <f t="shared" si="23"/>
        <v>0</v>
      </c>
      <c r="I377" s="5">
        <f t="shared" si="24"/>
        <v>0</v>
      </c>
    </row>
    <row r="378" spans="1:9">
      <c r="A378">
        <v>377</v>
      </c>
      <c r="B378">
        <v>13</v>
      </c>
      <c r="C378">
        <v>5000</v>
      </c>
      <c r="D378">
        <v>3030</v>
      </c>
      <c r="E378" s="5">
        <f t="shared" si="21"/>
        <v>1970</v>
      </c>
      <c r="F378" s="5">
        <f t="shared" si="22"/>
        <v>3880900</v>
      </c>
      <c r="G378" s="6">
        <f>SQRT(SUM($F$2:F378)/A378)</f>
        <v>1194.3971399209975</v>
      </c>
      <c r="H378" s="5">
        <f t="shared" si="23"/>
        <v>0</v>
      </c>
      <c r="I378" s="5">
        <f t="shared" si="24"/>
        <v>0</v>
      </c>
    </row>
    <row r="379" spans="1:9">
      <c r="A379">
        <v>378</v>
      </c>
      <c r="B379">
        <v>13</v>
      </c>
      <c r="C379">
        <v>5000</v>
      </c>
      <c r="D379">
        <v>7388</v>
      </c>
      <c r="E379" s="5">
        <f t="shared" si="21"/>
        <v>2388</v>
      </c>
      <c r="F379" s="5">
        <f t="shared" si="22"/>
        <v>5702544</v>
      </c>
      <c r="G379" s="6">
        <f>SQRT(SUM($F$2:F379)/A379)</f>
        <v>1199.1232588633623</v>
      </c>
      <c r="H379" s="5">
        <f t="shared" si="23"/>
        <v>0</v>
      </c>
      <c r="I379" s="5">
        <f t="shared" si="24"/>
        <v>0</v>
      </c>
    </row>
    <row r="380" spans="1:9">
      <c r="A380">
        <v>379</v>
      </c>
      <c r="B380">
        <v>8</v>
      </c>
      <c r="C380">
        <v>5000</v>
      </c>
      <c r="D380">
        <v>3966</v>
      </c>
      <c r="E380" s="5">
        <f t="shared" si="21"/>
        <v>1034</v>
      </c>
      <c r="F380" s="5">
        <f t="shared" si="22"/>
        <v>1069156</v>
      </c>
      <c r="G380" s="6">
        <f>SQRT(SUM($F$2:F380)/A380)</f>
        <v>1198.7175061834239</v>
      </c>
      <c r="H380" s="5">
        <f t="shared" si="23"/>
        <v>0</v>
      </c>
      <c r="I380" s="5">
        <f t="shared" si="24"/>
        <v>0</v>
      </c>
    </row>
    <row r="381" spans="1:9">
      <c r="A381">
        <v>380</v>
      </c>
      <c r="B381">
        <v>12</v>
      </c>
      <c r="C381">
        <v>5000</v>
      </c>
      <c r="D381">
        <v>6470</v>
      </c>
      <c r="E381" s="5">
        <f t="shared" si="21"/>
        <v>1470</v>
      </c>
      <c r="F381" s="5">
        <f t="shared" si="22"/>
        <v>2160900</v>
      </c>
      <c r="G381" s="6">
        <f>SQRT(SUM($F$2:F381)/A381)</f>
        <v>1199.5119259625208</v>
      </c>
      <c r="H381" s="5">
        <f t="shared" si="23"/>
        <v>0</v>
      </c>
      <c r="I381" s="5">
        <f t="shared" si="24"/>
        <v>0</v>
      </c>
    </row>
    <row r="382" spans="1:9">
      <c r="A382">
        <v>381</v>
      </c>
      <c r="B382">
        <v>9</v>
      </c>
      <c r="C382">
        <v>5000</v>
      </c>
      <c r="D382">
        <v>4677</v>
      </c>
      <c r="E382" s="5">
        <f t="shared" si="21"/>
        <v>323</v>
      </c>
      <c r="F382" s="5">
        <f t="shared" si="22"/>
        <v>104329</v>
      </c>
      <c r="G382" s="6">
        <f>SQRT(SUM($F$2:F382)/A382)</f>
        <v>1198.05101570028</v>
      </c>
      <c r="H382" s="5">
        <f t="shared" si="23"/>
        <v>1</v>
      </c>
      <c r="I382" s="5">
        <f t="shared" si="24"/>
        <v>1</v>
      </c>
    </row>
    <row r="383" spans="1:9">
      <c r="A383">
        <v>382</v>
      </c>
      <c r="B383">
        <v>11</v>
      </c>
      <c r="C383">
        <v>5000</v>
      </c>
      <c r="D383">
        <v>6454</v>
      </c>
      <c r="E383" s="5">
        <f t="shared" si="21"/>
        <v>1454</v>
      </c>
      <c r="F383" s="5">
        <f t="shared" si="22"/>
        <v>2114116</v>
      </c>
      <c r="G383" s="6">
        <f>SQRT(SUM($F$2:F383)/A383)</f>
        <v>1198.7923810130214</v>
      </c>
      <c r="H383" s="5">
        <f t="shared" si="23"/>
        <v>0</v>
      </c>
      <c r="I383" s="5">
        <f t="shared" si="24"/>
        <v>0</v>
      </c>
    </row>
    <row r="384" spans="1:9">
      <c r="A384">
        <v>383</v>
      </c>
      <c r="B384">
        <v>9</v>
      </c>
      <c r="C384">
        <v>5000</v>
      </c>
      <c r="D384">
        <v>5651</v>
      </c>
      <c r="E384" s="5">
        <f t="shared" si="21"/>
        <v>651</v>
      </c>
      <c r="F384" s="5">
        <f t="shared" si="22"/>
        <v>423801</v>
      </c>
      <c r="G384" s="6">
        <f>SQRT(SUM($F$2:F384)/A384)</f>
        <v>1197.6883881861017</v>
      </c>
      <c r="H384" s="5">
        <f t="shared" si="23"/>
        <v>1</v>
      </c>
      <c r="I384" s="5">
        <f t="shared" si="24"/>
        <v>0</v>
      </c>
    </row>
    <row r="385" spans="1:9">
      <c r="A385">
        <v>384</v>
      </c>
      <c r="B385">
        <v>9</v>
      </c>
      <c r="C385">
        <v>5000</v>
      </c>
      <c r="D385">
        <v>6387</v>
      </c>
      <c r="E385" s="5">
        <f t="shared" si="21"/>
        <v>1387</v>
      </c>
      <c r="F385" s="5">
        <f t="shared" si="22"/>
        <v>1923769</v>
      </c>
      <c r="G385" s="6">
        <f>SQRT(SUM($F$2:F385)/A385)</f>
        <v>1198.2202318264924</v>
      </c>
      <c r="H385" s="5">
        <f t="shared" si="23"/>
        <v>0</v>
      </c>
      <c r="I385" s="5">
        <f t="shared" si="24"/>
        <v>0</v>
      </c>
    </row>
    <row r="386" spans="1:9">
      <c r="A386">
        <v>385</v>
      </c>
      <c r="B386">
        <v>8</v>
      </c>
      <c r="C386">
        <v>5000</v>
      </c>
      <c r="D386">
        <v>3283</v>
      </c>
      <c r="E386" s="5">
        <f t="shared" si="21"/>
        <v>1717</v>
      </c>
      <c r="F386" s="5">
        <f t="shared" si="22"/>
        <v>2948089</v>
      </c>
      <c r="G386" s="6">
        <f>SQRT(SUM($F$2:F386)/A386)</f>
        <v>1199.8582935810898</v>
      </c>
      <c r="H386" s="5">
        <f t="shared" si="23"/>
        <v>0</v>
      </c>
      <c r="I386" s="5">
        <f t="shared" si="24"/>
        <v>0</v>
      </c>
    </row>
    <row r="387" spans="1:9">
      <c r="A387">
        <v>386</v>
      </c>
      <c r="B387">
        <v>12</v>
      </c>
      <c r="C387">
        <v>5000</v>
      </c>
      <c r="D387">
        <v>4461</v>
      </c>
      <c r="E387" s="5">
        <f t="shared" ref="E387:E450" si="25">ABS(C387-D387)</f>
        <v>539</v>
      </c>
      <c r="F387" s="5">
        <f t="shared" ref="F387:F450" si="26">POWER(E387,2)</f>
        <v>290521</v>
      </c>
      <c r="G387" s="6">
        <f>SQRT(SUM($F$2:F387)/A387)</f>
        <v>1198.6170701391732</v>
      </c>
      <c r="H387" s="5">
        <f t="shared" ref="H387:H450" si="27">IF(ABS(E387)/C387&gt;0.2,0,1)</f>
        <v>1</v>
      </c>
      <c r="I387" s="5">
        <f t="shared" ref="I387:I450" si="28">IF(ABS(E387)/C387&gt;0.1,0,1)</f>
        <v>0</v>
      </c>
    </row>
    <row r="388" spans="1:9">
      <c r="A388">
        <v>387</v>
      </c>
      <c r="B388">
        <v>11</v>
      </c>
      <c r="C388">
        <v>5000</v>
      </c>
      <c r="D388">
        <v>4055</v>
      </c>
      <c r="E388" s="5">
        <f t="shared" si="25"/>
        <v>945</v>
      </c>
      <c r="F388" s="5">
        <f t="shared" si="26"/>
        <v>893025</v>
      </c>
      <c r="G388" s="6">
        <f>SQRT(SUM($F$2:F388)/A388)</f>
        <v>1198.0309178411712</v>
      </c>
      <c r="H388" s="5">
        <f t="shared" si="27"/>
        <v>1</v>
      </c>
      <c r="I388" s="5">
        <f t="shared" si="28"/>
        <v>0</v>
      </c>
    </row>
    <row r="389" spans="1:9">
      <c r="A389">
        <v>388</v>
      </c>
      <c r="B389">
        <v>12</v>
      </c>
      <c r="C389">
        <v>5000</v>
      </c>
      <c r="D389">
        <v>5678</v>
      </c>
      <c r="E389" s="5">
        <f t="shared" si="25"/>
        <v>678</v>
      </c>
      <c r="F389" s="5">
        <f t="shared" si="26"/>
        <v>459684</v>
      </c>
      <c r="G389" s="6">
        <f>SQRT(SUM($F$2:F389)/A389)</f>
        <v>1196.9810618264326</v>
      </c>
      <c r="H389" s="5">
        <f t="shared" si="27"/>
        <v>1</v>
      </c>
      <c r="I389" s="5">
        <f t="shared" si="28"/>
        <v>0</v>
      </c>
    </row>
    <row r="390" spans="1:9">
      <c r="A390">
        <v>389</v>
      </c>
      <c r="B390">
        <v>10</v>
      </c>
      <c r="C390">
        <v>5000</v>
      </c>
      <c r="D390">
        <v>5423</v>
      </c>
      <c r="E390" s="5">
        <f t="shared" si="25"/>
        <v>423</v>
      </c>
      <c r="F390" s="5">
        <f t="shared" si="26"/>
        <v>178929</v>
      </c>
      <c r="G390" s="6">
        <f>SQRT(SUM($F$2:F390)/A390)</f>
        <v>1195.6339059335826</v>
      </c>
      <c r="H390" s="5">
        <f t="shared" si="27"/>
        <v>1</v>
      </c>
      <c r="I390" s="5">
        <f t="shared" si="28"/>
        <v>1</v>
      </c>
    </row>
    <row r="391" spans="1:9">
      <c r="A391">
        <v>390</v>
      </c>
      <c r="B391">
        <v>10</v>
      </c>
      <c r="C391">
        <v>5000</v>
      </c>
      <c r="D391">
        <v>5775</v>
      </c>
      <c r="E391" s="5">
        <f t="shared" si="25"/>
        <v>775</v>
      </c>
      <c r="F391" s="5">
        <f t="shared" si="26"/>
        <v>600625</v>
      </c>
      <c r="G391" s="6">
        <f>SQRT(SUM($F$2:F391)/A391)</f>
        <v>1194.74474797779</v>
      </c>
      <c r="H391" s="5">
        <f t="shared" si="27"/>
        <v>1</v>
      </c>
      <c r="I391" s="5">
        <f t="shared" si="28"/>
        <v>0</v>
      </c>
    </row>
    <row r="392" spans="1:9">
      <c r="A392">
        <v>391</v>
      </c>
      <c r="B392">
        <v>9</v>
      </c>
      <c r="C392">
        <v>5000</v>
      </c>
      <c r="D392">
        <v>4756</v>
      </c>
      <c r="E392" s="5">
        <f t="shared" si="25"/>
        <v>244</v>
      </c>
      <c r="F392" s="5">
        <f t="shared" si="26"/>
        <v>59536</v>
      </c>
      <c r="G392" s="6">
        <f>SQRT(SUM($F$2:F392)/A392)</f>
        <v>1193.2797664516975</v>
      </c>
      <c r="H392" s="5">
        <f t="shared" si="27"/>
        <v>1</v>
      </c>
      <c r="I392" s="5">
        <f t="shared" si="28"/>
        <v>1</v>
      </c>
    </row>
    <row r="393" spans="1:9">
      <c r="A393">
        <v>392</v>
      </c>
      <c r="B393">
        <v>10</v>
      </c>
      <c r="C393">
        <v>5000</v>
      </c>
      <c r="D393">
        <v>4882</v>
      </c>
      <c r="E393" s="5">
        <f t="shared" si="25"/>
        <v>118</v>
      </c>
      <c r="F393" s="5">
        <f t="shared" si="26"/>
        <v>13924</v>
      </c>
      <c r="G393" s="6">
        <f>SQRT(SUM($F$2:F393)/A393)</f>
        <v>1191.771656452044</v>
      </c>
      <c r="H393" s="5">
        <f t="shared" si="27"/>
        <v>1</v>
      </c>
      <c r="I393" s="5">
        <f t="shared" si="28"/>
        <v>1</v>
      </c>
    </row>
    <row r="394" spans="1:9">
      <c r="A394">
        <v>393</v>
      </c>
      <c r="B394">
        <v>10</v>
      </c>
      <c r="C394">
        <v>5000</v>
      </c>
      <c r="D394">
        <v>5394</v>
      </c>
      <c r="E394" s="5">
        <f t="shared" si="25"/>
        <v>394</v>
      </c>
      <c r="F394" s="5">
        <f t="shared" si="26"/>
        <v>155236</v>
      </c>
      <c r="G394" s="6">
        <f>SQRT(SUM($F$2:F394)/A394)</f>
        <v>1190.4203621733143</v>
      </c>
      <c r="H394" s="5">
        <f t="shared" si="27"/>
        <v>1</v>
      </c>
      <c r="I394" s="5">
        <f t="shared" si="28"/>
        <v>1</v>
      </c>
    </row>
    <row r="395" spans="1:9">
      <c r="A395">
        <v>394</v>
      </c>
      <c r="B395">
        <v>10</v>
      </c>
      <c r="C395">
        <v>5000</v>
      </c>
      <c r="D395">
        <v>5208</v>
      </c>
      <c r="E395" s="5">
        <f t="shared" si="25"/>
        <v>208</v>
      </c>
      <c r="F395" s="5">
        <f t="shared" si="26"/>
        <v>43264</v>
      </c>
      <c r="G395" s="6">
        <f>SQRT(SUM($F$2:F395)/A395)</f>
        <v>1188.9548955510559</v>
      </c>
      <c r="H395" s="5">
        <f t="shared" si="27"/>
        <v>1</v>
      </c>
      <c r="I395" s="5">
        <f t="shared" si="28"/>
        <v>1</v>
      </c>
    </row>
    <row r="396" spans="1:9">
      <c r="A396">
        <v>395</v>
      </c>
      <c r="B396">
        <v>10</v>
      </c>
      <c r="C396">
        <v>5000</v>
      </c>
      <c r="D396">
        <v>6368</v>
      </c>
      <c r="E396" s="5">
        <f t="shared" si="25"/>
        <v>1368</v>
      </c>
      <c r="F396" s="5">
        <f t="shared" si="26"/>
        <v>1871424</v>
      </c>
      <c r="G396" s="6">
        <f>SQRT(SUM($F$2:F396)/A396)</f>
        <v>1189.4422041284836</v>
      </c>
      <c r="H396" s="5">
        <f t="shared" si="27"/>
        <v>0</v>
      </c>
      <c r="I396" s="5">
        <f t="shared" si="28"/>
        <v>0</v>
      </c>
    </row>
    <row r="397" spans="1:9">
      <c r="A397">
        <v>396</v>
      </c>
      <c r="B397">
        <v>8</v>
      </c>
      <c r="C397">
        <v>5000</v>
      </c>
      <c r="D397">
        <v>5570</v>
      </c>
      <c r="E397" s="5">
        <f t="shared" si="25"/>
        <v>570</v>
      </c>
      <c r="F397" s="5">
        <f t="shared" si="26"/>
        <v>324900</v>
      </c>
      <c r="G397" s="6">
        <f>SQRT(SUM($F$2:F397)/A397)</f>
        <v>1188.2847104252007</v>
      </c>
      <c r="H397" s="5">
        <f t="shared" si="27"/>
        <v>1</v>
      </c>
      <c r="I397" s="5">
        <f t="shared" si="28"/>
        <v>0</v>
      </c>
    </row>
    <row r="398" spans="1:9">
      <c r="A398">
        <v>397</v>
      </c>
      <c r="B398">
        <v>9</v>
      </c>
      <c r="C398">
        <v>5000</v>
      </c>
      <c r="D398">
        <v>5781</v>
      </c>
      <c r="E398" s="5">
        <f t="shared" si="25"/>
        <v>781</v>
      </c>
      <c r="F398" s="5">
        <f t="shared" si="26"/>
        <v>609961</v>
      </c>
      <c r="G398" s="6">
        <f>SQRT(SUM($F$2:F398)/A398)</f>
        <v>1187.4343147682607</v>
      </c>
      <c r="H398" s="5">
        <f t="shared" si="27"/>
        <v>1</v>
      </c>
      <c r="I398" s="5">
        <f t="shared" si="28"/>
        <v>0</v>
      </c>
    </row>
    <row r="399" spans="1:9">
      <c r="A399">
        <v>398</v>
      </c>
      <c r="B399">
        <v>9</v>
      </c>
      <c r="C399">
        <v>5000</v>
      </c>
      <c r="D399">
        <v>5799</v>
      </c>
      <c r="E399" s="5">
        <f t="shared" si="25"/>
        <v>799</v>
      </c>
      <c r="F399" s="5">
        <f t="shared" si="26"/>
        <v>638401</v>
      </c>
      <c r="G399" s="6">
        <f>SQRT(SUM($F$2:F399)/A399)</f>
        <v>1186.6176976185327</v>
      </c>
      <c r="H399" s="5">
        <f t="shared" si="27"/>
        <v>1</v>
      </c>
      <c r="I399" s="5">
        <f t="shared" si="28"/>
        <v>0</v>
      </c>
    </row>
    <row r="400" spans="1:9">
      <c r="A400">
        <v>399</v>
      </c>
      <c r="B400">
        <v>8</v>
      </c>
      <c r="C400">
        <v>5000</v>
      </c>
      <c r="D400">
        <v>4583</v>
      </c>
      <c r="E400" s="5">
        <f t="shared" si="25"/>
        <v>417</v>
      </c>
      <c r="F400" s="5">
        <f t="shared" si="26"/>
        <v>173889</v>
      </c>
      <c r="G400" s="6">
        <f>SQRT(SUM($F$2:F400)/A400)</f>
        <v>1185.31362769099</v>
      </c>
      <c r="H400" s="5">
        <f t="shared" si="27"/>
        <v>1</v>
      </c>
      <c r="I400" s="5">
        <f t="shared" si="28"/>
        <v>1</v>
      </c>
    </row>
    <row r="401" spans="1:9">
      <c r="A401">
        <v>400</v>
      </c>
      <c r="B401">
        <v>10</v>
      </c>
      <c r="C401">
        <v>5000</v>
      </c>
      <c r="D401">
        <v>6456</v>
      </c>
      <c r="E401" s="5">
        <f t="shared" si="25"/>
        <v>1456</v>
      </c>
      <c r="F401" s="5">
        <f t="shared" si="26"/>
        <v>2119936</v>
      </c>
      <c r="G401" s="6">
        <f>SQRT(SUM($F$2:F401)/A401)</f>
        <v>1186.0673737187108</v>
      </c>
      <c r="H401" s="5">
        <f t="shared" si="27"/>
        <v>0</v>
      </c>
      <c r="I401" s="5">
        <f t="shared" si="28"/>
        <v>0</v>
      </c>
    </row>
    <row r="402" spans="1:9">
      <c r="A402">
        <v>401</v>
      </c>
      <c r="B402">
        <v>1</v>
      </c>
      <c r="C402">
        <v>6000</v>
      </c>
      <c r="D402">
        <v>844</v>
      </c>
      <c r="E402" s="5">
        <f t="shared" si="25"/>
        <v>5156</v>
      </c>
      <c r="F402" s="5">
        <f t="shared" si="26"/>
        <v>26584336</v>
      </c>
      <c r="G402" s="6">
        <f>SQRT(SUM($F$2:F402)/A402)</f>
        <v>1212.2470037104597</v>
      </c>
      <c r="H402" s="5">
        <f t="shared" si="27"/>
        <v>0</v>
      </c>
      <c r="I402" s="5">
        <f t="shared" si="28"/>
        <v>0</v>
      </c>
    </row>
    <row r="403" spans="1:9">
      <c r="A403">
        <v>402</v>
      </c>
      <c r="B403">
        <v>7</v>
      </c>
      <c r="C403">
        <v>6000</v>
      </c>
      <c r="D403">
        <v>4791</v>
      </c>
      <c r="E403" s="5">
        <f t="shared" si="25"/>
        <v>1209</v>
      </c>
      <c r="F403" s="5">
        <f t="shared" si="26"/>
        <v>1461681</v>
      </c>
      <c r="G403" s="6">
        <f>SQRT(SUM($F$2:F403)/A403)</f>
        <v>1212.2389373772533</v>
      </c>
      <c r="H403" s="5">
        <f t="shared" si="27"/>
        <v>0</v>
      </c>
      <c r="I403" s="5">
        <f t="shared" si="28"/>
        <v>0</v>
      </c>
    </row>
    <row r="404" spans="1:9">
      <c r="A404">
        <v>403</v>
      </c>
      <c r="B404">
        <v>3</v>
      </c>
      <c r="C404">
        <v>6000</v>
      </c>
      <c r="D404">
        <v>2114</v>
      </c>
      <c r="E404" s="5">
        <f t="shared" si="25"/>
        <v>3886</v>
      </c>
      <c r="F404" s="5">
        <f t="shared" si="26"/>
        <v>15100996</v>
      </c>
      <c r="G404" s="6">
        <f>SQRT(SUM($F$2:F404)/A404)</f>
        <v>1226.1110209650715</v>
      </c>
      <c r="H404" s="5">
        <f t="shared" si="27"/>
        <v>0</v>
      </c>
      <c r="I404" s="5">
        <f t="shared" si="28"/>
        <v>0</v>
      </c>
    </row>
    <row r="405" spans="1:9">
      <c r="A405">
        <v>404</v>
      </c>
      <c r="B405">
        <v>7</v>
      </c>
      <c r="C405">
        <v>6000</v>
      </c>
      <c r="D405">
        <v>4177</v>
      </c>
      <c r="E405" s="5">
        <f t="shared" si="25"/>
        <v>1823</v>
      </c>
      <c r="F405" s="5">
        <f t="shared" si="26"/>
        <v>3323329</v>
      </c>
      <c r="G405" s="6">
        <f>SQRT(SUM($F$2:F405)/A405)</f>
        <v>1227.9467165206563</v>
      </c>
      <c r="H405" s="5">
        <f t="shared" si="27"/>
        <v>0</v>
      </c>
      <c r="I405" s="5">
        <f t="shared" si="28"/>
        <v>0</v>
      </c>
    </row>
    <row r="406" spans="1:9">
      <c r="A406">
        <v>405</v>
      </c>
      <c r="B406">
        <v>5</v>
      </c>
      <c r="C406">
        <v>6000</v>
      </c>
      <c r="D406">
        <v>3527</v>
      </c>
      <c r="E406" s="5">
        <f t="shared" si="25"/>
        <v>2473</v>
      </c>
      <c r="F406" s="5">
        <f t="shared" si="26"/>
        <v>6115729</v>
      </c>
      <c r="G406" s="6">
        <f>SQRT(SUM($F$2:F406)/A406)</f>
        <v>1232.5707322002024</v>
      </c>
      <c r="H406" s="5">
        <f t="shared" si="27"/>
        <v>0</v>
      </c>
      <c r="I406" s="5">
        <f t="shared" si="28"/>
        <v>0</v>
      </c>
    </row>
    <row r="407" spans="1:9">
      <c r="A407">
        <v>406</v>
      </c>
      <c r="B407">
        <v>6</v>
      </c>
      <c r="C407">
        <v>6000</v>
      </c>
      <c r="D407">
        <v>4208</v>
      </c>
      <c r="E407" s="5">
        <f t="shared" si="25"/>
        <v>1792</v>
      </c>
      <c r="F407" s="5">
        <f t="shared" si="26"/>
        <v>3211264</v>
      </c>
      <c r="G407" s="6">
        <f>SQRT(SUM($F$2:F407)/A407)</f>
        <v>1234.260175085851</v>
      </c>
      <c r="H407" s="5">
        <f t="shared" si="27"/>
        <v>0</v>
      </c>
      <c r="I407" s="5">
        <f t="shared" si="28"/>
        <v>0</v>
      </c>
    </row>
    <row r="408" spans="1:9">
      <c r="A408">
        <v>407</v>
      </c>
      <c r="B408">
        <v>6</v>
      </c>
      <c r="C408">
        <v>6000</v>
      </c>
      <c r="D408">
        <v>4084</v>
      </c>
      <c r="E408" s="5">
        <f t="shared" si="25"/>
        <v>1916</v>
      </c>
      <c r="F408" s="5">
        <f t="shared" si="26"/>
        <v>3671056</v>
      </c>
      <c r="G408" s="6">
        <f>SQRT(SUM($F$2:F408)/A408)</f>
        <v>1236.3959642218103</v>
      </c>
      <c r="H408" s="5">
        <f t="shared" si="27"/>
        <v>0</v>
      </c>
      <c r="I408" s="5">
        <f t="shared" si="28"/>
        <v>0</v>
      </c>
    </row>
    <row r="409" spans="1:9">
      <c r="A409">
        <v>408</v>
      </c>
      <c r="B409">
        <v>7</v>
      </c>
      <c r="C409">
        <v>6000</v>
      </c>
      <c r="D409">
        <v>4317</v>
      </c>
      <c r="E409" s="5">
        <f t="shared" si="25"/>
        <v>1683</v>
      </c>
      <c r="F409" s="5">
        <f t="shared" si="26"/>
        <v>2832489</v>
      </c>
      <c r="G409" s="6">
        <f>SQRT(SUM($F$2:F409)/A409)</f>
        <v>1237.6876031297948</v>
      </c>
      <c r="H409" s="5">
        <f t="shared" si="27"/>
        <v>0</v>
      </c>
      <c r="I409" s="5">
        <f t="shared" si="28"/>
        <v>0</v>
      </c>
    </row>
    <row r="410" spans="1:9">
      <c r="A410">
        <v>409</v>
      </c>
      <c r="B410">
        <v>7</v>
      </c>
      <c r="C410">
        <v>6000</v>
      </c>
      <c r="D410">
        <v>4426</v>
      </c>
      <c r="E410" s="5">
        <f t="shared" si="25"/>
        <v>1574</v>
      </c>
      <c r="F410" s="5">
        <f t="shared" si="26"/>
        <v>2477476</v>
      </c>
      <c r="G410" s="6">
        <f>SQRT(SUM($F$2:F410)/A410)</f>
        <v>1238.6212482341068</v>
      </c>
      <c r="H410" s="5">
        <f t="shared" si="27"/>
        <v>0</v>
      </c>
      <c r="I410" s="5">
        <f t="shared" si="28"/>
        <v>0</v>
      </c>
    </row>
    <row r="411" spans="1:9">
      <c r="A411">
        <v>410</v>
      </c>
      <c r="B411">
        <v>7</v>
      </c>
      <c r="C411">
        <v>6000</v>
      </c>
      <c r="D411">
        <v>5251</v>
      </c>
      <c r="E411" s="5">
        <f t="shared" si="25"/>
        <v>749</v>
      </c>
      <c r="F411" s="5">
        <f t="shared" si="26"/>
        <v>561001</v>
      </c>
      <c r="G411" s="6">
        <f>SQRT(SUM($F$2:F411)/A411)</f>
        <v>1237.6627096777333</v>
      </c>
      <c r="H411" s="5">
        <f t="shared" si="27"/>
        <v>1</v>
      </c>
      <c r="I411" s="5">
        <f t="shared" si="28"/>
        <v>0</v>
      </c>
    </row>
    <row r="412" spans="1:9">
      <c r="A412">
        <v>411</v>
      </c>
      <c r="B412">
        <v>6</v>
      </c>
      <c r="C412">
        <v>6000</v>
      </c>
      <c r="D412">
        <v>3214</v>
      </c>
      <c r="E412" s="5">
        <f t="shared" si="25"/>
        <v>2786</v>
      </c>
      <c r="F412" s="5">
        <f t="shared" si="26"/>
        <v>7761796</v>
      </c>
      <c r="G412" s="6">
        <f>SQRT(SUM($F$2:F412)/A412)</f>
        <v>1243.7713223055839</v>
      </c>
      <c r="H412" s="5">
        <f t="shared" si="27"/>
        <v>0</v>
      </c>
      <c r="I412" s="5">
        <f t="shared" si="28"/>
        <v>0</v>
      </c>
    </row>
    <row r="413" spans="1:9">
      <c r="A413">
        <v>412</v>
      </c>
      <c r="B413">
        <v>9</v>
      </c>
      <c r="C413">
        <v>6000</v>
      </c>
      <c r="D413">
        <v>5681</v>
      </c>
      <c r="E413" s="5">
        <f t="shared" si="25"/>
        <v>319</v>
      </c>
      <c r="F413" s="5">
        <f t="shared" si="26"/>
        <v>101761</v>
      </c>
      <c r="G413" s="6">
        <f>SQRT(SUM($F$2:F413)/A413)</f>
        <v>1242.360382654063</v>
      </c>
      <c r="H413" s="5">
        <f t="shared" si="27"/>
        <v>1</v>
      </c>
      <c r="I413" s="5">
        <f t="shared" si="28"/>
        <v>1</v>
      </c>
    </row>
    <row r="414" spans="1:9">
      <c r="A414">
        <v>413</v>
      </c>
      <c r="B414">
        <v>7</v>
      </c>
      <c r="C414">
        <v>6000</v>
      </c>
      <c r="D414">
        <v>4652</v>
      </c>
      <c r="E414" s="5">
        <f t="shared" si="25"/>
        <v>1348</v>
      </c>
      <c r="F414" s="5">
        <f t="shared" si="26"/>
        <v>1817104</v>
      </c>
      <c r="G414" s="6">
        <f>SQRT(SUM($F$2:F414)/A414)</f>
        <v>1242.627014958666</v>
      </c>
      <c r="H414" s="5">
        <f t="shared" si="27"/>
        <v>0</v>
      </c>
      <c r="I414" s="5">
        <f t="shared" si="28"/>
        <v>0</v>
      </c>
    </row>
    <row r="415" spans="1:9">
      <c r="A415">
        <v>414</v>
      </c>
      <c r="B415">
        <v>8</v>
      </c>
      <c r="C415">
        <v>6000</v>
      </c>
      <c r="D415">
        <v>4557</v>
      </c>
      <c r="E415" s="5">
        <f t="shared" si="25"/>
        <v>1443</v>
      </c>
      <c r="F415" s="5">
        <f t="shared" si="26"/>
        <v>2082249</v>
      </c>
      <c r="G415" s="6">
        <f>SQRT(SUM($F$2:F415)/A415)</f>
        <v>1243.1499194474584</v>
      </c>
      <c r="H415" s="5">
        <f t="shared" si="27"/>
        <v>0</v>
      </c>
      <c r="I415" s="5">
        <f t="shared" si="28"/>
        <v>0</v>
      </c>
    </row>
    <row r="416" spans="1:9">
      <c r="A416">
        <v>415</v>
      </c>
      <c r="B416">
        <v>9</v>
      </c>
      <c r="C416">
        <v>6000</v>
      </c>
      <c r="D416">
        <v>5420</v>
      </c>
      <c r="E416" s="5">
        <f t="shared" si="25"/>
        <v>580</v>
      </c>
      <c r="F416" s="5">
        <f t="shared" si="26"/>
        <v>336400</v>
      </c>
      <c r="G416" s="6">
        <f>SQRT(SUM($F$2:F416)/A416)</f>
        <v>1241.9776233360526</v>
      </c>
      <c r="H416" s="5">
        <f t="shared" si="27"/>
        <v>1</v>
      </c>
      <c r="I416" s="5">
        <f t="shared" si="28"/>
        <v>1</v>
      </c>
    </row>
    <row r="417" spans="1:9">
      <c r="A417">
        <v>416</v>
      </c>
      <c r="B417">
        <v>8</v>
      </c>
      <c r="C417">
        <v>6000</v>
      </c>
      <c r="D417">
        <v>4791</v>
      </c>
      <c r="E417" s="5">
        <f t="shared" si="25"/>
        <v>1209</v>
      </c>
      <c r="F417" s="5">
        <f t="shared" si="26"/>
        <v>1461681</v>
      </c>
      <c r="G417" s="6">
        <f>SQRT(SUM($F$2:F417)/A417)</f>
        <v>1241.8994001900105</v>
      </c>
      <c r="H417" s="5">
        <f t="shared" si="27"/>
        <v>0</v>
      </c>
      <c r="I417" s="5">
        <f t="shared" si="28"/>
        <v>0</v>
      </c>
    </row>
    <row r="418" spans="1:9">
      <c r="A418">
        <v>417</v>
      </c>
      <c r="B418">
        <v>9</v>
      </c>
      <c r="C418">
        <v>6000</v>
      </c>
      <c r="D418">
        <v>4664</v>
      </c>
      <c r="E418" s="5">
        <f t="shared" si="25"/>
        <v>1336</v>
      </c>
      <c r="F418" s="5">
        <f t="shared" si="26"/>
        <v>1784896</v>
      </c>
      <c r="G418" s="6">
        <f>SQRT(SUM($F$2:F418)/A418)</f>
        <v>1242.1335883547088</v>
      </c>
      <c r="H418" s="5">
        <f t="shared" si="27"/>
        <v>0</v>
      </c>
      <c r="I418" s="5">
        <f t="shared" si="28"/>
        <v>0</v>
      </c>
    </row>
    <row r="419" spans="1:9">
      <c r="A419">
        <v>418</v>
      </c>
      <c r="B419">
        <v>9</v>
      </c>
      <c r="C419">
        <v>6000</v>
      </c>
      <c r="D419">
        <v>5954</v>
      </c>
      <c r="E419" s="5">
        <f t="shared" si="25"/>
        <v>46</v>
      </c>
      <c r="F419" s="5">
        <f t="shared" si="26"/>
        <v>2116</v>
      </c>
      <c r="G419" s="6">
        <f>SQRT(SUM($F$2:F419)/A419)</f>
        <v>1240.6489330667307</v>
      </c>
      <c r="H419" s="5">
        <f t="shared" si="27"/>
        <v>1</v>
      </c>
      <c r="I419" s="5">
        <f t="shared" si="28"/>
        <v>1</v>
      </c>
    </row>
    <row r="420" spans="1:9">
      <c r="A420">
        <v>419</v>
      </c>
      <c r="B420">
        <v>8</v>
      </c>
      <c r="C420">
        <v>6000</v>
      </c>
      <c r="D420">
        <v>5881</v>
      </c>
      <c r="E420" s="5">
        <f t="shared" si="25"/>
        <v>119</v>
      </c>
      <c r="F420" s="5">
        <f t="shared" si="26"/>
        <v>14161</v>
      </c>
      <c r="G420" s="6">
        <f>SQRT(SUM($F$2:F420)/A420)</f>
        <v>1239.1811976352742</v>
      </c>
      <c r="H420" s="5">
        <f t="shared" si="27"/>
        <v>1</v>
      </c>
      <c r="I420" s="5">
        <f t="shared" si="28"/>
        <v>1</v>
      </c>
    </row>
    <row r="421" spans="1:9">
      <c r="A421">
        <v>420</v>
      </c>
      <c r="B421">
        <v>8</v>
      </c>
      <c r="C421">
        <v>6000</v>
      </c>
      <c r="D421">
        <v>5304</v>
      </c>
      <c r="E421" s="5">
        <f t="shared" si="25"/>
        <v>696</v>
      </c>
      <c r="F421" s="5">
        <f t="shared" si="26"/>
        <v>484416</v>
      </c>
      <c r="G421" s="6">
        <f>SQRT(SUM($F$2:F421)/A421)</f>
        <v>1238.1709465405586</v>
      </c>
      <c r="H421" s="5">
        <f t="shared" si="27"/>
        <v>1</v>
      </c>
      <c r="I421" s="5">
        <f t="shared" si="28"/>
        <v>0</v>
      </c>
    </row>
    <row r="422" spans="1:9">
      <c r="A422">
        <v>421</v>
      </c>
      <c r="B422">
        <v>9</v>
      </c>
      <c r="C422">
        <v>6000</v>
      </c>
      <c r="D422">
        <v>5975</v>
      </c>
      <c r="E422" s="5">
        <f t="shared" si="25"/>
        <v>25</v>
      </c>
      <c r="F422" s="5">
        <f t="shared" si="26"/>
        <v>625</v>
      </c>
      <c r="G422" s="6">
        <f>SQRT(SUM($F$2:F422)/A422)</f>
        <v>1236.7001606739309</v>
      </c>
      <c r="H422" s="5">
        <f t="shared" si="27"/>
        <v>1</v>
      </c>
      <c r="I422" s="5">
        <f t="shared" si="28"/>
        <v>1</v>
      </c>
    </row>
    <row r="423" spans="1:9">
      <c r="A423">
        <v>422</v>
      </c>
      <c r="B423">
        <v>8</v>
      </c>
      <c r="C423">
        <v>6000</v>
      </c>
      <c r="D423">
        <v>5821</v>
      </c>
      <c r="E423" s="5">
        <f t="shared" si="25"/>
        <v>179</v>
      </c>
      <c r="F423" s="5">
        <f t="shared" si="26"/>
        <v>32041</v>
      </c>
      <c r="G423" s="6">
        <f>SQRT(SUM($F$2:F423)/A423)</f>
        <v>1235.2647403180363</v>
      </c>
      <c r="H423" s="5">
        <f t="shared" si="27"/>
        <v>1</v>
      </c>
      <c r="I423" s="5">
        <f t="shared" si="28"/>
        <v>1</v>
      </c>
    </row>
    <row r="424" spans="1:9">
      <c r="A424">
        <v>423</v>
      </c>
      <c r="B424">
        <v>8</v>
      </c>
      <c r="C424">
        <v>6000</v>
      </c>
      <c r="D424">
        <v>4284</v>
      </c>
      <c r="E424" s="5">
        <f t="shared" si="25"/>
        <v>1716</v>
      </c>
      <c r="F424" s="5">
        <f t="shared" si="26"/>
        <v>2944656</v>
      </c>
      <c r="G424" s="6">
        <f>SQRT(SUM($F$2:F424)/A424)</f>
        <v>1236.6216322973332</v>
      </c>
      <c r="H424" s="5">
        <f t="shared" si="27"/>
        <v>0</v>
      </c>
      <c r="I424" s="5">
        <f t="shared" si="28"/>
        <v>0</v>
      </c>
    </row>
    <row r="425" spans="1:9">
      <c r="A425">
        <v>424</v>
      </c>
      <c r="B425">
        <v>11</v>
      </c>
      <c r="C425">
        <v>6000</v>
      </c>
      <c r="D425">
        <v>4780</v>
      </c>
      <c r="E425" s="5">
        <f t="shared" si="25"/>
        <v>1220</v>
      </c>
      <c r="F425" s="5">
        <f t="shared" si="26"/>
        <v>1488400</v>
      </c>
      <c r="G425" s="6">
        <f>SQRT(SUM($F$2:F425)/A425)</f>
        <v>1236.5826931812817</v>
      </c>
      <c r="H425" s="5">
        <f t="shared" si="27"/>
        <v>0</v>
      </c>
      <c r="I425" s="5">
        <f t="shared" si="28"/>
        <v>0</v>
      </c>
    </row>
    <row r="426" spans="1:9">
      <c r="A426">
        <v>425</v>
      </c>
      <c r="B426">
        <v>10</v>
      </c>
      <c r="C426">
        <v>6000</v>
      </c>
      <c r="D426">
        <v>2225</v>
      </c>
      <c r="E426" s="5">
        <f t="shared" si="25"/>
        <v>3775</v>
      </c>
      <c r="F426" s="5">
        <f t="shared" si="26"/>
        <v>14250625</v>
      </c>
      <c r="G426" s="6">
        <f>SQRT(SUM($F$2:F426)/A426)</f>
        <v>1248.6271143092463</v>
      </c>
      <c r="H426" s="5">
        <f t="shared" si="27"/>
        <v>0</v>
      </c>
      <c r="I426" s="5">
        <f t="shared" si="28"/>
        <v>0</v>
      </c>
    </row>
    <row r="427" spans="1:9">
      <c r="A427">
        <v>426</v>
      </c>
      <c r="B427">
        <v>14</v>
      </c>
      <c r="C427">
        <v>6000</v>
      </c>
      <c r="D427">
        <v>7387</v>
      </c>
      <c r="E427" s="5">
        <f t="shared" si="25"/>
        <v>1387</v>
      </c>
      <c r="F427" s="5">
        <f t="shared" si="26"/>
        <v>1923769</v>
      </c>
      <c r="G427" s="6">
        <f>SQRT(SUM($F$2:F427)/A427)</f>
        <v>1248.9698844649815</v>
      </c>
      <c r="H427" s="5">
        <f t="shared" si="27"/>
        <v>0</v>
      </c>
      <c r="I427" s="5">
        <f t="shared" si="28"/>
        <v>0</v>
      </c>
    </row>
    <row r="428" spans="1:9">
      <c r="A428">
        <v>427</v>
      </c>
      <c r="B428">
        <v>8</v>
      </c>
      <c r="C428">
        <v>6000</v>
      </c>
      <c r="D428">
        <v>3898</v>
      </c>
      <c r="E428" s="5">
        <f t="shared" si="25"/>
        <v>2102</v>
      </c>
      <c r="F428" s="5">
        <f t="shared" si="26"/>
        <v>4418404</v>
      </c>
      <c r="G428" s="6">
        <f>SQRT(SUM($F$2:F428)/A428)</f>
        <v>1251.6469552963313</v>
      </c>
      <c r="H428" s="5">
        <f t="shared" si="27"/>
        <v>0</v>
      </c>
      <c r="I428" s="5">
        <f t="shared" si="28"/>
        <v>0</v>
      </c>
    </row>
    <row r="429" spans="1:9">
      <c r="A429">
        <v>428</v>
      </c>
      <c r="B429">
        <v>12</v>
      </c>
      <c r="C429">
        <v>6000</v>
      </c>
      <c r="D429">
        <v>6667</v>
      </c>
      <c r="E429" s="5">
        <f t="shared" si="25"/>
        <v>667</v>
      </c>
      <c r="F429" s="5">
        <f t="shared" si="26"/>
        <v>444889</v>
      </c>
      <c r="G429" s="6">
        <f>SQRT(SUM($F$2:F429)/A429)</f>
        <v>1250.5995496740193</v>
      </c>
      <c r="H429" s="5">
        <f t="shared" si="27"/>
        <v>1</v>
      </c>
      <c r="I429" s="5">
        <f t="shared" si="28"/>
        <v>0</v>
      </c>
    </row>
    <row r="430" spans="1:9">
      <c r="A430">
        <v>429</v>
      </c>
      <c r="B430">
        <v>9</v>
      </c>
      <c r="C430">
        <v>6000</v>
      </c>
      <c r="D430">
        <v>5110</v>
      </c>
      <c r="E430" s="5">
        <f t="shared" si="25"/>
        <v>890</v>
      </c>
      <c r="F430" s="5">
        <f t="shared" si="26"/>
        <v>792100</v>
      </c>
      <c r="G430" s="6">
        <f>SQRT(SUM($F$2:F430)/A430)</f>
        <v>1249.8799681297139</v>
      </c>
      <c r="H430" s="5">
        <f t="shared" si="27"/>
        <v>1</v>
      </c>
      <c r="I430" s="5">
        <f t="shared" si="28"/>
        <v>0</v>
      </c>
    </row>
    <row r="431" spans="1:9">
      <c r="A431">
        <v>430</v>
      </c>
      <c r="B431">
        <v>11</v>
      </c>
      <c r="C431">
        <v>6000</v>
      </c>
      <c r="D431">
        <v>6556</v>
      </c>
      <c r="E431" s="5">
        <f t="shared" si="25"/>
        <v>556</v>
      </c>
      <c r="F431" s="5">
        <f t="shared" si="26"/>
        <v>309136</v>
      </c>
      <c r="G431" s="6">
        <f>SQRT(SUM($F$2:F431)/A431)</f>
        <v>1248.7136711665087</v>
      </c>
      <c r="H431" s="5">
        <f t="shared" si="27"/>
        <v>1</v>
      </c>
      <c r="I431" s="5">
        <f t="shared" si="28"/>
        <v>1</v>
      </c>
    </row>
    <row r="432" spans="1:9">
      <c r="A432">
        <v>431</v>
      </c>
      <c r="B432">
        <v>9</v>
      </c>
      <c r="C432">
        <v>6000</v>
      </c>
      <c r="D432">
        <v>5590</v>
      </c>
      <c r="E432" s="5">
        <f t="shared" si="25"/>
        <v>410</v>
      </c>
      <c r="F432" s="5">
        <f t="shared" si="26"/>
        <v>168100</v>
      </c>
      <c r="G432" s="6">
        <f>SQRT(SUM($F$2:F432)/A432)</f>
        <v>1247.4205478513877</v>
      </c>
      <c r="H432" s="5">
        <f t="shared" si="27"/>
        <v>1</v>
      </c>
      <c r="I432" s="5">
        <f t="shared" si="28"/>
        <v>1</v>
      </c>
    </row>
    <row r="433" spans="1:9">
      <c r="A433">
        <v>432</v>
      </c>
      <c r="B433">
        <v>11</v>
      </c>
      <c r="C433">
        <v>6000</v>
      </c>
      <c r="D433">
        <v>6141</v>
      </c>
      <c r="E433" s="5">
        <f t="shared" si="25"/>
        <v>141</v>
      </c>
      <c r="F433" s="5">
        <f t="shared" si="26"/>
        <v>19881</v>
      </c>
      <c r="G433" s="6">
        <f>SQRT(SUM($F$2:F433)/A433)</f>
        <v>1245.9944052323713</v>
      </c>
      <c r="H433" s="5">
        <f t="shared" si="27"/>
        <v>1</v>
      </c>
      <c r="I433" s="5">
        <f t="shared" si="28"/>
        <v>1</v>
      </c>
    </row>
    <row r="434" spans="1:9">
      <c r="A434">
        <v>433</v>
      </c>
      <c r="B434">
        <v>10</v>
      </c>
      <c r="C434">
        <v>6000</v>
      </c>
      <c r="D434">
        <v>5781</v>
      </c>
      <c r="E434" s="5">
        <f t="shared" si="25"/>
        <v>219</v>
      </c>
      <c r="F434" s="5">
        <f t="shared" si="26"/>
        <v>47961</v>
      </c>
      <c r="G434" s="6">
        <f>SQRT(SUM($F$2:F434)/A434)</f>
        <v>1244.5992797706188</v>
      </c>
      <c r="H434" s="5">
        <f t="shared" si="27"/>
        <v>1</v>
      </c>
      <c r="I434" s="5">
        <f t="shared" si="28"/>
        <v>1</v>
      </c>
    </row>
    <row r="435" spans="1:9">
      <c r="A435">
        <v>434</v>
      </c>
      <c r="B435">
        <v>10</v>
      </c>
      <c r="C435">
        <v>6000</v>
      </c>
      <c r="D435">
        <v>6675</v>
      </c>
      <c r="E435" s="5">
        <f t="shared" si="25"/>
        <v>675</v>
      </c>
      <c r="F435" s="5">
        <f t="shared" si="26"/>
        <v>455625</v>
      </c>
      <c r="G435" s="6">
        <f>SQRT(SUM($F$2:F435)/A435)</f>
        <v>1243.58675085916</v>
      </c>
      <c r="H435" s="5">
        <f t="shared" si="27"/>
        <v>1</v>
      </c>
      <c r="I435" s="5">
        <f t="shared" si="28"/>
        <v>0</v>
      </c>
    </row>
    <row r="436" spans="1:9">
      <c r="A436">
        <v>435</v>
      </c>
      <c r="B436">
        <v>9</v>
      </c>
      <c r="C436">
        <v>6000</v>
      </c>
      <c r="D436">
        <v>5171</v>
      </c>
      <c r="E436" s="5">
        <f t="shared" si="25"/>
        <v>829</v>
      </c>
      <c r="F436" s="5">
        <f t="shared" si="26"/>
        <v>687241</v>
      </c>
      <c r="G436" s="6">
        <f>SQRT(SUM($F$2:F436)/A436)</f>
        <v>1242.7922917606827</v>
      </c>
      <c r="H436" s="5">
        <f t="shared" si="27"/>
        <v>1</v>
      </c>
      <c r="I436" s="5">
        <f t="shared" si="28"/>
        <v>0</v>
      </c>
    </row>
    <row r="437" spans="1:9">
      <c r="A437">
        <v>436</v>
      </c>
      <c r="B437">
        <v>11</v>
      </c>
      <c r="C437">
        <v>6000</v>
      </c>
      <c r="D437">
        <v>5813</v>
      </c>
      <c r="E437" s="5">
        <f t="shared" si="25"/>
        <v>187</v>
      </c>
      <c r="F437" s="5">
        <f t="shared" si="26"/>
        <v>34969</v>
      </c>
      <c r="G437" s="6">
        <f>SQRT(SUM($F$2:F437)/A437)</f>
        <v>1241.3985574505743</v>
      </c>
      <c r="H437" s="5">
        <f t="shared" si="27"/>
        <v>1</v>
      </c>
      <c r="I437" s="5">
        <f t="shared" si="28"/>
        <v>1</v>
      </c>
    </row>
    <row r="438" spans="1:9">
      <c r="A438">
        <v>437</v>
      </c>
      <c r="B438">
        <v>10</v>
      </c>
      <c r="C438">
        <v>6000</v>
      </c>
      <c r="D438">
        <v>5696</v>
      </c>
      <c r="E438" s="5">
        <f t="shared" si="25"/>
        <v>304</v>
      </c>
      <c r="F438" s="5">
        <f t="shared" si="26"/>
        <v>92416</v>
      </c>
      <c r="G438" s="6">
        <f>SQRT(SUM($F$2:F438)/A438)</f>
        <v>1240.0626515876929</v>
      </c>
      <c r="H438" s="5">
        <f t="shared" si="27"/>
        <v>1</v>
      </c>
      <c r="I438" s="5">
        <f t="shared" si="28"/>
        <v>1</v>
      </c>
    </row>
    <row r="439" spans="1:9">
      <c r="A439">
        <v>438</v>
      </c>
      <c r="B439">
        <v>11</v>
      </c>
      <c r="C439">
        <v>6000</v>
      </c>
      <c r="D439">
        <v>6251</v>
      </c>
      <c r="E439" s="5">
        <f t="shared" si="25"/>
        <v>251</v>
      </c>
      <c r="F439" s="5">
        <f t="shared" si="26"/>
        <v>63001</v>
      </c>
      <c r="G439" s="6">
        <f>SQRT(SUM($F$2:F439)/A439)</f>
        <v>1238.7043072221045</v>
      </c>
      <c r="H439" s="5">
        <f t="shared" si="27"/>
        <v>1</v>
      </c>
      <c r="I439" s="5">
        <f t="shared" si="28"/>
        <v>1</v>
      </c>
    </row>
    <row r="440" spans="1:9">
      <c r="A440">
        <v>439</v>
      </c>
      <c r="B440">
        <v>10</v>
      </c>
      <c r="C440">
        <v>6000</v>
      </c>
      <c r="D440">
        <v>5954</v>
      </c>
      <c r="E440" s="5">
        <f t="shared" si="25"/>
        <v>46</v>
      </c>
      <c r="F440" s="5">
        <f t="shared" si="26"/>
        <v>2116</v>
      </c>
      <c r="G440" s="6">
        <f>SQRT(SUM($F$2:F440)/A440)</f>
        <v>1237.2946257413321</v>
      </c>
      <c r="H440" s="5">
        <f t="shared" si="27"/>
        <v>1</v>
      </c>
      <c r="I440" s="5">
        <f t="shared" si="28"/>
        <v>1</v>
      </c>
    </row>
    <row r="441" spans="1:9">
      <c r="A441">
        <v>440</v>
      </c>
      <c r="B441">
        <v>10</v>
      </c>
      <c r="C441">
        <v>6000</v>
      </c>
      <c r="D441">
        <v>6088</v>
      </c>
      <c r="E441" s="5">
        <f t="shared" si="25"/>
        <v>88</v>
      </c>
      <c r="F441" s="5">
        <f t="shared" si="26"/>
        <v>7744</v>
      </c>
      <c r="G441" s="6">
        <f>SQRT(SUM($F$2:F441)/A441)</f>
        <v>1235.8949297058903</v>
      </c>
      <c r="H441" s="5">
        <f t="shared" si="27"/>
        <v>1</v>
      </c>
      <c r="I441" s="5">
        <f t="shared" si="28"/>
        <v>1</v>
      </c>
    </row>
    <row r="442" spans="1:9">
      <c r="A442">
        <v>441</v>
      </c>
      <c r="B442">
        <v>10</v>
      </c>
      <c r="C442">
        <v>6000</v>
      </c>
      <c r="D442">
        <v>5941</v>
      </c>
      <c r="E442" s="5">
        <f t="shared" si="25"/>
        <v>59</v>
      </c>
      <c r="F442" s="5">
        <f t="shared" si="26"/>
        <v>3481</v>
      </c>
      <c r="G442" s="6">
        <f>SQRT(SUM($F$2:F442)/A442)</f>
        <v>1234.496090059374</v>
      </c>
      <c r="H442" s="5">
        <f t="shared" si="27"/>
        <v>1</v>
      </c>
      <c r="I442" s="5">
        <f t="shared" si="28"/>
        <v>1</v>
      </c>
    </row>
    <row r="443" spans="1:9">
      <c r="A443">
        <v>442</v>
      </c>
      <c r="B443">
        <v>10</v>
      </c>
      <c r="C443">
        <v>6000</v>
      </c>
      <c r="D443">
        <v>5605</v>
      </c>
      <c r="E443" s="5">
        <f t="shared" si="25"/>
        <v>395</v>
      </c>
      <c r="F443" s="5">
        <f t="shared" si="26"/>
        <v>156025</v>
      </c>
      <c r="G443" s="6">
        <f>SQRT(SUM($F$2:F443)/A443)</f>
        <v>1233.2419366077952</v>
      </c>
      <c r="H443" s="5">
        <f t="shared" si="27"/>
        <v>1</v>
      </c>
      <c r="I443" s="5">
        <f t="shared" si="28"/>
        <v>1</v>
      </c>
    </row>
    <row r="444" spans="1:9">
      <c r="A444">
        <v>443</v>
      </c>
      <c r="B444">
        <v>11</v>
      </c>
      <c r="C444">
        <v>6000</v>
      </c>
      <c r="D444">
        <v>5975</v>
      </c>
      <c r="E444" s="5">
        <f t="shared" si="25"/>
        <v>25</v>
      </c>
      <c r="F444" s="5">
        <f t="shared" si="26"/>
        <v>625</v>
      </c>
      <c r="G444" s="6">
        <f>SQRT(SUM($F$2:F444)/A444)</f>
        <v>1231.8498019390377</v>
      </c>
      <c r="H444" s="5">
        <f t="shared" si="27"/>
        <v>1</v>
      </c>
      <c r="I444" s="5">
        <f t="shared" si="28"/>
        <v>1</v>
      </c>
    </row>
    <row r="445" spans="1:9">
      <c r="A445">
        <v>444</v>
      </c>
      <c r="B445">
        <v>10</v>
      </c>
      <c r="C445">
        <v>6000</v>
      </c>
      <c r="D445">
        <v>5673</v>
      </c>
      <c r="E445" s="5">
        <f t="shared" si="25"/>
        <v>327</v>
      </c>
      <c r="F445" s="5">
        <f t="shared" si="26"/>
        <v>106929</v>
      </c>
      <c r="G445" s="6">
        <f>SQRT(SUM($F$2:F445)/A445)</f>
        <v>1230.5596599013704</v>
      </c>
      <c r="H445" s="5">
        <f t="shared" si="27"/>
        <v>1</v>
      </c>
      <c r="I445" s="5">
        <f t="shared" si="28"/>
        <v>1</v>
      </c>
    </row>
    <row r="446" spans="1:9">
      <c r="A446">
        <v>445</v>
      </c>
      <c r="B446">
        <v>11</v>
      </c>
      <c r="C446">
        <v>6000</v>
      </c>
      <c r="D446">
        <v>6704</v>
      </c>
      <c r="E446" s="5">
        <f t="shared" si="25"/>
        <v>704</v>
      </c>
      <c r="F446" s="5">
        <f t="shared" si="26"/>
        <v>495616</v>
      </c>
      <c r="G446" s="6">
        <f>SQRT(SUM($F$2:F446)/A446)</f>
        <v>1229.629192302215</v>
      </c>
      <c r="H446" s="5">
        <f t="shared" si="27"/>
        <v>1</v>
      </c>
      <c r="I446" s="5">
        <f t="shared" si="28"/>
        <v>0</v>
      </c>
    </row>
    <row r="447" spans="1:9">
      <c r="A447">
        <v>446</v>
      </c>
      <c r="B447">
        <v>10</v>
      </c>
      <c r="C447">
        <v>6000</v>
      </c>
      <c r="D447">
        <v>6502</v>
      </c>
      <c r="E447" s="5">
        <f t="shared" si="25"/>
        <v>502</v>
      </c>
      <c r="F447" s="5">
        <f t="shared" si="26"/>
        <v>252004</v>
      </c>
      <c r="G447" s="6">
        <f>SQRT(SUM($F$2:F447)/A447)</f>
        <v>1228.4799039623977</v>
      </c>
      <c r="H447" s="5">
        <f t="shared" si="27"/>
        <v>1</v>
      </c>
      <c r="I447" s="5">
        <f t="shared" si="28"/>
        <v>1</v>
      </c>
    </row>
    <row r="448" spans="1:9">
      <c r="A448">
        <v>447</v>
      </c>
      <c r="B448">
        <v>10</v>
      </c>
      <c r="C448">
        <v>6000</v>
      </c>
      <c r="D448">
        <v>5574</v>
      </c>
      <c r="E448" s="5">
        <f t="shared" si="25"/>
        <v>426</v>
      </c>
      <c r="F448" s="5">
        <f t="shared" si="26"/>
        <v>181476</v>
      </c>
      <c r="G448" s="6">
        <f>SQRT(SUM($F$2:F448)/A448)</f>
        <v>1227.270409371187</v>
      </c>
      <c r="H448" s="5">
        <f t="shared" si="27"/>
        <v>1</v>
      </c>
      <c r="I448" s="5">
        <f t="shared" si="28"/>
        <v>1</v>
      </c>
    </row>
    <row r="449" spans="1:9">
      <c r="A449">
        <v>448</v>
      </c>
      <c r="B449">
        <v>11</v>
      </c>
      <c r="C449">
        <v>6000</v>
      </c>
      <c r="D449">
        <v>6576</v>
      </c>
      <c r="E449" s="5">
        <f t="shared" si="25"/>
        <v>576</v>
      </c>
      <c r="F449" s="5">
        <f t="shared" si="26"/>
        <v>331776</v>
      </c>
      <c r="G449" s="6">
        <f>SQRT(SUM($F$2:F449)/A449)</f>
        <v>1226.2019376775938</v>
      </c>
      <c r="H449" s="5">
        <f t="shared" si="27"/>
        <v>1</v>
      </c>
      <c r="I449" s="5">
        <f t="shared" si="28"/>
        <v>1</v>
      </c>
    </row>
    <row r="450" spans="1:9">
      <c r="A450">
        <v>449</v>
      </c>
      <c r="B450">
        <v>9</v>
      </c>
      <c r="C450">
        <v>6000</v>
      </c>
      <c r="D450">
        <v>5060</v>
      </c>
      <c r="E450" s="5">
        <f t="shared" si="25"/>
        <v>940</v>
      </c>
      <c r="F450" s="5">
        <f t="shared" si="26"/>
        <v>883600</v>
      </c>
      <c r="G450" s="6">
        <f>SQRT(SUM($F$2:F450)/A450)</f>
        <v>1225.6387762304009</v>
      </c>
      <c r="H450" s="5">
        <f t="shared" si="27"/>
        <v>1</v>
      </c>
      <c r="I450" s="5">
        <f t="shared" si="28"/>
        <v>0</v>
      </c>
    </row>
    <row r="451" spans="1:9">
      <c r="A451">
        <v>450</v>
      </c>
      <c r="B451">
        <v>11</v>
      </c>
      <c r="C451">
        <v>6000</v>
      </c>
      <c r="D451">
        <v>6633</v>
      </c>
      <c r="E451" s="5">
        <f t="shared" ref="E451:E514" si="29">ABS(C451-D451)</f>
        <v>633</v>
      </c>
      <c r="F451" s="5">
        <f t="shared" ref="F451:F514" si="30">POWER(E451,2)</f>
        <v>400689</v>
      </c>
      <c r="G451" s="6">
        <f>SQRT(SUM($F$2:F451)/A451)</f>
        <v>1224.6397955680229</v>
      </c>
      <c r="H451" s="5">
        <f t="shared" ref="H451:H514" si="31">IF(ABS(E451)/C451&gt;0.2,0,1)</f>
        <v>1</v>
      </c>
      <c r="I451" s="5">
        <f t="shared" ref="I451:I514" si="32">IF(ABS(E451)/C451&gt;0.1,0,1)</f>
        <v>0</v>
      </c>
    </row>
    <row r="452" spans="1:9">
      <c r="A452">
        <v>451</v>
      </c>
      <c r="B452">
        <v>10</v>
      </c>
      <c r="C452">
        <v>6000</v>
      </c>
      <c r="D452">
        <v>5804</v>
      </c>
      <c r="E452" s="5">
        <f t="shared" si="29"/>
        <v>196</v>
      </c>
      <c r="F452" s="5">
        <f t="shared" si="30"/>
        <v>38416</v>
      </c>
      <c r="G452" s="6">
        <f>SQRT(SUM($F$2:F452)/A452)</f>
        <v>1223.3161638787806</v>
      </c>
      <c r="H452" s="5">
        <f t="shared" si="31"/>
        <v>1</v>
      </c>
      <c r="I452" s="5">
        <f t="shared" si="32"/>
        <v>1</v>
      </c>
    </row>
    <row r="453" spans="1:9">
      <c r="A453">
        <v>452</v>
      </c>
      <c r="B453">
        <v>10</v>
      </c>
      <c r="C453">
        <v>6000</v>
      </c>
      <c r="D453">
        <v>6519</v>
      </c>
      <c r="E453" s="5">
        <f t="shared" si="29"/>
        <v>519</v>
      </c>
      <c r="F453" s="5">
        <f t="shared" si="30"/>
        <v>269361</v>
      </c>
      <c r="G453" s="6">
        <f>SQRT(SUM($F$2:F453)/A453)</f>
        <v>1222.20600641786</v>
      </c>
      <c r="H453" s="5">
        <f t="shared" si="31"/>
        <v>1</v>
      </c>
      <c r="I453" s="5">
        <f t="shared" si="32"/>
        <v>1</v>
      </c>
    </row>
    <row r="454" spans="1:9">
      <c r="A454">
        <v>453</v>
      </c>
      <c r="B454">
        <v>10</v>
      </c>
      <c r="C454">
        <v>6000</v>
      </c>
      <c r="D454">
        <v>6270</v>
      </c>
      <c r="E454" s="5">
        <f t="shared" si="29"/>
        <v>270</v>
      </c>
      <c r="F454" s="5">
        <f t="shared" si="30"/>
        <v>72900</v>
      </c>
      <c r="G454" s="6">
        <f>SQRT(SUM($F$2:F454)/A454)</f>
        <v>1220.9221535696954</v>
      </c>
      <c r="H454" s="5">
        <f t="shared" si="31"/>
        <v>1</v>
      </c>
      <c r="I454" s="5">
        <f t="shared" si="32"/>
        <v>1</v>
      </c>
    </row>
    <row r="455" spans="1:9">
      <c r="A455">
        <v>454</v>
      </c>
      <c r="B455">
        <v>10</v>
      </c>
      <c r="C455">
        <v>6000</v>
      </c>
      <c r="D455">
        <v>6578</v>
      </c>
      <c r="E455" s="5">
        <f t="shared" si="29"/>
        <v>578</v>
      </c>
      <c r="F455" s="5">
        <f t="shared" si="30"/>
        <v>334084</v>
      </c>
      <c r="G455" s="6">
        <f>SQRT(SUM($F$2:F455)/A455)</f>
        <v>1219.8784369276543</v>
      </c>
      <c r="H455" s="5">
        <f t="shared" si="31"/>
        <v>1</v>
      </c>
      <c r="I455" s="5">
        <f t="shared" si="32"/>
        <v>1</v>
      </c>
    </row>
    <row r="456" spans="1:9">
      <c r="A456">
        <v>455</v>
      </c>
      <c r="B456">
        <v>9</v>
      </c>
      <c r="C456">
        <v>6000</v>
      </c>
      <c r="D456">
        <v>5038</v>
      </c>
      <c r="E456" s="5">
        <f t="shared" si="29"/>
        <v>962</v>
      </c>
      <c r="F456" s="5">
        <f t="shared" si="30"/>
        <v>925444</v>
      </c>
      <c r="G456" s="6">
        <f>SQRT(SUM($F$2:F456)/A456)</f>
        <v>1219.3714720351575</v>
      </c>
      <c r="H456" s="5">
        <f t="shared" si="31"/>
        <v>1</v>
      </c>
      <c r="I456" s="5">
        <f t="shared" si="32"/>
        <v>0</v>
      </c>
    </row>
    <row r="457" spans="1:9">
      <c r="A457">
        <v>456</v>
      </c>
      <c r="B457">
        <v>11</v>
      </c>
      <c r="C457">
        <v>6000</v>
      </c>
      <c r="D457">
        <v>6781</v>
      </c>
      <c r="E457" s="5">
        <f t="shared" si="29"/>
        <v>781</v>
      </c>
      <c r="F457" s="5">
        <f t="shared" si="30"/>
        <v>609961</v>
      </c>
      <c r="G457" s="6">
        <f>SQRT(SUM($F$2:F457)/A457)</f>
        <v>1218.5826799224653</v>
      </c>
      <c r="H457" s="5">
        <f t="shared" si="31"/>
        <v>1</v>
      </c>
      <c r="I457" s="5">
        <f t="shared" si="32"/>
        <v>0</v>
      </c>
    </row>
    <row r="458" spans="1:9">
      <c r="A458">
        <v>457</v>
      </c>
      <c r="B458">
        <v>9</v>
      </c>
      <c r="C458">
        <v>6000</v>
      </c>
      <c r="D458">
        <v>5608</v>
      </c>
      <c r="E458" s="5">
        <f t="shared" si="29"/>
        <v>392</v>
      </c>
      <c r="F458" s="5">
        <f t="shared" si="30"/>
        <v>153664</v>
      </c>
      <c r="G458" s="6">
        <f>SQRT(SUM($F$2:F458)/A458)</f>
        <v>1217.3868173344467</v>
      </c>
      <c r="H458" s="5">
        <f t="shared" si="31"/>
        <v>1</v>
      </c>
      <c r="I458" s="5">
        <f t="shared" si="32"/>
        <v>1</v>
      </c>
    </row>
    <row r="459" spans="1:9">
      <c r="A459">
        <v>458</v>
      </c>
      <c r="B459">
        <v>10</v>
      </c>
      <c r="C459">
        <v>6000</v>
      </c>
      <c r="D459">
        <v>5851</v>
      </c>
      <c r="E459" s="5">
        <f t="shared" si="29"/>
        <v>149</v>
      </c>
      <c r="F459" s="5">
        <f t="shared" si="30"/>
        <v>22201</v>
      </c>
      <c r="G459" s="6">
        <f>SQRT(SUM($F$2:F459)/A459)</f>
        <v>1216.0769967435176</v>
      </c>
      <c r="H459" s="5">
        <f t="shared" si="31"/>
        <v>1</v>
      </c>
      <c r="I459" s="5">
        <f t="shared" si="32"/>
        <v>1</v>
      </c>
    </row>
    <row r="460" spans="1:9">
      <c r="A460">
        <v>459</v>
      </c>
      <c r="B460">
        <v>10</v>
      </c>
      <c r="C460">
        <v>6000</v>
      </c>
      <c r="D460">
        <v>5531</v>
      </c>
      <c r="E460" s="5">
        <f t="shared" si="29"/>
        <v>469</v>
      </c>
      <c r="F460" s="5">
        <f t="shared" si="30"/>
        <v>219961</v>
      </c>
      <c r="G460" s="6">
        <f>SQRT(SUM($F$2:F460)/A460)</f>
        <v>1214.9488051471717</v>
      </c>
      <c r="H460" s="5">
        <f t="shared" si="31"/>
        <v>1</v>
      </c>
      <c r="I460" s="5">
        <f t="shared" si="32"/>
        <v>1</v>
      </c>
    </row>
    <row r="461" spans="1:9">
      <c r="A461">
        <v>460</v>
      </c>
      <c r="B461">
        <v>11</v>
      </c>
      <c r="C461">
        <v>6000</v>
      </c>
      <c r="D461">
        <v>6335</v>
      </c>
      <c r="E461" s="5">
        <f t="shared" si="29"/>
        <v>335</v>
      </c>
      <c r="F461" s="5">
        <f t="shared" si="30"/>
        <v>112225</v>
      </c>
      <c r="G461" s="6">
        <f>SQRT(SUM($F$2:F461)/A461)</f>
        <v>1213.727997606512</v>
      </c>
      <c r="H461" s="5">
        <f t="shared" si="31"/>
        <v>1</v>
      </c>
      <c r="I461" s="5">
        <f t="shared" si="32"/>
        <v>1</v>
      </c>
    </row>
    <row r="462" spans="1:9">
      <c r="A462">
        <v>461</v>
      </c>
      <c r="B462">
        <v>10</v>
      </c>
      <c r="C462">
        <v>6000</v>
      </c>
      <c r="D462">
        <v>5857</v>
      </c>
      <c r="E462" s="5">
        <f t="shared" si="29"/>
        <v>143</v>
      </c>
      <c r="F462" s="5">
        <f t="shared" si="30"/>
        <v>20449</v>
      </c>
      <c r="G462" s="6">
        <f>SQRT(SUM($F$2:F462)/A462)</f>
        <v>1212.4291682689816</v>
      </c>
      <c r="H462" s="5">
        <f t="shared" si="31"/>
        <v>1</v>
      </c>
      <c r="I462" s="5">
        <f t="shared" si="32"/>
        <v>1</v>
      </c>
    </row>
    <row r="463" spans="1:9">
      <c r="A463">
        <v>462</v>
      </c>
      <c r="B463">
        <v>10</v>
      </c>
      <c r="C463">
        <v>6000</v>
      </c>
      <c r="D463">
        <v>5654</v>
      </c>
      <c r="E463" s="5">
        <f t="shared" si="29"/>
        <v>346</v>
      </c>
      <c r="F463" s="5">
        <f t="shared" si="30"/>
        <v>119716</v>
      </c>
      <c r="G463" s="6">
        <f>SQRT(SUM($F$2:F463)/A463)</f>
        <v>1211.2232779319959</v>
      </c>
      <c r="H463" s="5">
        <f t="shared" si="31"/>
        <v>1</v>
      </c>
      <c r="I463" s="5">
        <f t="shared" si="32"/>
        <v>1</v>
      </c>
    </row>
    <row r="464" spans="1:9">
      <c r="A464">
        <v>463</v>
      </c>
      <c r="B464">
        <v>11</v>
      </c>
      <c r="C464">
        <v>6000</v>
      </c>
      <c r="D464">
        <v>6172</v>
      </c>
      <c r="E464" s="5">
        <f t="shared" si="29"/>
        <v>172</v>
      </c>
      <c r="F464" s="5">
        <f t="shared" si="30"/>
        <v>29584</v>
      </c>
      <c r="G464" s="6">
        <f>SQRT(SUM($F$2:F464)/A464)</f>
        <v>1209.9409594149536</v>
      </c>
      <c r="H464" s="5">
        <f t="shared" si="31"/>
        <v>1</v>
      </c>
      <c r="I464" s="5">
        <f t="shared" si="32"/>
        <v>1</v>
      </c>
    </row>
    <row r="465" spans="1:9">
      <c r="A465">
        <v>464</v>
      </c>
      <c r="B465">
        <v>10</v>
      </c>
      <c r="C465">
        <v>6000</v>
      </c>
      <c r="D465">
        <v>5956</v>
      </c>
      <c r="E465" s="5">
        <f t="shared" si="29"/>
        <v>44</v>
      </c>
      <c r="F465" s="5">
        <f t="shared" si="30"/>
        <v>1936</v>
      </c>
      <c r="G465" s="6">
        <f>SQRT(SUM($F$2:F465)/A465)</f>
        <v>1208.6381665628526</v>
      </c>
      <c r="H465" s="5">
        <f t="shared" si="31"/>
        <v>1</v>
      </c>
      <c r="I465" s="5">
        <f t="shared" si="32"/>
        <v>1</v>
      </c>
    </row>
    <row r="466" spans="1:9">
      <c r="A466">
        <v>465</v>
      </c>
      <c r="B466">
        <v>10</v>
      </c>
      <c r="C466">
        <v>6000</v>
      </c>
      <c r="D466">
        <v>5672</v>
      </c>
      <c r="E466" s="5">
        <f t="shared" si="29"/>
        <v>328</v>
      </c>
      <c r="F466" s="5">
        <f t="shared" si="30"/>
        <v>107584</v>
      </c>
      <c r="G466" s="6">
        <f>SQRT(SUM($F$2:F466)/A466)</f>
        <v>1207.4336678946763</v>
      </c>
      <c r="H466" s="5">
        <f t="shared" si="31"/>
        <v>1</v>
      </c>
      <c r="I466" s="5">
        <f t="shared" si="32"/>
        <v>1</v>
      </c>
    </row>
    <row r="467" spans="1:9">
      <c r="A467">
        <v>466</v>
      </c>
      <c r="B467">
        <v>11</v>
      </c>
      <c r="C467">
        <v>6000</v>
      </c>
      <c r="D467">
        <v>6061</v>
      </c>
      <c r="E467" s="5">
        <f t="shared" si="29"/>
        <v>61</v>
      </c>
      <c r="F467" s="5">
        <f t="shared" si="30"/>
        <v>3721</v>
      </c>
      <c r="G467" s="6">
        <f>SQRT(SUM($F$2:F467)/A467)</f>
        <v>1206.1407525746981</v>
      </c>
      <c r="H467" s="5">
        <f t="shared" si="31"/>
        <v>1</v>
      </c>
      <c r="I467" s="5">
        <f t="shared" si="32"/>
        <v>1</v>
      </c>
    </row>
    <row r="468" spans="1:9">
      <c r="A468">
        <v>467</v>
      </c>
      <c r="B468">
        <v>10</v>
      </c>
      <c r="C468">
        <v>6000</v>
      </c>
      <c r="D468">
        <v>5392</v>
      </c>
      <c r="E468" s="5">
        <f t="shared" si="29"/>
        <v>608</v>
      </c>
      <c r="F468" s="5">
        <f t="shared" si="30"/>
        <v>369664</v>
      </c>
      <c r="G468" s="6">
        <f>SQRT(SUM($F$2:F468)/A468)</f>
        <v>1205.1771387477324</v>
      </c>
      <c r="H468" s="5">
        <f t="shared" si="31"/>
        <v>1</v>
      </c>
      <c r="I468" s="5">
        <f t="shared" si="32"/>
        <v>0</v>
      </c>
    </row>
    <row r="469" spans="1:9">
      <c r="A469">
        <v>468</v>
      </c>
      <c r="B469">
        <v>11</v>
      </c>
      <c r="C469">
        <v>6000</v>
      </c>
      <c r="D469">
        <v>6713</v>
      </c>
      <c r="E469" s="5">
        <f t="shared" si="29"/>
        <v>713</v>
      </c>
      <c r="F469" s="5">
        <f t="shared" si="30"/>
        <v>508369</v>
      </c>
      <c r="G469" s="6">
        <f>SQRT(SUM($F$2:F469)/A469)</f>
        <v>1204.3399289776598</v>
      </c>
      <c r="H469" s="5">
        <f t="shared" si="31"/>
        <v>1</v>
      </c>
      <c r="I469" s="5">
        <f t="shared" si="32"/>
        <v>0</v>
      </c>
    </row>
    <row r="470" spans="1:9">
      <c r="A470">
        <v>469</v>
      </c>
      <c r="B470">
        <v>9</v>
      </c>
      <c r="C470">
        <v>6000</v>
      </c>
      <c r="D470">
        <v>5109</v>
      </c>
      <c r="E470" s="5">
        <f t="shared" si="29"/>
        <v>891</v>
      </c>
      <c r="F470" s="5">
        <f t="shared" si="30"/>
        <v>793881</v>
      </c>
      <c r="G470" s="6">
        <f>SQRT(SUM($F$2:F470)/A470)</f>
        <v>1203.7585984433199</v>
      </c>
      <c r="H470" s="5">
        <f t="shared" si="31"/>
        <v>1</v>
      </c>
      <c r="I470" s="5">
        <f t="shared" si="32"/>
        <v>0</v>
      </c>
    </row>
    <row r="471" spans="1:9">
      <c r="A471">
        <v>470</v>
      </c>
      <c r="B471">
        <v>11</v>
      </c>
      <c r="C471">
        <v>6000</v>
      </c>
      <c r="D471">
        <v>7003</v>
      </c>
      <c r="E471" s="5">
        <f t="shared" si="29"/>
        <v>1003</v>
      </c>
      <c r="F471" s="5">
        <f t="shared" si="30"/>
        <v>1006009</v>
      </c>
      <c r="G471" s="6">
        <f>SQRT(SUM($F$2:F471)/A471)</f>
        <v>1203.3670077408426</v>
      </c>
      <c r="H471" s="5">
        <f t="shared" si="31"/>
        <v>1</v>
      </c>
      <c r="I471" s="5">
        <f t="shared" si="32"/>
        <v>0</v>
      </c>
    </row>
    <row r="472" spans="1:9">
      <c r="A472">
        <v>471</v>
      </c>
      <c r="B472">
        <v>9</v>
      </c>
      <c r="C472">
        <v>6000</v>
      </c>
      <c r="D472">
        <v>5709</v>
      </c>
      <c r="E472" s="5">
        <f t="shared" si="29"/>
        <v>291</v>
      </c>
      <c r="F472" s="5">
        <f t="shared" si="30"/>
        <v>84681</v>
      </c>
      <c r="G472" s="6">
        <f>SQRT(SUM($F$2:F472)/A472)</f>
        <v>1202.1636492135528</v>
      </c>
      <c r="H472" s="5">
        <f t="shared" si="31"/>
        <v>1</v>
      </c>
      <c r="I472" s="5">
        <f t="shared" si="32"/>
        <v>1</v>
      </c>
    </row>
    <row r="473" spans="1:9">
      <c r="A473">
        <v>472</v>
      </c>
      <c r="B473">
        <v>11</v>
      </c>
      <c r="C473">
        <v>6000</v>
      </c>
      <c r="D473">
        <v>8172</v>
      </c>
      <c r="E473" s="5">
        <f t="shared" si="29"/>
        <v>2172</v>
      </c>
      <c r="F473" s="5">
        <f t="shared" si="30"/>
        <v>4717584</v>
      </c>
      <c r="G473" s="6">
        <f>SQRT(SUM($F$2:F473)/A473)</f>
        <v>1205.0437593151573</v>
      </c>
      <c r="H473" s="5">
        <f t="shared" si="31"/>
        <v>0</v>
      </c>
      <c r="I473" s="5">
        <f t="shared" si="32"/>
        <v>0</v>
      </c>
    </row>
    <row r="474" spans="1:9">
      <c r="A474">
        <v>473</v>
      </c>
      <c r="B474">
        <v>7</v>
      </c>
      <c r="C474">
        <v>6000</v>
      </c>
      <c r="D474">
        <v>5652</v>
      </c>
      <c r="E474" s="5">
        <f t="shared" si="29"/>
        <v>348</v>
      </c>
      <c r="F474" s="5">
        <f t="shared" si="30"/>
        <v>121104</v>
      </c>
      <c r="G474" s="6">
        <f>SQRT(SUM($F$2:F474)/A474)</f>
        <v>1203.8755967421591</v>
      </c>
      <c r="H474" s="5">
        <f t="shared" si="31"/>
        <v>1</v>
      </c>
      <c r="I474" s="5">
        <f t="shared" si="32"/>
        <v>1</v>
      </c>
    </row>
    <row r="475" spans="1:9">
      <c r="A475">
        <v>474</v>
      </c>
      <c r="B475">
        <v>10</v>
      </c>
      <c r="C475">
        <v>6000</v>
      </c>
      <c r="D475">
        <v>9488</v>
      </c>
      <c r="E475" s="5">
        <f t="shared" si="29"/>
        <v>3488</v>
      </c>
      <c r="F475" s="5">
        <f t="shared" si="30"/>
        <v>12166144</v>
      </c>
      <c r="G475" s="6">
        <f>SQRT(SUM($F$2:F475)/A475)</f>
        <v>1213.2294891111678</v>
      </c>
      <c r="H475" s="5">
        <f t="shared" si="31"/>
        <v>0</v>
      </c>
      <c r="I475" s="5">
        <f t="shared" si="32"/>
        <v>0</v>
      </c>
    </row>
    <row r="476" spans="1:9">
      <c r="A476">
        <v>475</v>
      </c>
      <c r="B476">
        <v>5</v>
      </c>
      <c r="C476">
        <v>6000</v>
      </c>
      <c r="D476">
        <v>5473</v>
      </c>
      <c r="E476" s="5">
        <f t="shared" si="29"/>
        <v>527</v>
      </c>
      <c r="F476" s="5">
        <f t="shared" si="30"/>
        <v>277729</v>
      </c>
      <c r="G476" s="6">
        <f>SQRT(SUM($F$2:F476)/A476)</f>
        <v>1212.1929280179959</v>
      </c>
      <c r="H476" s="5">
        <f t="shared" si="31"/>
        <v>1</v>
      </c>
      <c r="I476" s="5">
        <f t="shared" si="32"/>
        <v>1</v>
      </c>
    </row>
    <row r="477" spans="1:9">
      <c r="A477">
        <v>476</v>
      </c>
      <c r="B477">
        <v>10</v>
      </c>
      <c r="C477">
        <v>6000</v>
      </c>
      <c r="D477">
        <v>10258</v>
      </c>
      <c r="E477" s="5">
        <f t="shared" si="29"/>
        <v>4258</v>
      </c>
      <c r="F477" s="5">
        <f t="shared" si="30"/>
        <v>18130564</v>
      </c>
      <c r="G477" s="6">
        <f>SQRT(SUM($F$2:F477)/A477)</f>
        <v>1226.5456027177377</v>
      </c>
      <c r="H477" s="5">
        <f t="shared" si="31"/>
        <v>0</v>
      </c>
      <c r="I477" s="5">
        <f t="shared" si="32"/>
        <v>0</v>
      </c>
    </row>
    <row r="478" spans="1:9">
      <c r="A478">
        <v>477</v>
      </c>
      <c r="B478">
        <v>3</v>
      </c>
      <c r="C478">
        <v>6000</v>
      </c>
      <c r="D478">
        <v>3699</v>
      </c>
      <c r="E478" s="5">
        <f t="shared" si="29"/>
        <v>2301</v>
      </c>
      <c r="F478" s="5">
        <f t="shared" si="30"/>
        <v>5294601</v>
      </c>
      <c r="G478" s="6">
        <f>SQRT(SUM($F$2:F478)/A478)</f>
        <v>1229.7804682137378</v>
      </c>
      <c r="H478" s="5">
        <f t="shared" si="31"/>
        <v>0</v>
      </c>
      <c r="I478" s="5">
        <f t="shared" si="32"/>
        <v>0</v>
      </c>
    </row>
    <row r="479" spans="1:9">
      <c r="A479">
        <v>478</v>
      </c>
      <c r="B479">
        <v>11</v>
      </c>
      <c r="C479">
        <v>6000</v>
      </c>
      <c r="D479">
        <v>9991</v>
      </c>
      <c r="E479" s="5">
        <f t="shared" si="29"/>
        <v>3991</v>
      </c>
      <c r="F479" s="5">
        <f t="shared" si="30"/>
        <v>15928081</v>
      </c>
      <c r="G479" s="6">
        <f>SQRT(SUM($F$2:F479)/A479)</f>
        <v>1241.9816472612995</v>
      </c>
      <c r="H479" s="5">
        <f t="shared" si="31"/>
        <v>0</v>
      </c>
      <c r="I479" s="5">
        <f t="shared" si="32"/>
        <v>0</v>
      </c>
    </row>
    <row r="480" spans="1:9">
      <c r="A480">
        <v>479</v>
      </c>
      <c r="B480">
        <v>3</v>
      </c>
      <c r="C480">
        <v>6000</v>
      </c>
      <c r="D480">
        <v>4077</v>
      </c>
      <c r="E480" s="5">
        <f t="shared" si="29"/>
        <v>1923</v>
      </c>
      <c r="F480" s="5">
        <f t="shared" si="30"/>
        <v>3697929</v>
      </c>
      <c r="G480" s="6">
        <f>SQRT(SUM($F$2:F480)/A480)</f>
        <v>1243.7918738558026</v>
      </c>
      <c r="H480" s="5">
        <f t="shared" si="31"/>
        <v>0</v>
      </c>
      <c r="I480" s="5">
        <f t="shared" si="32"/>
        <v>0</v>
      </c>
    </row>
    <row r="481" spans="1:9">
      <c r="A481">
        <v>480</v>
      </c>
      <c r="B481">
        <v>10</v>
      </c>
      <c r="C481">
        <v>6000</v>
      </c>
      <c r="D481">
        <v>10117</v>
      </c>
      <c r="E481" s="5">
        <f t="shared" si="29"/>
        <v>4117</v>
      </c>
      <c r="F481" s="5">
        <f t="shared" si="30"/>
        <v>16949689</v>
      </c>
      <c r="G481" s="6">
        <f>SQRT(SUM($F$2:F481)/A481)</f>
        <v>1256.6252913723592</v>
      </c>
      <c r="H481" s="5">
        <f t="shared" si="31"/>
        <v>0</v>
      </c>
      <c r="I481" s="5">
        <f t="shared" si="32"/>
        <v>0</v>
      </c>
    </row>
    <row r="482" spans="1:9">
      <c r="A482">
        <v>481</v>
      </c>
      <c r="B482">
        <v>3</v>
      </c>
      <c r="C482">
        <v>6000</v>
      </c>
      <c r="D482">
        <v>3986</v>
      </c>
      <c r="E482" s="5">
        <f t="shared" si="29"/>
        <v>2014</v>
      </c>
      <c r="F482" s="5">
        <f t="shared" si="30"/>
        <v>4056196</v>
      </c>
      <c r="G482" s="6">
        <f>SQRT(SUM($F$2:F482)/A482)</f>
        <v>1258.6727119636764</v>
      </c>
      <c r="H482" s="5">
        <f t="shared" si="31"/>
        <v>0</v>
      </c>
      <c r="I482" s="5">
        <f t="shared" si="32"/>
        <v>0</v>
      </c>
    </row>
    <row r="483" spans="1:9">
      <c r="A483">
        <v>482</v>
      </c>
      <c r="B483">
        <v>10</v>
      </c>
      <c r="C483">
        <v>6000</v>
      </c>
      <c r="D483">
        <v>11069</v>
      </c>
      <c r="E483" s="5">
        <f t="shared" si="29"/>
        <v>5069</v>
      </c>
      <c r="F483" s="5">
        <f t="shared" si="30"/>
        <v>25694761</v>
      </c>
      <c r="G483" s="6">
        <f>SQRT(SUM($F$2:F483)/A483)</f>
        <v>1278.3891380881421</v>
      </c>
      <c r="H483" s="5">
        <f t="shared" si="31"/>
        <v>0</v>
      </c>
      <c r="I483" s="5">
        <f t="shared" si="32"/>
        <v>0</v>
      </c>
    </row>
    <row r="484" spans="1:9">
      <c r="A484">
        <v>483</v>
      </c>
      <c r="B484">
        <v>1</v>
      </c>
      <c r="C484">
        <v>6000</v>
      </c>
      <c r="D484">
        <v>1205</v>
      </c>
      <c r="E484" s="5">
        <f t="shared" si="29"/>
        <v>4795</v>
      </c>
      <c r="F484" s="5">
        <f t="shared" si="30"/>
        <v>22992025</v>
      </c>
      <c r="G484" s="6">
        <f>SQRT(SUM($F$2:F484)/A484)</f>
        <v>1295.5684947688721</v>
      </c>
      <c r="H484" s="5">
        <f t="shared" si="31"/>
        <v>0</v>
      </c>
      <c r="I484" s="5">
        <f t="shared" si="32"/>
        <v>0</v>
      </c>
    </row>
    <row r="485" spans="1:9">
      <c r="A485">
        <v>484</v>
      </c>
      <c r="B485">
        <v>13</v>
      </c>
      <c r="C485">
        <v>6000</v>
      </c>
      <c r="D485">
        <v>8233</v>
      </c>
      <c r="E485" s="5">
        <f t="shared" si="29"/>
        <v>2233</v>
      </c>
      <c r="F485" s="5">
        <f t="shared" si="30"/>
        <v>4986289</v>
      </c>
      <c r="G485" s="6">
        <f>SQRT(SUM($F$2:F485)/A485)</f>
        <v>1298.2033754894615</v>
      </c>
      <c r="H485" s="5">
        <f t="shared" si="31"/>
        <v>0</v>
      </c>
      <c r="I485" s="5">
        <f t="shared" si="32"/>
        <v>0</v>
      </c>
    </row>
    <row r="486" spans="1:9">
      <c r="A486">
        <v>485</v>
      </c>
      <c r="B486">
        <v>4</v>
      </c>
      <c r="C486">
        <v>6000</v>
      </c>
      <c r="D486">
        <v>984</v>
      </c>
      <c r="E486" s="5">
        <f t="shared" si="29"/>
        <v>5016</v>
      </c>
      <c r="F486" s="5">
        <f t="shared" si="30"/>
        <v>25160256</v>
      </c>
      <c r="G486" s="6">
        <f>SQRT(SUM($F$2:F486)/A486)</f>
        <v>1316.7132980563197</v>
      </c>
      <c r="H486" s="5">
        <f t="shared" si="31"/>
        <v>0</v>
      </c>
      <c r="I486" s="5">
        <f t="shared" si="32"/>
        <v>0</v>
      </c>
    </row>
    <row r="487" spans="1:9">
      <c r="A487">
        <v>486</v>
      </c>
      <c r="B487">
        <v>14</v>
      </c>
      <c r="C487">
        <v>6000</v>
      </c>
      <c r="D487">
        <v>7703</v>
      </c>
      <c r="E487" s="5">
        <f t="shared" si="29"/>
        <v>1703</v>
      </c>
      <c r="F487" s="5">
        <f t="shared" si="30"/>
        <v>2900209</v>
      </c>
      <c r="G487" s="6">
        <f>SQRT(SUM($F$2:F487)/A487)</f>
        <v>1317.6244016357653</v>
      </c>
      <c r="H487" s="5">
        <f t="shared" si="31"/>
        <v>0</v>
      </c>
      <c r="I487" s="5">
        <f t="shared" si="32"/>
        <v>0</v>
      </c>
    </row>
    <row r="488" spans="1:9">
      <c r="A488">
        <v>487</v>
      </c>
      <c r="B488">
        <v>6</v>
      </c>
      <c r="C488">
        <v>6000</v>
      </c>
      <c r="D488">
        <v>6963</v>
      </c>
      <c r="E488" s="5">
        <f t="shared" si="29"/>
        <v>963</v>
      </c>
      <c r="F488" s="5">
        <f t="shared" si="30"/>
        <v>927369</v>
      </c>
      <c r="G488" s="6">
        <f>SQRT(SUM($F$2:F488)/A488)</f>
        <v>1316.9940604407218</v>
      </c>
      <c r="H488" s="5">
        <f t="shared" si="31"/>
        <v>1</v>
      </c>
      <c r="I488" s="5">
        <f t="shared" si="32"/>
        <v>0</v>
      </c>
    </row>
    <row r="489" spans="1:9">
      <c r="A489">
        <v>488</v>
      </c>
      <c r="B489">
        <v>6</v>
      </c>
      <c r="C489">
        <v>6000</v>
      </c>
      <c r="D489">
        <v>6760</v>
      </c>
      <c r="E489" s="5">
        <f t="shared" si="29"/>
        <v>760</v>
      </c>
      <c r="F489" s="5">
        <f t="shared" si="30"/>
        <v>577600</v>
      </c>
      <c r="G489" s="6">
        <f>SQRT(SUM($F$2:F489)/A489)</f>
        <v>1316.0937326477754</v>
      </c>
      <c r="H489" s="5">
        <f t="shared" si="31"/>
        <v>1</v>
      </c>
      <c r="I489" s="5">
        <f t="shared" si="32"/>
        <v>0</v>
      </c>
    </row>
    <row r="490" spans="1:9">
      <c r="A490">
        <v>489</v>
      </c>
      <c r="B490">
        <v>6</v>
      </c>
      <c r="C490">
        <v>6000</v>
      </c>
      <c r="D490">
        <v>6922</v>
      </c>
      <c r="E490" s="5">
        <f t="shared" si="29"/>
        <v>922</v>
      </c>
      <c r="F490" s="5">
        <f t="shared" si="30"/>
        <v>850084</v>
      </c>
      <c r="G490" s="6">
        <f>SQRT(SUM($F$2:F490)/A490)</f>
        <v>1315.4082992991305</v>
      </c>
      <c r="H490" s="5">
        <f t="shared" si="31"/>
        <v>1</v>
      </c>
      <c r="I490" s="5">
        <f t="shared" si="32"/>
        <v>0</v>
      </c>
    </row>
    <row r="491" spans="1:9">
      <c r="A491">
        <v>490</v>
      </c>
      <c r="B491">
        <v>6</v>
      </c>
      <c r="C491">
        <v>6000</v>
      </c>
      <c r="D491">
        <v>7102</v>
      </c>
      <c r="E491" s="5">
        <f t="shared" si="29"/>
        <v>1102</v>
      </c>
      <c r="F491" s="5">
        <f t="shared" si="30"/>
        <v>1214404</v>
      </c>
      <c r="G491" s="6">
        <f>SQRT(SUM($F$2:F491)/A491)</f>
        <v>1315.0080406365489</v>
      </c>
      <c r="H491" s="5">
        <f t="shared" si="31"/>
        <v>1</v>
      </c>
      <c r="I491" s="5">
        <f t="shared" si="32"/>
        <v>0</v>
      </c>
    </row>
    <row r="492" spans="1:9">
      <c r="A492">
        <v>491</v>
      </c>
      <c r="B492">
        <v>6</v>
      </c>
      <c r="C492">
        <v>6000</v>
      </c>
      <c r="D492">
        <v>6524</v>
      </c>
      <c r="E492" s="5">
        <f t="shared" si="29"/>
        <v>524</v>
      </c>
      <c r="F492" s="5">
        <f t="shared" si="30"/>
        <v>274576</v>
      </c>
      <c r="G492" s="6">
        <f>SQRT(SUM($F$2:F492)/A492)</f>
        <v>1313.8810747609814</v>
      </c>
      <c r="H492" s="5">
        <f t="shared" si="31"/>
        <v>1</v>
      </c>
      <c r="I492" s="5">
        <f t="shared" si="32"/>
        <v>1</v>
      </c>
    </row>
    <row r="493" spans="1:9">
      <c r="A493">
        <v>492</v>
      </c>
      <c r="B493">
        <v>6</v>
      </c>
      <c r="C493">
        <v>6000</v>
      </c>
      <c r="D493">
        <v>5726</v>
      </c>
      <c r="E493" s="5">
        <f t="shared" si="29"/>
        <v>274</v>
      </c>
      <c r="F493" s="5">
        <f t="shared" si="30"/>
        <v>75076</v>
      </c>
      <c r="G493" s="6">
        <f>SQRT(SUM($F$2:F493)/A493)</f>
        <v>1312.6032781665824</v>
      </c>
      <c r="H493" s="5">
        <f t="shared" si="31"/>
        <v>1</v>
      </c>
      <c r="I493" s="5">
        <f t="shared" si="32"/>
        <v>1</v>
      </c>
    </row>
    <row r="494" spans="1:9">
      <c r="A494">
        <v>493</v>
      </c>
      <c r="B494">
        <v>7</v>
      </c>
      <c r="C494">
        <v>6000</v>
      </c>
      <c r="D494">
        <v>7558</v>
      </c>
      <c r="E494" s="5">
        <f t="shared" si="29"/>
        <v>1558</v>
      </c>
      <c r="F494" s="5">
        <f t="shared" si="30"/>
        <v>2427364</v>
      </c>
      <c r="G494" s="6">
        <f>SQRT(SUM($F$2:F494)/A494)</f>
        <v>1313.1474568408942</v>
      </c>
      <c r="H494" s="5">
        <f t="shared" si="31"/>
        <v>0</v>
      </c>
      <c r="I494" s="5">
        <f t="shared" si="32"/>
        <v>0</v>
      </c>
    </row>
    <row r="495" spans="1:9">
      <c r="A495">
        <v>494</v>
      </c>
      <c r="B495">
        <v>5</v>
      </c>
      <c r="C495">
        <v>6000</v>
      </c>
      <c r="D495">
        <v>5239</v>
      </c>
      <c r="E495" s="5">
        <f t="shared" si="29"/>
        <v>761</v>
      </c>
      <c r="F495" s="5">
        <f t="shared" si="30"/>
        <v>579121</v>
      </c>
      <c r="G495" s="6">
        <f>SQRT(SUM($F$2:F495)/A495)</f>
        <v>1312.2644373148637</v>
      </c>
      <c r="H495" s="5">
        <f t="shared" si="31"/>
        <v>1</v>
      </c>
      <c r="I495" s="5">
        <f t="shared" si="32"/>
        <v>0</v>
      </c>
    </row>
    <row r="496" spans="1:9">
      <c r="A496">
        <v>495</v>
      </c>
      <c r="B496">
        <v>7</v>
      </c>
      <c r="C496">
        <v>6000</v>
      </c>
      <c r="D496">
        <v>8415</v>
      </c>
      <c r="E496" s="5">
        <f t="shared" si="29"/>
        <v>2415</v>
      </c>
      <c r="F496" s="5">
        <f t="shared" si="30"/>
        <v>5832225</v>
      </c>
      <c r="G496" s="6">
        <f>SQRT(SUM($F$2:F496)/A496)</f>
        <v>1315.4244036113066</v>
      </c>
      <c r="H496" s="5">
        <f t="shared" si="31"/>
        <v>0</v>
      </c>
      <c r="I496" s="5">
        <f t="shared" si="32"/>
        <v>0</v>
      </c>
    </row>
    <row r="497" spans="1:9">
      <c r="A497">
        <v>496</v>
      </c>
      <c r="B497">
        <v>3</v>
      </c>
      <c r="C497">
        <v>6000</v>
      </c>
      <c r="D497">
        <v>4104</v>
      </c>
      <c r="E497" s="5">
        <f t="shared" si="29"/>
        <v>1896</v>
      </c>
      <c r="F497" s="5">
        <f t="shared" si="30"/>
        <v>3594816</v>
      </c>
      <c r="G497" s="6">
        <f>SQRT(SUM($F$2:F497)/A497)</f>
        <v>1316.8524530350833</v>
      </c>
      <c r="H497" s="5">
        <f t="shared" si="31"/>
        <v>0</v>
      </c>
      <c r="I497" s="5">
        <f t="shared" si="32"/>
        <v>0</v>
      </c>
    </row>
    <row r="498" spans="1:9">
      <c r="A498">
        <v>497</v>
      </c>
      <c r="B498">
        <v>8</v>
      </c>
      <c r="C498">
        <v>6000</v>
      </c>
      <c r="D498">
        <v>9421</v>
      </c>
      <c r="E498" s="5">
        <f t="shared" si="29"/>
        <v>3421</v>
      </c>
      <c r="F498" s="5">
        <f t="shared" si="30"/>
        <v>11703241</v>
      </c>
      <c r="G498" s="6">
        <f>SQRT(SUM($F$2:F498)/A498)</f>
        <v>1324.4466829950459</v>
      </c>
      <c r="H498" s="5">
        <f t="shared" si="31"/>
        <v>0</v>
      </c>
      <c r="I498" s="5">
        <f t="shared" si="32"/>
        <v>0</v>
      </c>
    </row>
    <row r="499" spans="1:9">
      <c r="A499">
        <v>498</v>
      </c>
      <c r="B499">
        <v>2</v>
      </c>
      <c r="C499">
        <v>6000</v>
      </c>
      <c r="D499">
        <v>2675</v>
      </c>
      <c r="E499" s="5">
        <f t="shared" si="29"/>
        <v>3325</v>
      </c>
      <c r="F499" s="5">
        <f t="shared" si="30"/>
        <v>11055625</v>
      </c>
      <c r="G499" s="6">
        <f>SQRT(SUM($F$2:F499)/A499)</f>
        <v>1331.4791243705392</v>
      </c>
      <c r="H499" s="5">
        <f t="shared" si="31"/>
        <v>0</v>
      </c>
      <c r="I499" s="5">
        <f t="shared" si="32"/>
        <v>0</v>
      </c>
    </row>
    <row r="500" spans="1:9">
      <c r="A500">
        <v>499</v>
      </c>
      <c r="B500">
        <v>10</v>
      </c>
      <c r="C500">
        <v>6000</v>
      </c>
      <c r="D500">
        <v>10546</v>
      </c>
      <c r="E500" s="5">
        <f t="shared" si="29"/>
        <v>4546</v>
      </c>
      <c r="F500" s="5">
        <f t="shared" si="30"/>
        <v>20666116</v>
      </c>
      <c r="G500" s="6">
        <f>SQRT(SUM($F$2:F500)/A500)</f>
        <v>1345.6221393406722</v>
      </c>
      <c r="H500" s="5">
        <f t="shared" si="31"/>
        <v>0</v>
      </c>
      <c r="I500" s="5">
        <f t="shared" si="32"/>
        <v>0</v>
      </c>
    </row>
    <row r="501" spans="1:9">
      <c r="A501">
        <v>500</v>
      </c>
      <c r="B501">
        <v>1</v>
      </c>
      <c r="C501">
        <v>6000</v>
      </c>
      <c r="D501">
        <v>1525</v>
      </c>
      <c r="E501" s="5">
        <f t="shared" si="29"/>
        <v>4475</v>
      </c>
      <c r="F501" s="5">
        <f t="shared" si="30"/>
        <v>20025625</v>
      </c>
      <c r="G501" s="6">
        <f>SQRT(SUM($F$2:F501)/A501)</f>
        <v>1359.0911647126545</v>
      </c>
      <c r="H501" s="5">
        <f t="shared" si="31"/>
        <v>0</v>
      </c>
      <c r="I501" s="5">
        <f t="shared" si="32"/>
        <v>0</v>
      </c>
    </row>
    <row r="502" spans="1:9">
      <c r="A502">
        <v>501</v>
      </c>
      <c r="B502">
        <v>11</v>
      </c>
      <c r="C502">
        <v>9000</v>
      </c>
      <c r="D502">
        <v>9970</v>
      </c>
      <c r="E502" s="5">
        <f t="shared" si="29"/>
        <v>970</v>
      </c>
      <c r="F502" s="5">
        <f t="shared" si="30"/>
        <v>940900</v>
      </c>
      <c r="G502" s="6">
        <f>SQRT(SUM($F$2:F502)/A502)</f>
        <v>1358.4255423437151</v>
      </c>
      <c r="H502" s="5">
        <f t="shared" si="31"/>
        <v>1</v>
      </c>
      <c r="I502" s="5">
        <f t="shared" si="32"/>
        <v>0</v>
      </c>
    </row>
    <row r="503" spans="1:9">
      <c r="A503">
        <v>502</v>
      </c>
      <c r="B503">
        <v>5</v>
      </c>
      <c r="C503">
        <v>9000</v>
      </c>
      <c r="D503">
        <v>5572</v>
      </c>
      <c r="E503" s="5">
        <f t="shared" si="29"/>
        <v>3428</v>
      </c>
      <c r="F503" s="5">
        <f t="shared" si="30"/>
        <v>11751184</v>
      </c>
      <c r="G503" s="6">
        <f>SQRT(SUM($F$2:F503)/A503)</f>
        <v>1365.6693417500503</v>
      </c>
      <c r="H503" s="5">
        <f t="shared" si="31"/>
        <v>0</v>
      </c>
      <c r="I503" s="5">
        <f t="shared" si="32"/>
        <v>0</v>
      </c>
    </row>
    <row r="504" spans="1:9">
      <c r="A504">
        <v>503</v>
      </c>
      <c r="B504">
        <v>11</v>
      </c>
      <c r="C504">
        <v>9000</v>
      </c>
      <c r="D504">
        <v>10711</v>
      </c>
      <c r="E504" s="5">
        <f t="shared" si="29"/>
        <v>1711</v>
      </c>
      <c r="F504" s="5">
        <f t="shared" si="30"/>
        <v>2927521</v>
      </c>
      <c r="G504" s="6">
        <f>SQRT(SUM($F$2:F504)/A504)</f>
        <v>1366.4424663762836</v>
      </c>
      <c r="H504" s="5">
        <f t="shared" si="31"/>
        <v>1</v>
      </c>
      <c r="I504" s="5">
        <f t="shared" si="32"/>
        <v>0</v>
      </c>
    </row>
    <row r="505" spans="1:9">
      <c r="A505">
        <v>504</v>
      </c>
      <c r="B505">
        <v>5</v>
      </c>
      <c r="C505">
        <v>9000</v>
      </c>
      <c r="D505">
        <v>5041</v>
      </c>
      <c r="E505" s="5">
        <f t="shared" si="29"/>
        <v>3959</v>
      </c>
      <c r="F505" s="5">
        <f t="shared" si="30"/>
        <v>15673681</v>
      </c>
      <c r="G505" s="6">
        <f>SQRT(SUM($F$2:F505)/A505)</f>
        <v>1376.4297638605719</v>
      </c>
      <c r="H505" s="5">
        <f t="shared" si="31"/>
        <v>0</v>
      </c>
      <c r="I505" s="5">
        <f t="shared" si="32"/>
        <v>0</v>
      </c>
    </row>
    <row r="506" spans="1:9">
      <c r="A506">
        <v>505</v>
      </c>
      <c r="B506">
        <v>12</v>
      </c>
      <c r="C506">
        <v>9000</v>
      </c>
      <c r="D506">
        <v>10964</v>
      </c>
      <c r="E506" s="5">
        <f t="shared" si="29"/>
        <v>1964</v>
      </c>
      <c r="F506" s="5">
        <f t="shared" si="30"/>
        <v>3857296</v>
      </c>
      <c r="G506" s="6">
        <f>SQRT(SUM($F$2:F506)/A506)</f>
        <v>1377.8408844893147</v>
      </c>
      <c r="H506" s="5">
        <f t="shared" si="31"/>
        <v>0</v>
      </c>
      <c r="I506" s="5">
        <f t="shared" si="32"/>
        <v>0</v>
      </c>
    </row>
    <row r="507" spans="1:9">
      <c r="A507">
        <v>506</v>
      </c>
      <c r="B507">
        <v>5</v>
      </c>
      <c r="C507">
        <v>9000</v>
      </c>
      <c r="D507">
        <v>5441</v>
      </c>
      <c r="E507" s="5">
        <f t="shared" si="29"/>
        <v>3559</v>
      </c>
      <c r="F507" s="5">
        <f t="shared" si="30"/>
        <v>12666481</v>
      </c>
      <c r="G507" s="6">
        <f>SQRT(SUM($F$2:F507)/A507)</f>
        <v>1385.5418454646533</v>
      </c>
      <c r="H507" s="5">
        <f t="shared" si="31"/>
        <v>0</v>
      </c>
      <c r="I507" s="5">
        <f t="shared" si="32"/>
        <v>0</v>
      </c>
    </row>
    <row r="508" spans="1:9">
      <c r="A508">
        <v>507</v>
      </c>
      <c r="B508">
        <v>12</v>
      </c>
      <c r="C508">
        <v>9000</v>
      </c>
      <c r="D508">
        <v>11057</v>
      </c>
      <c r="E508" s="5">
        <f t="shared" si="29"/>
        <v>2057</v>
      </c>
      <c r="F508" s="5">
        <f t="shared" si="30"/>
        <v>4231249</v>
      </c>
      <c r="G508" s="6">
        <f>SQRT(SUM($F$2:F508)/A508)</f>
        <v>1387.1861526452496</v>
      </c>
      <c r="H508" s="5">
        <f t="shared" si="31"/>
        <v>0</v>
      </c>
      <c r="I508" s="5">
        <f t="shared" si="32"/>
        <v>0</v>
      </c>
    </row>
    <row r="509" spans="1:9">
      <c r="A509">
        <v>508</v>
      </c>
      <c r="B509">
        <v>5</v>
      </c>
      <c r="C509">
        <v>9000</v>
      </c>
      <c r="D509">
        <v>4712</v>
      </c>
      <c r="E509" s="5">
        <f t="shared" si="29"/>
        <v>4288</v>
      </c>
      <c r="F509" s="5">
        <f t="shared" si="30"/>
        <v>18386944</v>
      </c>
      <c r="G509" s="6">
        <f>SQRT(SUM($F$2:F509)/A509)</f>
        <v>1398.8181548417795</v>
      </c>
      <c r="H509" s="5">
        <f t="shared" si="31"/>
        <v>0</v>
      </c>
      <c r="I509" s="5">
        <f t="shared" si="32"/>
        <v>0</v>
      </c>
    </row>
    <row r="510" spans="1:9">
      <c r="A510">
        <v>509</v>
      </c>
      <c r="B510">
        <v>13</v>
      </c>
      <c r="C510">
        <v>9000</v>
      </c>
      <c r="D510">
        <v>11362</v>
      </c>
      <c r="E510" s="5">
        <f t="shared" si="29"/>
        <v>2362</v>
      </c>
      <c r="F510" s="5">
        <f t="shared" si="30"/>
        <v>5579044</v>
      </c>
      <c r="G510" s="6">
        <f>SQRT(SUM($F$2:F510)/A510)</f>
        <v>1401.3596379839582</v>
      </c>
      <c r="H510" s="5">
        <f t="shared" si="31"/>
        <v>0</v>
      </c>
      <c r="I510" s="5">
        <f t="shared" si="32"/>
        <v>0</v>
      </c>
    </row>
    <row r="511" spans="1:9">
      <c r="A511">
        <v>510</v>
      </c>
      <c r="B511">
        <v>5</v>
      </c>
      <c r="C511">
        <v>9000</v>
      </c>
      <c r="D511">
        <v>4889</v>
      </c>
      <c r="E511" s="5">
        <f t="shared" si="29"/>
        <v>4111</v>
      </c>
      <c r="F511" s="5">
        <f t="shared" si="30"/>
        <v>16900321</v>
      </c>
      <c r="G511" s="6">
        <f>SQRT(SUM($F$2:F511)/A511)</f>
        <v>1411.770559873484</v>
      </c>
      <c r="H511" s="5">
        <f t="shared" si="31"/>
        <v>0</v>
      </c>
      <c r="I511" s="5">
        <f t="shared" si="32"/>
        <v>0</v>
      </c>
    </row>
    <row r="512" spans="1:9">
      <c r="A512">
        <v>511</v>
      </c>
      <c r="B512">
        <v>13</v>
      </c>
      <c r="C512">
        <v>9000</v>
      </c>
      <c r="D512">
        <v>10349</v>
      </c>
      <c r="E512" s="5">
        <f t="shared" si="29"/>
        <v>1349</v>
      </c>
      <c r="F512" s="5">
        <f t="shared" si="30"/>
        <v>1819801</v>
      </c>
      <c r="G512" s="6">
        <f>SQRT(SUM($F$2:F512)/A512)</f>
        <v>1411.6504469394761</v>
      </c>
      <c r="H512" s="5">
        <f t="shared" si="31"/>
        <v>1</v>
      </c>
      <c r="I512" s="5">
        <f t="shared" si="32"/>
        <v>0</v>
      </c>
    </row>
    <row r="513" spans="1:9">
      <c r="A513">
        <v>512</v>
      </c>
      <c r="B513">
        <v>7</v>
      </c>
      <c r="C513">
        <v>9000</v>
      </c>
      <c r="D513">
        <v>4717</v>
      </c>
      <c r="E513" s="5">
        <f t="shared" si="29"/>
        <v>4283</v>
      </c>
      <c r="F513" s="5">
        <f t="shared" si="30"/>
        <v>18344089</v>
      </c>
      <c r="G513" s="6">
        <f>SQRT(SUM($F$2:F513)/A513)</f>
        <v>1422.9171373230065</v>
      </c>
      <c r="H513" s="5">
        <f t="shared" si="31"/>
        <v>0</v>
      </c>
      <c r="I513" s="5">
        <f t="shared" si="32"/>
        <v>0</v>
      </c>
    </row>
    <row r="514" spans="1:9">
      <c r="A514">
        <v>513</v>
      </c>
      <c r="B514">
        <v>14</v>
      </c>
      <c r="C514">
        <v>9000</v>
      </c>
      <c r="D514">
        <v>7479</v>
      </c>
      <c r="E514" s="5">
        <f t="shared" si="29"/>
        <v>1521</v>
      </c>
      <c r="F514" s="5">
        <f t="shared" si="30"/>
        <v>2313441</v>
      </c>
      <c r="G514" s="6">
        <f>SQRT(SUM($F$2:F514)/A514)</f>
        <v>1423.1149078467531</v>
      </c>
      <c r="H514" s="5">
        <f t="shared" si="31"/>
        <v>1</v>
      </c>
      <c r="I514" s="5">
        <f t="shared" si="32"/>
        <v>0</v>
      </c>
    </row>
    <row r="515" spans="1:9">
      <c r="A515">
        <v>514</v>
      </c>
      <c r="B515">
        <v>12</v>
      </c>
      <c r="C515">
        <v>9000</v>
      </c>
      <c r="D515">
        <v>6431</v>
      </c>
      <c r="E515" s="5">
        <f t="shared" ref="E515:E578" si="33">ABS(C515-D515)</f>
        <v>2569</v>
      </c>
      <c r="F515" s="5">
        <f t="shared" ref="F515:F578" si="34">POWER(E515,2)</f>
        <v>6599761</v>
      </c>
      <c r="G515" s="6">
        <f>SQRT(SUM($F$2:F515)/A515)</f>
        <v>1426.2383587714671</v>
      </c>
      <c r="H515" s="5">
        <f t="shared" ref="H515:H578" si="35">IF(ABS(E515)/C515&gt;0.2,0,1)</f>
        <v>0</v>
      </c>
      <c r="I515" s="5">
        <f t="shared" ref="I515:I578" si="36">IF(ABS(E515)/C515&gt;0.1,0,1)</f>
        <v>0</v>
      </c>
    </row>
    <row r="516" spans="1:9">
      <c r="A516">
        <v>515</v>
      </c>
      <c r="B516">
        <v>14</v>
      </c>
      <c r="C516">
        <v>9000</v>
      </c>
      <c r="D516">
        <v>7665</v>
      </c>
      <c r="E516" s="5">
        <f t="shared" si="33"/>
        <v>1335</v>
      </c>
      <c r="F516" s="5">
        <f t="shared" si="34"/>
        <v>1782225</v>
      </c>
      <c r="G516" s="6">
        <f>SQRT(SUM($F$2:F516)/A516)</f>
        <v>1426.0668532375726</v>
      </c>
      <c r="H516" s="5">
        <f t="shared" si="35"/>
        <v>1</v>
      </c>
      <c r="I516" s="5">
        <f t="shared" si="36"/>
        <v>0</v>
      </c>
    </row>
    <row r="517" spans="1:9">
      <c r="A517">
        <v>516</v>
      </c>
      <c r="B517">
        <v>13</v>
      </c>
      <c r="C517">
        <v>9000</v>
      </c>
      <c r="D517">
        <v>6974</v>
      </c>
      <c r="E517" s="5">
        <f t="shared" si="33"/>
        <v>2026</v>
      </c>
      <c r="F517" s="5">
        <f t="shared" si="34"/>
        <v>4104676</v>
      </c>
      <c r="G517" s="6">
        <f>SQRT(SUM($F$2:F517)/A517)</f>
        <v>1427.4733811444503</v>
      </c>
      <c r="H517" s="5">
        <f t="shared" si="35"/>
        <v>0</v>
      </c>
      <c r="I517" s="5">
        <f t="shared" si="36"/>
        <v>0</v>
      </c>
    </row>
    <row r="518" spans="1:9">
      <c r="A518">
        <v>517</v>
      </c>
      <c r="B518">
        <v>14</v>
      </c>
      <c r="C518">
        <v>9000</v>
      </c>
      <c r="D518">
        <v>6972</v>
      </c>
      <c r="E518" s="5">
        <f t="shared" si="33"/>
        <v>2028</v>
      </c>
      <c r="F518" s="5">
        <f t="shared" si="34"/>
        <v>4112784</v>
      </c>
      <c r="G518" s="6">
        <f>SQRT(SUM($F$2:F518)/A518)</f>
        <v>1428.878579235231</v>
      </c>
      <c r="H518" s="5">
        <f t="shared" si="35"/>
        <v>0</v>
      </c>
      <c r="I518" s="5">
        <f t="shared" si="36"/>
        <v>0</v>
      </c>
    </row>
    <row r="519" spans="1:9">
      <c r="A519">
        <v>518</v>
      </c>
      <c r="B519">
        <v>14</v>
      </c>
      <c r="C519">
        <v>9000</v>
      </c>
      <c r="D519">
        <v>8693</v>
      </c>
      <c r="E519" s="5">
        <f t="shared" si="33"/>
        <v>307</v>
      </c>
      <c r="F519" s="5">
        <f t="shared" si="34"/>
        <v>94249</v>
      </c>
      <c r="G519" s="6">
        <f>SQRT(SUM($F$2:F519)/A519)</f>
        <v>1427.5624147043266</v>
      </c>
      <c r="H519" s="5">
        <f t="shared" si="35"/>
        <v>1</v>
      </c>
      <c r="I519" s="5">
        <f t="shared" si="36"/>
        <v>1</v>
      </c>
    </row>
    <row r="520" spans="1:9">
      <c r="A520">
        <v>519</v>
      </c>
      <c r="B520">
        <v>13</v>
      </c>
      <c r="C520">
        <v>9000</v>
      </c>
      <c r="D520">
        <v>8110</v>
      </c>
      <c r="E520" s="5">
        <f t="shared" si="33"/>
        <v>890</v>
      </c>
      <c r="F520" s="5">
        <f t="shared" si="34"/>
        <v>792100</v>
      </c>
      <c r="G520" s="6">
        <f>SQRT(SUM($F$2:F520)/A520)</f>
        <v>1426.7214150444493</v>
      </c>
      <c r="H520" s="5">
        <f t="shared" si="35"/>
        <v>1</v>
      </c>
      <c r="I520" s="5">
        <f t="shared" si="36"/>
        <v>1</v>
      </c>
    </row>
    <row r="521" spans="1:9">
      <c r="A521">
        <v>520</v>
      </c>
      <c r="B521">
        <v>13</v>
      </c>
      <c r="C521">
        <v>9000</v>
      </c>
      <c r="D521">
        <v>7428</v>
      </c>
      <c r="E521" s="5">
        <f t="shared" si="33"/>
        <v>1572</v>
      </c>
      <c r="F521" s="5">
        <f t="shared" si="34"/>
        <v>2471184</v>
      </c>
      <c r="G521" s="6">
        <f>SQRT(SUM($F$2:F521)/A521)</f>
        <v>1427.0149910268583</v>
      </c>
      <c r="H521" s="5">
        <f t="shared" si="35"/>
        <v>1</v>
      </c>
      <c r="I521" s="5">
        <f t="shared" si="36"/>
        <v>0</v>
      </c>
    </row>
    <row r="522" spans="1:9">
      <c r="A522">
        <v>521</v>
      </c>
      <c r="B522">
        <v>15</v>
      </c>
      <c r="C522">
        <v>9000</v>
      </c>
      <c r="D522">
        <v>8173</v>
      </c>
      <c r="E522" s="5">
        <f t="shared" si="33"/>
        <v>827</v>
      </c>
      <c r="F522" s="5">
        <f t="shared" si="34"/>
        <v>683929</v>
      </c>
      <c r="G522" s="6">
        <f>SQRT(SUM($F$2:F522)/A522)</f>
        <v>1426.1051592165122</v>
      </c>
      <c r="H522" s="5">
        <f t="shared" si="35"/>
        <v>1</v>
      </c>
      <c r="I522" s="5">
        <f t="shared" si="36"/>
        <v>1</v>
      </c>
    </row>
    <row r="523" spans="1:9">
      <c r="A523">
        <v>522</v>
      </c>
      <c r="B523">
        <v>14</v>
      </c>
      <c r="C523">
        <v>9000</v>
      </c>
      <c r="D523">
        <v>7380</v>
      </c>
      <c r="E523" s="5">
        <f t="shared" si="33"/>
        <v>1620</v>
      </c>
      <c r="F523" s="5">
        <f t="shared" si="34"/>
        <v>2624400</v>
      </c>
      <c r="G523" s="6">
        <f>SQRT(SUM($F$2:F523)/A523)</f>
        <v>1426.5018012217472</v>
      </c>
      <c r="H523" s="5">
        <f t="shared" si="35"/>
        <v>1</v>
      </c>
      <c r="I523" s="5">
        <f t="shared" si="36"/>
        <v>0</v>
      </c>
    </row>
    <row r="524" spans="1:9">
      <c r="A524">
        <v>523</v>
      </c>
      <c r="B524">
        <v>15</v>
      </c>
      <c r="C524">
        <v>9000</v>
      </c>
      <c r="D524">
        <v>7761</v>
      </c>
      <c r="E524" s="5">
        <f t="shared" si="33"/>
        <v>1239</v>
      </c>
      <c r="F524" s="5">
        <f t="shared" si="34"/>
        <v>1535121</v>
      </c>
      <c r="G524" s="6">
        <f>SQRT(SUM($F$2:F524)/A524)</f>
        <v>1426.1668115541693</v>
      </c>
      <c r="H524" s="5">
        <f t="shared" si="35"/>
        <v>1</v>
      </c>
      <c r="I524" s="5">
        <f t="shared" si="36"/>
        <v>0</v>
      </c>
    </row>
    <row r="525" spans="1:9">
      <c r="A525">
        <v>524</v>
      </c>
      <c r="B525">
        <v>15</v>
      </c>
      <c r="C525">
        <v>9000</v>
      </c>
      <c r="D525">
        <v>8841</v>
      </c>
      <c r="E525" s="5">
        <f t="shared" si="33"/>
        <v>159</v>
      </c>
      <c r="F525" s="5">
        <f t="shared" si="34"/>
        <v>25281</v>
      </c>
      <c r="G525" s="6">
        <f>SQRT(SUM($F$2:F525)/A525)</f>
        <v>1424.8222461788371</v>
      </c>
      <c r="H525" s="5">
        <f t="shared" si="35"/>
        <v>1</v>
      </c>
      <c r="I525" s="5">
        <f t="shared" si="36"/>
        <v>1</v>
      </c>
    </row>
    <row r="526" spans="1:9">
      <c r="A526">
        <v>525</v>
      </c>
      <c r="B526">
        <v>14</v>
      </c>
      <c r="C526">
        <v>9000</v>
      </c>
      <c r="D526">
        <v>7540</v>
      </c>
      <c r="E526" s="5">
        <f t="shared" si="33"/>
        <v>1460</v>
      </c>
      <c r="F526" s="5">
        <f t="shared" si="34"/>
        <v>2131600</v>
      </c>
      <c r="G526" s="6">
        <f>SQRT(SUM($F$2:F526)/A526)</f>
        <v>1424.8900769633324</v>
      </c>
      <c r="H526" s="5">
        <f t="shared" si="35"/>
        <v>1</v>
      </c>
      <c r="I526" s="5">
        <f t="shared" si="36"/>
        <v>0</v>
      </c>
    </row>
    <row r="527" spans="1:9">
      <c r="A527">
        <v>526</v>
      </c>
      <c r="B527">
        <v>16</v>
      </c>
      <c r="C527">
        <v>9000</v>
      </c>
      <c r="D527">
        <v>9020</v>
      </c>
      <c r="E527" s="5">
        <f t="shared" si="33"/>
        <v>20</v>
      </c>
      <c r="F527" s="5">
        <f t="shared" si="34"/>
        <v>400</v>
      </c>
      <c r="G527" s="6">
        <f>SQRT(SUM($F$2:F527)/A527)</f>
        <v>1423.5352414500283</v>
      </c>
      <c r="H527" s="5">
        <f t="shared" si="35"/>
        <v>1</v>
      </c>
      <c r="I527" s="5">
        <f t="shared" si="36"/>
        <v>1</v>
      </c>
    </row>
    <row r="528" spans="1:9">
      <c r="A528">
        <v>527</v>
      </c>
      <c r="B528">
        <v>14</v>
      </c>
      <c r="C528">
        <v>9000</v>
      </c>
      <c r="D528">
        <v>8146</v>
      </c>
      <c r="E528" s="5">
        <f t="shared" si="33"/>
        <v>854</v>
      </c>
      <c r="F528" s="5">
        <f t="shared" si="34"/>
        <v>729316</v>
      </c>
      <c r="G528" s="6">
        <f>SQRT(SUM($F$2:F528)/A528)</f>
        <v>1422.6704551332043</v>
      </c>
      <c r="H528" s="5">
        <f t="shared" si="35"/>
        <v>1</v>
      </c>
      <c r="I528" s="5">
        <f t="shared" si="36"/>
        <v>1</v>
      </c>
    </row>
    <row r="529" spans="1:9">
      <c r="A529">
        <v>528</v>
      </c>
      <c r="B529">
        <v>15</v>
      </c>
      <c r="C529">
        <v>9000</v>
      </c>
      <c r="D529">
        <v>8921</v>
      </c>
      <c r="E529" s="5">
        <f t="shared" si="33"/>
        <v>79</v>
      </c>
      <c r="F529" s="5">
        <f t="shared" si="34"/>
        <v>6241</v>
      </c>
      <c r="G529" s="6">
        <f>SQRT(SUM($F$2:F529)/A529)</f>
        <v>1421.3267489471684</v>
      </c>
      <c r="H529" s="5">
        <f t="shared" si="35"/>
        <v>1</v>
      </c>
      <c r="I529" s="5">
        <f t="shared" si="36"/>
        <v>1</v>
      </c>
    </row>
    <row r="530" spans="1:9">
      <c r="A530">
        <v>529</v>
      </c>
      <c r="B530">
        <v>15</v>
      </c>
      <c r="C530">
        <v>9000</v>
      </c>
      <c r="D530">
        <v>8115</v>
      </c>
      <c r="E530" s="5">
        <f t="shared" si="33"/>
        <v>885</v>
      </c>
      <c r="F530" s="5">
        <f t="shared" si="34"/>
        <v>783225</v>
      </c>
      <c r="G530" s="6">
        <f>SQRT(SUM($F$2:F530)/A530)</f>
        <v>1420.5039448966409</v>
      </c>
      <c r="H530" s="5">
        <f t="shared" si="35"/>
        <v>1</v>
      </c>
      <c r="I530" s="5">
        <f t="shared" si="36"/>
        <v>1</v>
      </c>
    </row>
    <row r="531" spans="1:9">
      <c r="A531">
        <v>530</v>
      </c>
      <c r="B531">
        <v>16</v>
      </c>
      <c r="C531">
        <v>9000</v>
      </c>
      <c r="D531">
        <v>8076</v>
      </c>
      <c r="E531" s="5">
        <f t="shared" si="33"/>
        <v>924</v>
      </c>
      <c r="F531" s="5">
        <f t="shared" si="34"/>
        <v>853776</v>
      </c>
      <c r="G531" s="6">
        <f>SQRT(SUM($F$2:F531)/A531)</f>
        <v>1419.7306527701282</v>
      </c>
      <c r="H531" s="5">
        <f t="shared" si="35"/>
        <v>1</v>
      </c>
      <c r="I531" s="5">
        <f t="shared" si="36"/>
        <v>0</v>
      </c>
    </row>
    <row r="532" spans="1:9">
      <c r="A532">
        <v>531</v>
      </c>
      <c r="B532">
        <v>16</v>
      </c>
      <c r="C532">
        <v>9000</v>
      </c>
      <c r="D532">
        <v>8558</v>
      </c>
      <c r="E532" s="5">
        <f t="shared" si="33"/>
        <v>442</v>
      </c>
      <c r="F532" s="5">
        <f t="shared" si="34"/>
        <v>195364</v>
      </c>
      <c r="G532" s="6">
        <f>SQRT(SUM($F$2:F532)/A532)</f>
        <v>1418.5228657047819</v>
      </c>
      <c r="H532" s="5">
        <f t="shared" si="35"/>
        <v>1</v>
      </c>
      <c r="I532" s="5">
        <f t="shared" si="36"/>
        <v>1</v>
      </c>
    </row>
    <row r="533" spans="1:9">
      <c r="A533">
        <v>532</v>
      </c>
      <c r="B533">
        <v>15</v>
      </c>
      <c r="C533">
        <v>9000</v>
      </c>
      <c r="D533">
        <v>10232</v>
      </c>
      <c r="E533" s="5">
        <f t="shared" si="33"/>
        <v>1232</v>
      </c>
      <c r="F533" s="5">
        <f t="shared" si="34"/>
        <v>1517824</v>
      </c>
      <c r="G533" s="6">
        <f>SQRT(SUM($F$2:F533)/A533)</f>
        <v>1418.1952717970005</v>
      </c>
      <c r="H533" s="5">
        <f t="shared" si="35"/>
        <v>1</v>
      </c>
      <c r="I533" s="5">
        <f t="shared" si="36"/>
        <v>0</v>
      </c>
    </row>
    <row r="534" spans="1:9">
      <c r="A534">
        <v>533</v>
      </c>
      <c r="B534">
        <v>13</v>
      </c>
      <c r="C534">
        <v>9000</v>
      </c>
      <c r="D534">
        <v>7878</v>
      </c>
      <c r="E534" s="5">
        <f t="shared" si="33"/>
        <v>1122</v>
      </c>
      <c r="F534" s="5">
        <f t="shared" si="34"/>
        <v>1258884</v>
      </c>
      <c r="G534" s="6">
        <f>SQRT(SUM($F$2:F534)/A534)</f>
        <v>1417.6975023802361</v>
      </c>
      <c r="H534" s="5">
        <f t="shared" si="35"/>
        <v>1</v>
      </c>
      <c r="I534" s="5">
        <f t="shared" si="36"/>
        <v>0</v>
      </c>
    </row>
    <row r="535" spans="1:9">
      <c r="A535">
        <v>534</v>
      </c>
      <c r="B535">
        <v>16</v>
      </c>
      <c r="C535">
        <v>9000</v>
      </c>
      <c r="D535">
        <v>9378</v>
      </c>
      <c r="E535" s="5">
        <f t="shared" si="33"/>
        <v>378</v>
      </c>
      <c r="F535" s="5">
        <f t="shared" si="34"/>
        <v>142884</v>
      </c>
      <c r="G535" s="6">
        <f>SQRT(SUM($F$2:F535)/A535)</f>
        <v>1416.4639024314688</v>
      </c>
      <c r="H535" s="5">
        <f t="shared" si="35"/>
        <v>1</v>
      </c>
      <c r="I535" s="5">
        <f t="shared" si="36"/>
        <v>1</v>
      </c>
    </row>
    <row r="536" spans="1:9">
      <c r="A536">
        <v>535</v>
      </c>
      <c r="B536">
        <v>14</v>
      </c>
      <c r="C536">
        <v>9000</v>
      </c>
      <c r="D536">
        <v>8792</v>
      </c>
      <c r="E536" s="5">
        <f t="shared" si="33"/>
        <v>208</v>
      </c>
      <c r="F536" s="5">
        <f t="shared" si="34"/>
        <v>43264</v>
      </c>
      <c r="G536" s="6">
        <f>SQRT(SUM($F$2:F536)/A536)</f>
        <v>1415.1680571248569</v>
      </c>
      <c r="H536" s="5">
        <f t="shared" si="35"/>
        <v>1</v>
      </c>
      <c r="I536" s="5">
        <f t="shared" si="36"/>
        <v>1</v>
      </c>
    </row>
    <row r="537" spans="1:9">
      <c r="A537">
        <v>536</v>
      </c>
      <c r="B537">
        <v>15</v>
      </c>
      <c r="C537">
        <v>9000</v>
      </c>
      <c r="D537">
        <v>8582</v>
      </c>
      <c r="E537" s="5">
        <f t="shared" si="33"/>
        <v>418</v>
      </c>
      <c r="F537" s="5">
        <f t="shared" si="34"/>
        <v>174724</v>
      </c>
      <c r="G537" s="6">
        <f>SQRT(SUM($F$2:F537)/A537)</f>
        <v>1413.9625970110626</v>
      </c>
      <c r="H537" s="5">
        <f t="shared" si="35"/>
        <v>1</v>
      </c>
      <c r="I537" s="5">
        <f t="shared" si="36"/>
        <v>1</v>
      </c>
    </row>
    <row r="538" spans="1:9">
      <c r="A538">
        <v>537</v>
      </c>
      <c r="B538">
        <v>15</v>
      </c>
      <c r="C538">
        <v>9000</v>
      </c>
      <c r="D538">
        <v>9082</v>
      </c>
      <c r="E538" s="5">
        <f t="shared" si="33"/>
        <v>82</v>
      </c>
      <c r="F538" s="5">
        <f t="shared" si="34"/>
        <v>6724</v>
      </c>
      <c r="G538" s="6">
        <f>SQRT(SUM($F$2:F538)/A538)</f>
        <v>1412.649876691127</v>
      </c>
      <c r="H538" s="5">
        <f t="shared" si="35"/>
        <v>1</v>
      </c>
      <c r="I538" s="5">
        <f t="shared" si="36"/>
        <v>1</v>
      </c>
    </row>
    <row r="539" spans="1:9">
      <c r="A539">
        <v>538</v>
      </c>
      <c r="B539">
        <v>15</v>
      </c>
      <c r="C539">
        <v>9000</v>
      </c>
      <c r="D539">
        <v>8276</v>
      </c>
      <c r="E539" s="5">
        <f t="shared" si="33"/>
        <v>724</v>
      </c>
      <c r="F539" s="5">
        <f t="shared" si="34"/>
        <v>524176</v>
      </c>
      <c r="G539" s="6">
        <f>SQRT(SUM($F$2:F539)/A539)</f>
        <v>1411.6815232368549</v>
      </c>
      <c r="H539" s="5">
        <f t="shared" si="35"/>
        <v>1</v>
      </c>
      <c r="I539" s="5">
        <f t="shared" si="36"/>
        <v>1</v>
      </c>
    </row>
    <row r="540" spans="1:9">
      <c r="A540">
        <v>539</v>
      </c>
      <c r="B540">
        <v>16</v>
      </c>
      <c r="C540">
        <v>9000</v>
      </c>
      <c r="D540">
        <v>8733</v>
      </c>
      <c r="E540" s="5">
        <f t="shared" si="33"/>
        <v>267</v>
      </c>
      <c r="F540" s="5">
        <f t="shared" si="34"/>
        <v>71289</v>
      </c>
      <c r="G540" s="6">
        <f>SQRT(SUM($F$2:F540)/A540)</f>
        <v>1410.4182658350371</v>
      </c>
      <c r="H540" s="5">
        <f t="shared" si="35"/>
        <v>1</v>
      </c>
      <c r="I540" s="5">
        <f t="shared" si="36"/>
        <v>1</v>
      </c>
    </row>
    <row r="541" spans="1:9">
      <c r="A541">
        <v>540</v>
      </c>
      <c r="B541">
        <v>16</v>
      </c>
      <c r="C541">
        <v>9000</v>
      </c>
      <c r="D541">
        <v>8986</v>
      </c>
      <c r="E541" s="5">
        <f t="shared" si="33"/>
        <v>14</v>
      </c>
      <c r="F541" s="5">
        <f t="shared" si="34"/>
        <v>196</v>
      </c>
      <c r="G541" s="6">
        <f>SQRT(SUM($F$2:F541)/A541)</f>
        <v>1409.1118466240698</v>
      </c>
      <c r="H541" s="5">
        <f t="shared" si="35"/>
        <v>1</v>
      </c>
      <c r="I541" s="5">
        <f t="shared" si="36"/>
        <v>1</v>
      </c>
    </row>
    <row r="542" spans="1:9">
      <c r="A542">
        <v>541</v>
      </c>
      <c r="B542">
        <v>15</v>
      </c>
      <c r="C542">
        <v>9000</v>
      </c>
      <c r="D542">
        <v>8466</v>
      </c>
      <c r="E542" s="5">
        <f t="shared" si="33"/>
        <v>534</v>
      </c>
      <c r="F542" s="5">
        <f t="shared" si="34"/>
        <v>285156</v>
      </c>
      <c r="G542" s="6">
        <f>SQRT(SUM($F$2:F542)/A542)</f>
        <v>1407.9961127803003</v>
      </c>
      <c r="H542" s="5">
        <f t="shared" si="35"/>
        <v>1</v>
      </c>
      <c r="I542" s="5">
        <f t="shared" si="36"/>
        <v>1</v>
      </c>
    </row>
    <row r="543" spans="1:9">
      <c r="A543">
        <v>542</v>
      </c>
      <c r="B543">
        <v>16</v>
      </c>
      <c r="C543">
        <v>9000</v>
      </c>
      <c r="D543">
        <v>8808</v>
      </c>
      <c r="E543" s="5">
        <f t="shared" si="33"/>
        <v>192</v>
      </c>
      <c r="F543" s="5">
        <f t="shared" si="34"/>
        <v>36864</v>
      </c>
      <c r="G543" s="6">
        <f>SQRT(SUM($F$2:F543)/A543)</f>
        <v>1406.7207988453356</v>
      </c>
      <c r="H543" s="5">
        <f t="shared" si="35"/>
        <v>1</v>
      </c>
      <c r="I543" s="5">
        <f t="shared" si="36"/>
        <v>1</v>
      </c>
    </row>
    <row r="544" spans="1:9">
      <c r="A544">
        <v>543</v>
      </c>
      <c r="B544">
        <v>16</v>
      </c>
      <c r="C544">
        <v>9000</v>
      </c>
      <c r="D544">
        <v>9559</v>
      </c>
      <c r="E544" s="5">
        <f t="shared" si="33"/>
        <v>559</v>
      </c>
      <c r="F544" s="5">
        <f t="shared" si="34"/>
        <v>312481</v>
      </c>
      <c r="G544" s="6">
        <f>SQRT(SUM($F$2:F544)/A544)</f>
        <v>1405.6295961932115</v>
      </c>
      <c r="H544" s="5">
        <f t="shared" si="35"/>
        <v>1</v>
      </c>
      <c r="I544" s="5">
        <f t="shared" si="36"/>
        <v>1</v>
      </c>
    </row>
    <row r="545" spans="1:9">
      <c r="A545">
        <v>544</v>
      </c>
      <c r="B545">
        <v>15</v>
      </c>
      <c r="C545">
        <v>9000</v>
      </c>
      <c r="D545">
        <v>7409</v>
      </c>
      <c r="E545" s="5">
        <f t="shared" si="33"/>
        <v>1591</v>
      </c>
      <c r="F545" s="5">
        <f t="shared" si="34"/>
        <v>2531281</v>
      </c>
      <c r="G545" s="6">
        <f>SQRT(SUM($F$2:F545)/A545)</f>
        <v>1405.9927725527568</v>
      </c>
      <c r="H545" s="5">
        <f t="shared" si="35"/>
        <v>1</v>
      </c>
      <c r="I545" s="5">
        <f t="shared" si="36"/>
        <v>0</v>
      </c>
    </row>
    <row r="546" spans="1:9">
      <c r="A546">
        <v>545</v>
      </c>
      <c r="B546">
        <v>17</v>
      </c>
      <c r="C546">
        <v>9000</v>
      </c>
      <c r="D546">
        <v>6926</v>
      </c>
      <c r="E546" s="5">
        <f t="shared" si="33"/>
        <v>2074</v>
      </c>
      <c r="F546" s="5">
        <f t="shared" si="34"/>
        <v>4301476</v>
      </c>
      <c r="G546" s="6">
        <f>SQRT(SUM($F$2:F546)/A546)</f>
        <v>1407.5088306141745</v>
      </c>
      <c r="H546" s="5">
        <f t="shared" si="35"/>
        <v>0</v>
      </c>
      <c r="I546" s="5">
        <f t="shared" si="36"/>
        <v>0</v>
      </c>
    </row>
    <row r="547" spans="1:9">
      <c r="A547">
        <v>546</v>
      </c>
      <c r="B547">
        <v>18</v>
      </c>
      <c r="C547">
        <v>9000</v>
      </c>
      <c r="D547">
        <v>9859</v>
      </c>
      <c r="E547" s="5">
        <f t="shared" si="33"/>
        <v>859</v>
      </c>
      <c r="F547" s="5">
        <f t="shared" si="34"/>
        <v>737881</v>
      </c>
      <c r="G547" s="6">
        <f>SQRT(SUM($F$2:F547)/A547)</f>
        <v>1406.6997494069888</v>
      </c>
      <c r="H547" s="5">
        <f t="shared" si="35"/>
        <v>1</v>
      </c>
      <c r="I547" s="5">
        <f t="shared" si="36"/>
        <v>1</v>
      </c>
    </row>
    <row r="548" spans="1:9">
      <c r="A548">
        <v>547</v>
      </c>
      <c r="B548">
        <v>15</v>
      </c>
      <c r="C548">
        <v>9000</v>
      </c>
      <c r="D548">
        <v>8353</v>
      </c>
      <c r="E548" s="5">
        <f t="shared" si="33"/>
        <v>647</v>
      </c>
      <c r="F548" s="5">
        <f t="shared" si="34"/>
        <v>418609</v>
      </c>
      <c r="G548" s="6">
        <f>SQRT(SUM($F$2:F548)/A548)</f>
        <v>1405.6855653354066</v>
      </c>
      <c r="H548" s="5">
        <f t="shared" si="35"/>
        <v>1</v>
      </c>
      <c r="I548" s="5">
        <f t="shared" si="36"/>
        <v>1</v>
      </c>
    </row>
    <row r="549" spans="1:9">
      <c r="A549">
        <v>548</v>
      </c>
      <c r="B549">
        <v>17</v>
      </c>
      <c r="C549">
        <v>9000</v>
      </c>
      <c r="D549">
        <v>10323</v>
      </c>
      <c r="E549" s="5">
        <f t="shared" si="33"/>
        <v>1323</v>
      </c>
      <c r="F549" s="5">
        <f t="shared" si="34"/>
        <v>1750329</v>
      </c>
      <c r="G549" s="6">
        <f>SQRT(SUM($F$2:F549)/A549)</f>
        <v>1405.539109365586</v>
      </c>
      <c r="H549" s="5">
        <f t="shared" si="35"/>
        <v>1</v>
      </c>
      <c r="I549" s="5">
        <f t="shared" si="36"/>
        <v>0</v>
      </c>
    </row>
    <row r="550" spans="1:9">
      <c r="A550">
        <v>549</v>
      </c>
      <c r="B550">
        <v>14</v>
      </c>
      <c r="C550">
        <v>9000</v>
      </c>
      <c r="D550">
        <v>8143</v>
      </c>
      <c r="E550" s="5">
        <f t="shared" si="33"/>
        <v>857</v>
      </c>
      <c r="F550" s="5">
        <f t="shared" si="34"/>
        <v>734449</v>
      </c>
      <c r="G550" s="6">
        <f>SQRT(SUM($F$2:F550)/A550)</f>
        <v>1404.7346896370079</v>
      </c>
      <c r="H550" s="5">
        <f t="shared" si="35"/>
        <v>1</v>
      </c>
      <c r="I550" s="5">
        <f t="shared" si="36"/>
        <v>1</v>
      </c>
    </row>
    <row r="551" spans="1:9">
      <c r="A551">
        <v>550</v>
      </c>
      <c r="B551">
        <v>17</v>
      </c>
      <c r="C551">
        <v>9000</v>
      </c>
      <c r="D551">
        <v>8552</v>
      </c>
      <c r="E551" s="5">
        <f t="shared" si="33"/>
        <v>448</v>
      </c>
      <c r="F551" s="5">
        <f t="shared" si="34"/>
        <v>200704</v>
      </c>
      <c r="G551" s="6">
        <f>SQRT(SUM($F$2:F551)/A551)</f>
        <v>1403.5870773259362</v>
      </c>
      <c r="H551" s="5">
        <f t="shared" si="35"/>
        <v>1</v>
      </c>
      <c r="I551" s="5">
        <f t="shared" si="36"/>
        <v>1</v>
      </c>
    </row>
    <row r="552" spans="1:9">
      <c r="A552">
        <v>551</v>
      </c>
      <c r="B552">
        <v>17</v>
      </c>
      <c r="C552">
        <v>9000</v>
      </c>
      <c r="D552">
        <v>8907</v>
      </c>
      <c r="E552" s="5">
        <f t="shared" si="33"/>
        <v>93</v>
      </c>
      <c r="F552" s="5">
        <f t="shared" si="34"/>
        <v>8649</v>
      </c>
      <c r="G552" s="6">
        <f>SQRT(SUM($F$2:F552)/A552)</f>
        <v>1402.3184232094347</v>
      </c>
      <c r="H552" s="5">
        <f t="shared" si="35"/>
        <v>1</v>
      </c>
      <c r="I552" s="5">
        <f t="shared" si="36"/>
        <v>1</v>
      </c>
    </row>
    <row r="553" spans="1:9">
      <c r="A553">
        <v>552</v>
      </c>
      <c r="B553">
        <v>16</v>
      </c>
      <c r="C553">
        <v>9000</v>
      </c>
      <c r="D553">
        <v>8067</v>
      </c>
      <c r="E553" s="5">
        <f t="shared" si="33"/>
        <v>933</v>
      </c>
      <c r="F553" s="5">
        <f t="shared" si="34"/>
        <v>870489</v>
      </c>
      <c r="G553" s="6">
        <f>SQRT(SUM($F$2:F553)/A553)</f>
        <v>1401.6103019048473</v>
      </c>
      <c r="H553" s="5">
        <f t="shared" si="35"/>
        <v>1</v>
      </c>
      <c r="I553" s="5">
        <f t="shared" si="36"/>
        <v>0</v>
      </c>
    </row>
    <row r="554" spans="1:9">
      <c r="A554">
        <v>553</v>
      </c>
      <c r="B554">
        <v>17</v>
      </c>
      <c r="C554">
        <v>9000</v>
      </c>
      <c r="D554">
        <v>9618</v>
      </c>
      <c r="E554" s="5">
        <f t="shared" si="33"/>
        <v>618</v>
      </c>
      <c r="F554" s="5">
        <f t="shared" si="34"/>
        <v>381924</v>
      </c>
      <c r="G554" s="6">
        <f>SQRT(SUM($F$2:F554)/A554)</f>
        <v>1400.5890248879318</v>
      </c>
      <c r="H554" s="5">
        <f t="shared" si="35"/>
        <v>1</v>
      </c>
      <c r="I554" s="5">
        <f t="shared" si="36"/>
        <v>1</v>
      </c>
    </row>
    <row r="555" spans="1:9">
      <c r="A555">
        <v>554</v>
      </c>
      <c r="B555">
        <v>16</v>
      </c>
      <c r="C555">
        <v>9000</v>
      </c>
      <c r="D555">
        <v>9094</v>
      </c>
      <c r="E555" s="5">
        <f t="shared" si="33"/>
        <v>94</v>
      </c>
      <c r="F555" s="5">
        <f t="shared" si="34"/>
        <v>8836</v>
      </c>
      <c r="G555" s="6">
        <f>SQRT(SUM($F$2:F555)/A555)</f>
        <v>1399.3300834007925</v>
      </c>
      <c r="H555" s="5">
        <f t="shared" si="35"/>
        <v>1</v>
      </c>
      <c r="I555" s="5">
        <f t="shared" si="36"/>
        <v>1</v>
      </c>
    </row>
    <row r="556" spans="1:9">
      <c r="A556">
        <v>555</v>
      </c>
      <c r="B556">
        <v>16</v>
      </c>
      <c r="C556">
        <v>9000</v>
      </c>
      <c r="D556">
        <v>8708</v>
      </c>
      <c r="E556" s="5">
        <f t="shared" si="33"/>
        <v>292</v>
      </c>
      <c r="F556" s="5">
        <f t="shared" si="34"/>
        <v>85264</v>
      </c>
      <c r="G556" s="6">
        <f>SQRT(SUM($F$2:F556)/A556)</f>
        <v>1398.1237994392909</v>
      </c>
      <c r="H556" s="5">
        <f t="shared" si="35"/>
        <v>1</v>
      </c>
      <c r="I556" s="5">
        <f t="shared" si="36"/>
        <v>1</v>
      </c>
    </row>
    <row r="557" spans="1:9">
      <c r="A557">
        <v>556</v>
      </c>
      <c r="B557">
        <v>17</v>
      </c>
      <c r="C557">
        <v>9000</v>
      </c>
      <c r="D557">
        <v>9574</v>
      </c>
      <c r="E557" s="5">
        <f t="shared" si="33"/>
        <v>574</v>
      </c>
      <c r="F557" s="5">
        <f t="shared" si="34"/>
        <v>329476</v>
      </c>
      <c r="G557" s="6">
        <f>SQRT(SUM($F$2:F557)/A557)</f>
        <v>1397.0780234464796</v>
      </c>
      <c r="H557" s="5">
        <f t="shared" si="35"/>
        <v>1</v>
      </c>
      <c r="I557" s="5">
        <f t="shared" si="36"/>
        <v>1</v>
      </c>
    </row>
    <row r="558" spans="1:9">
      <c r="A558">
        <v>557</v>
      </c>
      <c r="B558">
        <v>16</v>
      </c>
      <c r="C558">
        <v>9000</v>
      </c>
      <c r="D558">
        <v>9278</v>
      </c>
      <c r="E558" s="5">
        <f t="shared" si="33"/>
        <v>278</v>
      </c>
      <c r="F558" s="5">
        <f t="shared" si="34"/>
        <v>77284</v>
      </c>
      <c r="G558" s="6">
        <f>SQRT(SUM($F$2:F558)/A558)</f>
        <v>1395.8730516424534</v>
      </c>
      <c r="H558" s="5">
        <f t="shared" si="35"/>
        <v>1</v>
      </c>
      <c r="I558" s="5">
        <f t="shared" si="36"/>
        <v>1</v>
      </c>
    </row>
    <row r="559" spans="1:9">
      <c r="A559">
        <v>558</v>
      </c>
      <c r="B559">
        <v>16</v>
      </c>
      <c r="C559">
        <v>9000</v>
      </c>
      <c r="D559">
        <v>9699</v>
      </c>
      <c r="E559" s="5">
        <f t="shared" si="33"/>
        <v>699</v>
      </c>
      <c r="F559" s="5">
        <f t="shared" si="34"/>
        <v>488601</v>
      </c>
      <c r="G559" s="6">
        <f>SQRT(SUM($F$2:F559)/A559)</f>
        <v>1394.9356037859516</v>
      </c>
      <c r="H559" s="5">
        <f t="shared" si="35"/>
        <v>1</v>
      </c>
      <c r="I559" s="5">
        <f t="shared" si="36"/>
        <v>1</v>
      </c>
    </row>
    <row r="560" spans="1:9">
      <c r="A560">
        <v>559</v>
      </c>
      <c r="B560">
        <v>15</v>
      </c>
      <c r="C560">
        <v>9000</v>
      </c>
      <c r="D560">
        <v>8259</v>
      </c>
      <c r="E560" s="5">
        <f t="shared" si="33"/>
        <v>741</v>
      </c>
      <c r="F560" s="5">
        <f t="shared" si="34"/>
        <v>549081</v>
      </c>
      <c r="G560" s="6">
        <f>SQRT(SUM($F$2:F560)/A560)</f>
        <v>1394.0396890837105</v>
      </c>
      <c r="H560" s="5">
        <f t="shared" si="35"/>
        <v>1</v>
      </c>
      <c r="I560" s="5">
        <f t="shared" si="36"/>
        <v>1</v>
      </c>
    </row>
    <row r="561" spans="1:9">
      <c r="A561">
        <v>560</v>
      </c>
      <c r="B561">
        <v>17</v>
      </c>
      <c r="C561">
        <v>9000</v>
      </c>
      <c r="D561">
        <v>9044</v>
      </c>
      <c r="E561" s="5">
        <f t="shared" si="33"/>
        <v>44</v>
      </c>
      <c r="F561" s="5">
        <f t="shared" si="34"/>
        <v>1936</v>
      </c>
      <c r="G561" s="6">
        <f>SQRT(SUM($F$2:F561)/A561)</f>
        <v>1392.7956957141992</v>
      </c>
      <c r="H561" s="5">
        <f t="shared" si="35"/>
        <v>1</v>
      </c>
      <c r="I561" s="5">
        <f t="shared" si="36"/>
        <v>1</v>
      </c>
    </row>
    <row r="562" spans="1:9">
      <c r="A562">
        <v>561</v>
      </c>
      <c r="B562">
        <v>16</v>
      </c>
      <c r="C562">
        <v>9000</v>
      </c>
      <c r="D562">
        <v>9072</v>
      </c>
      <c r="E562" s="5">
        <f t="shared" si="33"/>
        <v>72</v>
      </c>
      <c r="F562" s="5">
        <f t="shared" si="34"/>
        <v>5184</v>
      </c>
      <c r="G562" s="6">
        <f>SQRT(SUM($F$2:F562)/A562)</f>
        <v>1391.5571114028703</v>
      </c>
      <c r="H562" s="5">
        <f t="shared" si="35"/>
        <v>1</v>
      </c>
      <c r="I562" s="5">
        <f t="shared" si="36"/>
        <v>1</v>
      </c>
    </row>
    <row r="563" spans="1:9">
      <c r="A563">
        <v>562</v>
      </c>
      <c r="B563">
        <v>16</v>
      </c>
      <c r="C563">
        <v>9000</v>
      </c>
      <c r="D563">
        <v>9295</v>
      </c>
      <c r="E563" s="5">
        <f t="shared" si="33"/>
        <v>295</v>
      </c>
      <c r="F563" s="5">
        <f t="shared" si="34"/>
        <v>87025</v>
      </c>
      <c r="G563" s="6">
        <f>SQRT(SUM($F$2:F563)/A563)</f>
        <v>1390.3742071626116</v>
      </c>
      <c r="H563" s="5">
        <f t="shared" si="35"/>
        <v>1</v>
      </c>
      <c r="I563" s="5">
        <f t="shared" si="36"/>
        <v>1</v>
      </c>
    </row>
    <row r="564" spans="1:9">
      <c r="A564">
        <v>563</v>
      </c>
      <c r="B564">
        <v>16</v>
      </c>
      <c r="C564">
        <v>9000</v>
      </c>
      <c r="D564">
        <v>9255</v>
      </c>
      <c r="E564" s="5">
        <f t="shared" si="33"/>
        <v>255</v>
      </c>
      <c r="F564" s="5">
        <f t="shared" si="34"/>
        <v>65025</v>
      </c>
      <c r="G564" s="6">
        <f>SQRT(SUM($F$2:F564)/A564)</f>
        <v>1389.180438710762</v>
      </c>
      <c r="H564" s="5">
        <f t="shared" si="35"/>
        <v>1</v>
      </c>
      <c r="I564" s="5">
        <f t="shared" si="36"/>
        <v>1</v>
      </c>
    </row>
    <row r="565" spans="1:9">
      <c r="A565">
        <v>564</v>
      </c>
      <c r="B565">
        <v>16</v>
      </c>
      <c r="C565">
        <v>9000</v>
      </c>
      <c r="D565">
        <v>8274</v>
      </c>
      <c r="E565" s="5">
        <f t="shared" si="33"/>
        <v>726</v>
      </c>
      <c r="F565" s="5">
        <f t="shared" si="34"/>
        <v>527076</v>
      </c>
      <c r="G565" s="6">
        <f>SQRT(SUM($F$2:F565)/A565)</f>
        <v>1388.2849680387199</v>
      </c>
      <c r="H565" s="5">
        <f t="shared" si="35"/>
        <v>1</v>
      </c>
      <c r="I565" s="5">
        <f t="shared" si="36"/>
        <v>1</v>
      </c>
    </row>
    <row r="566" spans="1:9">
      <c r="A566">
        <v>565</v>
      </c>
      <c r="B566">
        <v>17</v>
      </c>
      <c r="C566">
        <v>9000</v>
      </c>
      <c r="D566">
        <v>8659</v>
      </c>
      <c r="E566" s="5">
        <f t="shared" si="33"/>
        <v>341</v>
      </c>
      <c r="F566" s="5">
        <f t="shared" si="34"/>
        <v>116281</v>
      </c>
      <c r="G566" s="6">
        <f>SQRT(SUM($F$2:F566)/A566)</f>
        <v>1387.1300396511695</v>
      </c>
      <c r="H566" s="5">
        <f t="shared" si="35"/>
        <v>1</v>
      </c>
      <c r="I566" s="5">
        <f t="shared" si="36"/>
        <v>1</v>
      </c>
    </row>
    <row r="567" spans="1:9">
      <c r="A567">
        <v>566</v>
      </c>
      <c r="B567">
        <v>17</v>
      </c>
      <c r="C567">
        <v>9000</v>
      </c>
      <c r="D567">
        <v>7589</v>
      </c>
      <c r="E567" s="5">
        <f t="shared" si="33"/>
        <v>1411</v>
      </c>
      <c r="F567" s="5">
        <f t="shared" si="34"/>
        <v>1990921</v>
      </c>
      <c r="G567" s="6">
        <f>SQRT(SUM($F$2:F567)/A567)</f>
        <v>1387.1725749344155</v>
      </c>
      <c r="H567" s="5">
        <f t="shared" si="35"/>
        <v>1</v>
      </c>
      <c r="I567" s="5">
        <f t="shared" si="36"/>
        <v>0</v>
      </c>
    </row>
    <row r="568" spans="1:9">
      <c r="A568">
        <v>567</v>
      </c>
      <c r="B568">
        <v>18</v>
      </c>
      <c r="C568">
        <v>9000</v>
      </c>
      <c r="D568">
        <v>8793</v>
      </c>
      <c r="E568" s="5">
        <f t="shared" si="33"/>
        <v>207</v>
      </c>
      <c r="F568" s="5">
        <f t="shared" si="34"/>
        <v>42849</v>
      </c>
      <c r="G568" s="6">
        <f>SQRT(SUM($F$2:F568)/A568)</f>
        <v>1385.9760420242681</v>
      </c>
      <c r="H568" s="5">
        <f t="shared" si="35"/>
        <v>1</v>
      </c>
      <c r="I568" s="5">
        <f t="shared" si="36"/>
        <v>1</v>
      </c>
    </row>
    <row r="569" spans="1:9">
      <c r="A569">
        <v>568</v>
      </c>
      <c r="B569">
        <v>17</v>
      </c>
      <c r="C569">
        <v>9000</v>
      </c>
      <c r="D569">
        <v>9061</v>
      </c>
      <c r="E569" s="5">
        <f t="shared" si="33"/>
        <v>61</v>
      </c>
      <c r="F569" s="5">
        <f t="shared" si="34"/>
        <v>3721</v>
      </c>
      <c r="G569" s="6">
        <f>SQRT(SUM($F$2:F569)/A569)</f>
        <v>1384.7578206426515</v>
      </c>
      <c r="H569" s="5">
        <f t="shared" si="35"/>
        <v>1</v>
      </c>
      <c r="I569" s="5">
        <f t="shared" si="36"/>
        <v>1</v>
      </c>
    </row>
    <row r="570" spans="1:9">
      <c r="A570">
        <v>569</v>
      </c>
      <c r="B570">
        <v>17</v>
      </c>
      <c r="C570">
        <v>9000</v>
      </c>
      <c r="D570">
        <v>9431</v>
      </c>
      <c r="E570" s="5">
        <f t="shared" si="33"/>
        <v>431</v>
      </c>
      <c r="F570" s="5">
        <f t="shared" si="34"/>
        <v>185761</v>
      </c>
      <c r="G570" s="6">
        <f>SQRT(SUM($F$2:F570)/A570)</f>
        <v>1383.6584291313197</v>
      </c>
      <c r="H570" s="5">
        <f t="shared" si="35"/>
        <v>1</v>
      </c>
      <c r="I570" s="5">
        <f t="shared" si="36"/>
        <v>1</v>
      </c>
    </row>
    <row r="571" spans="1:9">
      <c r="A571">
        <v>570</v>
      </c>
      <c r="B571">
        <v>16</v>
      </c>
      <c r="C571">
        <v>9000</v>
      </c>
      <c r="D571">
        <v>8778</v>
      </c>
      <c r="E571" s="5">
        <f t="shared" si="33"/>
        <v>222</v>
      </c>
      <c r="F571" s="5">
        <f t="shared" si="34"/>
        <v>49284</v>
      </c>
      <c r="G571" s="6">
        <f>SQRT(SUM($F$2:F571)/A571)</f>
        <v>1382.4754323504746</v>
      </c>
      <c r="H571" s="5">
        <f t="shared" si="35"/>
        <v>1</v>
      </c>
      <c r="I571" s="5">
        <f t="shared" si="36"/>
        <v>1</v>
      </c>
    </row>
    <row r="572" spans="1:9">
      <c r="A572">
        <v>571</v>
      </c>
      <c r="B572">
        <v>17</v>
      </c>
      <c r="C572">
        <v>9000</v>
      </c>
      <c r="D572">
        <v>9574</v>
      </c>
      <c r="E572" s="5">
        <f t="shared" si="33"/>
        <v>574</v>
      </c>
      <c r="F572" s="5">
        <f t="shared" si="34"/>
        <v>329476</v>
      </c>
      <c r="G572" s="6">
        <f>SQRT(SUM($F$2:F572)/A572)</f>
        <v>1381.4731844554665</v>
      </c>
      <c r="H572" s="5">
        <f t="shared" si="35"/>
        <v>1</v>
      </c>
      <c r="I572" s="5">
        <f t="shared" si="36"/>
        <v>1</v>
      </c>
    </row>
    <row r="573" spans="1:9">
      <c r="A573">
        <v>572</v>
      </c>
      <c r="B573">
        <v>16</v>
      </c>
      <c r="C573">
        <v>9000</v>
      </c>
      <c r="D573">
        <v>8833</v>
      </c>
      <c r="E573" s="5">
        <f t="shared" si="33"/>
        <v>167</v>
      </c>
      <c r="F573" s="5">
        <f t="shared" si="34"/>
        <v>27889</v>
      </c>
      <c r="G573" s="6">
        <f>SQRT(SUM($F$2:F573)/A573)</f>
        <v>1380.2827368211317</v>
      </c>
      <c r="H573" s="5">
        <f t="shared" si="35"/>
        <v>1</v>
      </c>
      <c r="I573" s="5">
        <f t="shared" si="36"/>
        <v>1</v>
      </c>
    </row>
    <row r="574" spans="1:9">
      <c r="A574">
        <v>573</v>
      </c>
      <c r="B574">
        <v>17</v>
      </c>
      <c r="C574">
        <v>9000</v>
      </c>
      <c r="D574">
        <v>9480</v>
      </c>
      <c r="E574" s="5">
        <f t="shared" si="33"/>
        <v>480</v>
      </c>
      <c r="F574" s="5">
        <f t="shared" si="34"/>
        <v>230400</v>
      </c>
      <c r="G574" s="6">
        <f>SQRT(SUM($F$2:F574)/A574)</f>
        <v>1379.2235517074969</v>
      </c>
      <c r="H574" s="5">
        <f t="shared" si="35"/>
        <v>1</v>
      </c>
      <c r="I574" s="5">
        <f t="shared" si="36"/>
        <v>1</v>
      </c>
    </row>
    <row r="575" spans="1:9">
      <c r="A575">
        <v>574</v>
      </c>
      <c r="B575">
        <v>16</v>
      </c>
      <c r="C575">
        <v>9000</v>
      </c>
      <c r="D575">
        <v>8308</v>
      </c>
      <c r="E575" s="5">
        <f t="shared" si="33"/>
        <v>692</v>
      </c>
      <c r="F575" s="5">
        <f t="shared" si="34"/>
        <v>478864</v>
      </c>
      <c r="G575" s="6">
        <f>SQRT(SUM($F$2:F575)/A575)</f>
        <v>1378.3242817943724</v>
      </c>
      <c r="H575" s="5">
        <f t="shared" si="35"/>
        <v>1</v>
      </c>
      <c r="I575" s="5">
        <f t="shared" si="36"/>
        <v>1</v>
      </c>
    </row>
    <row r="576" spans="1:9">
      <c r="A576">
        <v>575</v>
      </c>
      <c r="B576">
        <v>17</v>
      </c>
      <c r="C576">
        <v>9000</v>
      </c>
      <c r="D576">
        <v>9973</v>
      </c>
      <c r="E576" s="5">
        <f t="shared" si="33"/>
        <v>973</v>
      </c>
      <c r="F576" s="5">
        <f t="shared" si="34"/>
        <v>946729</v>
      </c>
      <c r="G576" s="6">
        <f>SQRT(SUM($F$2:F576)/A576)</f>
        <v>1377.7228856214945</v>
      </c>
      <c r="H576" s="5">
        <f t="shared" si="35"/>
        <v>1</v>
      </c>
      <c r="I576" s="5">
        <f t="shared" si="36"/>
        <v>0</v>
      </c>
    </row>
    <row r="577" spans="1:9">
      <c r="A577">
        <v>576</v>
      </c>
      <c r="B577">
        <v>15</v>
      </c>
      <c r="C577">
        <v>9000</v>
      </c>
      <c r="D577">
        <v>9049</v>
      </c>
      <c r="E577" s="5">
        <f t="shared" si="33"/>
        <v>49</v>
      </c>
      <c r="F577" s="5">
        <f t="shared" si="34"/>
        <v>2401</v>
      </c>
      <c r="G577" s="6">
        <f>SQRT(SUM($F$2:F577)/A577)</f>
        <v>1376.5279401955083</v>
      </c>
      <c r="H577" s="5">
        <f t="shared" si="35"/>
        <v>1</v>
      </c>
      <c r="I577" s="5">
        <f t="shared" si="36"/>
        <v>1</v>
      </c>
    </row>
    <row r="578" spans="1:9">
      <c r="A578">
        <v>577</v>
      </c>
      <c r="B578">
        <v>16</v>
      </c>
      <c r="C578">
        <v>9000</v>
      </c>
      <c r="D578">
        <v>8425</v>
      </c>
      <c r="E578" s="5">
        <f t="shared" si="33"/>
        <v>575</v>
      </c>
      <c r="F578" s="5">
        <f t="shared" si="34"/>
        <v>330625</v>
      </c>
      <c r="G578" s="6">
        <f>SQRT(SUM($F$2:F578)/A578)</f>
        <v>1375.5428907770988</v>
      </c>
      <c r="H578" s="5">
        <f t="shared" si="35"/>
        <v>1</v>
      </c>
      <c r="I578" s="5">
        <f t="shared" si="36"/>
        <v>1</v>
      </c>
    </row>
    <row r="579" spans="1:9">
      <c r="A579">
        <v>578</v>
      </c>
      <c r="B579">
        <v>17</v>
      </c>
      <c r="C579">
        <v>9000</v>
      </c>
      <c r="D579">
        <v>8348</v>
      </c>
      <c r="E579" s="5">
        <f t="shared" ref="E579:E642" si="37">ABS(C579-D579)</f>
        <v>652</v>
      </c>
      <c r="F579" s="5">
        <f t="shared" ref="F579:F642" si="38">POWER(E579,2)</f>
        <v>425104</v>
      </c>
      <c r="G579" s="6">
        <f>SQRT(SUM($F$2:F579)/A579)</f>
        <v>1374.6200047429277</v>
      </c>
      <c r="H579" s="5">
        <f t="shared" ref="H579:H642" si="39">IF(ABS(E579)/C579&gt;0.2,0,1)</f>
        <v>1</v>
      </c>
      <c r="I579" s="5">
        <f t="shared" ref="I579:I642" si="40">IF(ABS(E579)/C579&gt;0.1,0,1)</f>
        <v>1</v>
      </c>
    </row>
    <row r="580" spans="1:9">
      <c r="A580">
        <v>579</v>
      </c>
      <c r="B580">
        <v>17</v>
      </c>
      <c r="C580">
        <v>9000</v>
      </c>
      <c r="D580">
        <v>9968</v>
      </c>
      <c r="E580" s="5">
        <f t="shared" si="37"/>
        <v>968</v>
      </c>
      <c r="F580" s="5">
        <f t="shared" si="38"/>
        <v>937024</v>
      </c>
      <c r="G580" s="6">
        <f>SQRT(SUM($F$2:F580)/A580)</f>
        <v>1374.0214637074789</v>
      </c>
      <c r="H580" s="5">
        <f t="shared" si="39"/>
        <v>1</v>
      </c>
      <c r="I580" s="5">
        <f t="shared" si="40"/>
        <v>0</v>
      </c>
    </row>
    <row r="581" spans="1:9">
      <c r="A581">
        <v>580</v>
      </c>
      <c r="B581">
        <v>15</v>
      </c>
      <c r="C581">
        <v>9000</v>
      </c>
      <c r="D581">
        <v>8328</v>
      </c>
      <c r="E581" s="5">
        <f t="shared" si="37"/>
        <v>672</v>
      </c>
      <c r="F581" s="5">
        <f t="shared" si="38"/>
        <v>451584</v>
      </c>
      <c r="G581" s="6">
        <f>SQRT(SUM($F$2:F581)/A581)</f>
        <v>1373.119993124141</v>
      </c>
      <c r="H581" s="5">
        <f t="shared" si="39"/>
        <v>1</v>
      </c>
      <c r="I581" s="5">
        <f t="shared" si="40"/>
        <v>1</v>
      </c>
    </row>
    <row r="582" spans="1:9">
      <c r="A582">
        <v>581</v>
      </c>
      <c r="B582">
        <v>17</v>
      </c>
      <c r="C582">
        <v>9000</v>
      </c>
      <c r="D582">
        <v>9105</v>
      </c>
      <c r="E582" s="5">
        <f t="shared" si="37"/>
        <v>105</v>
      </c>
      <c r="F582" s="5">
        <f t="shared" si="38"/>
        <v>11025</v>
      </c>
      <c r="G582" s="6">
        <f>SQRT(SUM($F$2:F582)/A582)</f>
        <v>1371.9447131868355</v>
      </c>
      <c r="H582" s="5">
        <f t="shared" si="39"/>
        <v>1</v>
      </c>
      <c r="I582" s="5">
        <f t="shared" si="40"/>
        <v>1</v>
      </c>
    </row>
    <row r="583" spans="1:9">
      <c r="A583">
        <v>582</v>
      </c>
      <c r="B583">
        <v>16</v>
      </c>
      <c r="C583">
        <v>9000</v>
      </c>
      <c r="D583">
        <v>9558</v>
      </c>
      <c r="E583" s="5">
        <f t="shared" si="37"/>
        <v>558</v>
      </c>
      <c r="F583" s="5">
        <f t="shared" si="38"/>
        <v>311364</v>
      </c>
      <c r="G583" s="6">
        <f>SQRT(SUM($F$2:F583)/A583)</f>
        <v>1370.9606885764424</v>
      </c>
      <c r="H583" s="5">
        <f t="shared" si="39"/>
        <v>1</v>
      </c>
      <c r="I583" s="5">
        <f t="shared" si="40"/>
        <v>1</v>
      </c>
    </row>
    <row r="584" spans="1:9">
      <c r="A584">
        <v>583</v>
      </c>
      <c r="B584">
        <v>16</v>
      </c>
      <c r="C584">
        <v>9000</v>
      </c>
      <c r="D584">
        <v>9185</v>
      </c>
      <c r="E584" s="5">
        <f t="shared" si="37"/>
        <v>185</v>
      </c>
      <c r="F584" s="5">
        <f t="shared" si="38"/>
        <v>34225</v>
      </c>
      <c r="G584" s="6">
        <f>SQRT(SUM($F$2:F584)/A584)</f>
        <v>1369.8058312904764</v>
      </c>
      <c r="H584" s="5">
        <f t="shared" si="39"/>
        <v>1</v>
      </c>
      <c r="I584" s="5">
        <f t="shared" si="40"/>
        <v>1</v>
      </c>
    </row>
    <row r="585" spans="1:9">
      <c r="A585">
        <v>584</v>
      </c>
      <c r="B585">
        <v>16</v>
      </c>
      <c r="C585">
        <v>9000</v>
      </c>
      <c r="D585">
        <v>8122</v>
      </c>
      <c r="E585" s="5">
        <f t="shared" si="37"/>
        <v>878</v>
      </c>
      <c r="F585" s="5">
        <f t="shared" si="38"/>
        <v>770884</v>
      </c>
      <c r="G585" s="6">
        <f>SQRT(SUM($F$2:F585)/A585)</f>
        <v>1369.1147005843463</v>
      </c>
      <c r="H585" s="5">
        <f t="shared" si="39"/>
        <v>1</v>
      </c>
      <c r="I585" s="5">
        <f t="shared" si="40"/>
        <v>1</v>
      </c>
    </row>
    <row r="586" spans="1:9">
      <c r="A586">
        <v>585</v>
      </c>
      <c r="B586">
        <v>17</v>
      </c>
      <c r="C586">
        <v>9000</v>
      </c>
      <c r="D586">
        <v>8780</v>
      </c>
      <c r="E586" s="5">
        <f t="shared" si="37"/>
        <v>220</v>
      </c>
      <c r="F586" s="5">
        <f t="shared" si="38"/>
        <v>48400</v>
      </c>
      <c r="G586" s="6">
        <f>SQRT(SUM($F$2:F586)/A586)</f>
        <v>1367.974256892785</v>
      </c>
      <c r="H586" s="5">
        <f t="shared" si="39"/>
        <v>1</v>
      </c>
      <c r="I586" s="5">
        <f t="shared" si="40"/>
        <v>1</v>
      </c>
    </row>
    <row r="587" spans="1:9">
      <c r="A587">
        <v>586</v>
      </c>
      <c r="B587">
        <v>17</v>
      </c>
      <c r="C587">
        <v>9000</v>
      </c>
      <c r="D587">
        <v>9251</v>
      </c>
      <c r="E587" s="5">
        <f t="shared" si="37"/>
        <v>251</v>
      </c>
      <c r="F587" s="5">
        <f t="shared" si="38"/>
        <v>63001</v>
      </c>
      <c r="G587" s="6">
        <f>SQRT(SUM($F$2:F587)/A587)</f>
        <v>1366.8458734027861</v>
      </c>
      <c r="H587" s="5">
        <f t="shared" si="39"/>
        <v>1</v>
      </c>
      <c r="I587" s="5">
        <f t="shared" si="40"/>
        <v>1</v>
      </c>
    </row>
    <row r="588" spans="1:9">
      <c r="A588">
        <v>587</v>
      </c>
      <c r="B588">
        <v>16</v>
      </c>
      <c r="C588">
        <v>9000</v>
      </c>
      <c r="D588">
        <v>9117</v>
      </c>
      <c r="E588" s="5">
        <f t="shared" si="37"/>
        <v>117</v>
      </c>
      <c r="F588" s="5">
        <f t="shared" si="38"/>
        <v>13689</v>
      </c>
      <c r="G588" s="6">
        <f>SQRT(SUM($F$2:F588)/A588)</f>
        <v>1365.6896511172126</v>
      </c>
      <c r="H588" s="5">
        <f t="shared" si="39"/>
        <v>1</v>
      </c>
      <c r="I588" s="5">
        <f t="shared" si="40"/>
        <v>1</v>
      </c>
    </row>
    <row r="589" spans="1:9">
      <c r="A589">
        <v>588</v>
      </c>
      <c r="B589">
        <v>16</v>
      </c>
      <c r="C589">
        <v>9000</v>
      </c>
      <c r="D589">
        <v>8841</v>
      </c>
      <c r="E589" s="5">
        <f t="shared" si="37"/>
        <v>159</v>
      </c>
      <c r="F589" s="5">
        <f t="shared" si="38"/>
        <v>25281</v>
      </c>
      <c r="G589" s="6">
        <f>SQRT(SUM($F$2:F589)/A589)</f>
        <v>1364.5436106281552</v>
      </c>
      <c r="H589" s="5">
        <f t="shared" si="39"/>
        <v>1</v>
      </c>
      <c r="I589" s="5">
        <f t="shared" si="40"/>
        <v>1</v>
      </c>
    </row>
    <row r="590" spans="1:9">
      <c r="A590">
        <v>589</v>
      </c>
      <c r="B590">
        <v>17</v>
      </c>
      <c r="C590">
        <v>9000</v>
      </c>
      <c r="D590">
        <v>9369</v>
      </c>
      <c r="E590" s="5">
        <f t="shared" si="37"/>
        <v>369</v>
      </c>
      <c r="F590" s="5">
        <f t="shared" si="38"/>
        <v>136161</v>
      </c>
      <c r="G590" s="6">
        <f>SQRT(SUM($F$2:F590)/A590)</f>
        <v>1363.469538846259</v>
      </c>
      <c r="H590" s="5">
        <f t="shared" si="39"/>
        <v>1</v>
      </c>
      <c r="I590" s="5">
        <f t="shared" si="40"/>
        <v>1</v>
      </c>
    </row>
    <row r="591" spans="1:9">
      <c r="A591">
        <v>590</v>
      </c>
      <c r="B591">
        <v>16</v>
      </c>
      <c r="C591">
        <v>9000</v>
      </c>
      <c r="D591">
        <v>8841</v>
      </c>
      <c r="E591" s="5">
        <f t="shared" si="37"/>
        <v>159</v>
      </c>
      <c r="F591" s="5">
        <f t="shared" si="38"/>
        <v>25281</v>
      </c>
      <c r="G591" s="6">
        <f>SQRT(SUM($F$2:F591)/A591)</f>
        <v>1362.3292926803399</v>
      </c>
      <c r="H591" s="5">
        <f t="shared" si="39"/>
        <v>1</v>
      </c>
      <c r="I591" s="5">
        <f t="shared" si="40"/>
        <v>1</v>
      </c>
    </row>
    <row r="592" spans="1:9">
      <c r="A592">
        <v>591</v>
      </c>
      <c r="B592">
        <v>17</v>
      </c>
      <c r="C592">
        <v>9000</v>
      </c>
      <c r="D592">
        <v>9772</v>
      </c>
      <c r="E592" s="5">
        <f t="shared" si="37"/>
        <v>772</v>
      </c>
      <c r="F592" s="5">
        <f t="shared" si="38"/>
        <v>595984</v>
      </c>
      <c r="G592" s="6">
        <f>SQRT(SUM($F$2:F592)/A592)</f>
        <v>1361.54661858691</v>
      </c>
      <c r="H592" s="5">
        <f t="shared" si="39"/>
        <v>1</v>
      </c>
      <c r="I592" s="5">
        <f t="shared" si="40"/>
        <v>1</v>
      </c>
    </row>
    <row r="593" spans="1:9">
      <c r="A593">
        <v>592</v>
      </c>
      <c r="B593">
        <v>15</v>
      </c>
      <c r="C593">
        <v>9000</v>
      </c>
      <c r="D593">
        <v>8690</v>
      </c>
      <c r="E593" s="5">
        <f t="shared" si="37"/>
        <v>310</v>
      </c>
      <c r="F593" s="5">
        <f t="shared" si="38"/>
        <v>96100</v>
      </c>
      <c r="G593" s="6">
        <f>SQRT(SUM($F$2:F593)/A593)</f>
        <v>1360.4558394950629</v>
      </c>
      <c r="H593" s="5">
        <f t="shared" si="39"/>
        <v>1</v>
      </c>
      <c r="I593" s="5">
        <f t="shared" si="40"/>
        <v>1</v>
      </c>
    </row>
    <row r="594" spans="1:9">
      <c r="A594">
        <v>593</v>
      </c>
      <c r="B594">
        <v>17</v>
      </c>
      <c r="C594">
        <v>9000</v>
      </c>
      <c r="D594">
        <v>9429</v>
      </c>
      <c r="E594" s="5">
        <f t="shared" si="37"/>
        <v>429</v>
      </c>
      <c r="F594" s="5">
        <f t="shared" si="38"/>
        <v>184041</v>
      </c>
      <c r="G594" s="6">
        <f>SQRT(SUM($F$2:F594)/A594)</f>
        <v>1359.4224141776663</v>
      </c>
      <c r="H594" s="5">
        <f t="shared" si="39"/>
        <v>1</v>
      </c>
      <c r="I594" s="5">
        <f t="shared" si="40"/>
        <v>1</v>
      </c>
    </row>
    <row r="595" spans="1:9">
      <c r="A595">
        <v>594</v>
      </c>
      <c r="B595">
        <v>16</v>
      </c>
      <c r="C595">
        <v>9000</v>
      </c>
      <c r="D595">
        <v>8323</v>
      </c>
      <c r="E595" s="5">
        <f t="shared" si="37"/>
        <v>677</v>
      </c>
      <c r="F595" s="5">
        <f t="shared" si="38"/>
        <v>458329</v>
      </c>
      <c r="G595" s="6">
        <f>SQRT(SUM($F$2:F595)/A595)</f>
        <v>1358.5616428317626</v>
      </c>
      <c r="H595" s="5">
        <f t="shared" si="39"/>
        <v>1</v>
      </c>
      <c r="I595" s="5">
        <f t="shared" si="40"/>
        <v>1</v>
      </c>
    </row>
    <row r="596" spans="1:9">
      <c r="A596">
        <v>595</v>
      </c>
      <c r="B596">
        <v>17</v>
      </c>
      <c r="C596">
        <v>9000</v>
      </c>
      <c r="D596">
        <v>9481</v>
      </c>
      <c r="E596" s="5">
        <f t="shared" si="37"/>
        <v>481</v>
      </c>
      <c r="F596" s="5">
        <f t="shared" si="38"/>
        <v>231361</v>
      </c>
      <c r="G596" s="6">
        <f>SQRT(SUM($F$2:F596)/A596)</f>
        <v>1357.562735136735</v>
      </c>
      <c r="H596" s="5">
        <f t="shared" si="39"/>
        <v>1</v>
      </c>
      <c r="I596" s="5">
        <f t="shared" si="40"/>
        <v>1</v>
      </c>
    </row>
    <row r="597" spans="1:9">
      <c r="A597">
        <v>596</v>
      </c>
      <c r="B597">
        <v>16</v>
      </c>
      <c r="C597">
        <v>9000</v>
      </c>
      <c r="D597">
        <v>9018</v>
      </c>
      <c r="E597" s="5">
        <f t="shared" si="37"/>
        <v>18</v>
      </c>
      <c r="F597" s="5">
        <f t="shared" si="38"/>
        <v>324</v>
      </c>
      <c r="G597" s="6">
        <f>SQRT(SUM($F$2:F597)/A597)</f>
        <v>1356.4235624879432</v>
      </c>
      <c r="H597" s="5">
        <f t="shared" si="39"/>
        <v>1</v>
      </c>
      <c r="I597" s="5">
        <f t="shared" si="40"/>
        <v>1</v>
      </c>
    </row>
    <row r="598" spans="1:9">
      <c r="A598">
        <v>597</v>
      </c>
      <c r="B598">
        <v>16</v>
      </c>
      <c r="C598">
        <v>9000</v>
      </c>
      <c r="D598">
        <v>8781</v>
      </c>
      <c r="E598" s="5">
        <f t="shared" si="37"/>
        <v>219</v>
      </c>
      <c r="F598" s="5">
        <f t="shared" si="38"/>
        <v>47961</v>
      </c>
      <c r="G598" s="6">
        <f>SQRT(SUM($F$2:F598)/A598)</f>
        <v>1355.3166911586875</v>
      </c>
      <c r="H598" s="5">
        <f t="shared" si="39"/>
        <v>1</v>
      </c>
      <c r="I598" s="5">
        <f t="shared" si="40"/>
        <v>1</v>
      </c>
    </row>
    <row r="599" spans="1:9">
      <c r="A599">
        <v>598</v>
      </c>
      <c r="B599">
        <v>17</v>
      </c>
      <c r="C599">
        <v>9000</v>
      </c>
      <c r="D599">
        <v>8592</v>
      </c>
      <c r="E599" s="5">
        <f t="shared" si="37"/>
        <v>408</v>
      </c>
      <c r="F599" s="5">
        <f t="shared" si="38"/>
        <v>166464</v>
      </c>
      <c r="G599" s="6">
        <f>SQRT(SUM($F$2:F599)/A599)</f>
        <v>1354.2857859279759</v>
      </c>
      <c r="H599" s="5">
        <f t="shared" si="39"/>
        <v>1</v>
      </c>
      <c r="I599" s="5">
        <f t="shared" si="40"/>
        <v>1</v>
      </c>
    </row>
    <row r="600" spans="1:9">
      <c r="A600">
        <v>599</v>
      </c>
      <c r="B600">
        <v>17</v>
      </c>
      <c r="C600">
        <v>9000</v>
      </c>
      <c r="D600">
        <v>8707</v>
      </c>
      <c r="E600" s="5">
        <f t="shared" si="37"/>
        <v>293</v>
      </c>
      <c r="F600" s="5">
        <f t="shared" si="38"/>
        <v>85849</v>
      </c>
      <c r="G600" s="6">
        <f>SQRT(SUM($F$2:F600)/A600)</f>
        <v>1353.2078150273464</v>
      </c>
      <c r="H600" s="5">
        <f t="shared" si="39"/>
        <v>1</v>
      </c>
      <c r="I600" s="5">
        <f t="shared" si="40"/>
        <v>1</v>
      </c>
    </row>
    <row r="601" spans="1:9">
      <c r="A601">
        <v>600</v>
      </c>
      <c r="B601">
        <v>17</v>
      </c>
      <c r="C601">
        <v>9000</v>
      </c>
      <c r="D601">
        <v>9138</v>
      </c>
      <c r="E601" s="5">
        <f t="shared" si="37"/>
        <v>138</v>
      </c>
      <c r="F601" s="5">
        <f t="shared" si="38"/>
        <v>19044</v>
      </c>
      <c r="G601" s="6">
        <f>SQRT(SUM($F$2:F601)/A601)</f>
        <v>1352.0914090154308</v>
      </c>
      <c r="H601" s="5">
        <f t="shared" si="39"/>
        <v>1</v>
      </c>
      <c r="I601" s="5">
        <f t="shared" si="40"/>
        <v>1</v>
      </c>
    </row>
    <row r="602" spans="1:9">
      <c r="A602">
        <v>601</v>
      </c>
      <c r="B602">
        <v>1</v>
      </c>
      <c r="C602">
        <v>5000</v>
      </c>
      <c r="D602">
        <v>952</v>
      </c>
      <c r="E602" s="5">
        <f t="shared" si="37"/>
        <v>4048</v>
      </c>
      <c r="F602" s="5">
        <f t="shared" si="38"/>
        <v>16386304</v>
      </c>
      <c r="G602" s="6">
        <f>SQRT(SUM($F$2:F602)/A602)</f>
        <v>1361.0196157082976</v>
      </c>
      <c r="H602" s="5">
        <f t="shared" si="39"/>
        <v>0</v>
      </c>
      <c r="I602" s="5">
        <f t="shared" si="40"/>
        <v>0</v>
      </c>
    </row>
    <row r="603" spans="1:9">
      <c r="A603">
        <v>602</v>
      </c>
      <c r="B603">
        <v>5</v>
      </c>
      <c r="C603">
        <v>5000</v>
      </c>
      <c r="D603">
        <v>3539</v>
      </c>
      <c r="E603" s="5">
        <f t="shared" si="37"/>
        <v>1461</v>
      </c>
      <c r="F603" s="5">
        <f t="shared" si="38"/>
        <v>2134521</v>
      </c>
      <c r="G603" s="6">
        <f>SQRT(SUM($F$2:F603)/A603)</f>
        <v>1361.1917853160737</v>
      </c>
      <c r="H603" s="5">
        <f t="shared" si="39"/>
        <v>0</v>
      </c>
      <c r="I603" s="5">
        <f t="shared" si="40"/>
        <v>0</v>
      </c>
    </row>
    <row r="604" spans="1:9">
      <c r="A604">
        <v>603</v>
      </c>
      <c r="B604">
        <v>3</v>
      </c>
      <c r="C604">
        <v>5000</v>
      </c>
      <c r="D604">
        <v>2837</v>
      </c>
      <c r="E604" s="5">
        <f t="shared" si="37"/>
        <v>2163</v>
      </c>
      <c r="F604" s="5">
        <f t="shared" si="38"/>
        <v>4678569</v>
      </c>
      <c r="G604" s="6">
        <f>SQRT(SUM($F$2:F604)/A604)</f>
        <v>1362.9120254274399</v>
      </c>
      <c r="H604" s="5">
        <f t="shared" si="39"/>
        <v>0</v>
      </c>
      <c r="I604" s="5">
        <f t="shared" si="40"/>
        <v>0</v>
      </c>
    </row>
    <row r="605" spans="1:9">
      <c r="A605">
        <v>604</v>
      </c>
      <c r="B605">
        <v>4</v>
      </c>
      <c r="C605">
        <v>5000</v>
      </c>
      <c r="D605">
        <v>3402</v>
      </c>
      <c r="E605" s="5">
        <f t="shared" si="37"/>
        <v>1598</v>
      </c>
      <c r="F605" s="5">
        <f t="shared" si="38"/>
        <v>2553604</v>
      </c>
      <c r="G605" s="6">
        <f>SQRT(SUM($F$2:F605)/A605)</f>
        <v>1363.3347464194926</v>
      </c>
      <c r="H605" s="5">
        <f t="shared" si="39"/>
        <v>0</v>
      </c>
      <c r="I605" s="5">
        <f t="shared" si="40"/>
        <v>0</v>
      </c>
    </row>
    <row r="606" spans="1:9">
      <c r="A606">
        <v>605</v>
      </c>
      <c r="B606">
        <v>4</v>
      </c>
      <c r="C606">
        <v>5000</v>
      </c>
      <c r="D606">
        <v>2941</v>
      </c>
      <c r="E606" s="5">
        <f t="shared" si="37"/>
        <v>2059</v>
      </c>
      <c r="F606" s="5">
        <f t="shared" si="38"/>
        <v>4239481</v>
      </c>
      <c r="G606" s="6">
        <f>SQRT(SUM($F$2:F606)/A606)</f>
        <v>1364.7772112559751</v>
      </c>
      <c r="H606" s="5">
        <f t="shared" si="39"/>
        <v>0</v>
      </c>
      <c r="I606" s="5">
        <f t="shared" si="40"/>
        <v>0</v>
      </c>
    </row>
    <row r="607" spans="1:9">
      <c r="A607">
        <v>606</v>
      </c>
      <c r="B607">
        <v>5</v>
      </c>
      <c r="C607">
        <v>5000</v>
      </c>
      <c r="D607">
        <v>3647</v>
      </c>
      <c r="E607" s="5">
        <f t="shared" si="37"/>
        <v>1353</v>
      </c>
      <c r="F607" s="5">
        <f t="shared" si="38"/>
        <v>1830609</v>
      </c>
      <c r="G607" s="6">
        <f>SQRT(SUM($F$2:F607)/A607)</f>
        <v>1364.7578606301615</v>
      </c>
      <c r="H607" s="5">
        <f t="shared" si="39"/>
        <v>0</v>
      </c>
      <c r="I607" s="5">
        <f t="shared" si="40"/>
        <v>0</v>
      </c>
    </row>
    <row r="608" spans="1:9">
      <c r="A608">
        <v>607</v>
      </c>
      <c r="B608">
        <v>4</v>
      </c>
      <c r="C608">
        <v>5000</v>
      </c>
      <c r="D608">
        <v>3237</v>
      </c>
      <c r="E608" s="5">
        <f t="shared" si="37"/>
        <v>1763</v>
      </c>
      <c r="F608" s="5">
        <f t="shared" si="38"/>
        <v>3108169</v>
      </c>
      <c r="G608" s="6">
        <f>SQRT(SUM($F$2:F608)/A608)</f>
        <v>1365.5094601163391</v>
      </c>
      <c r="H608" s="5">
        <f t="shared" si="39"/>
        <v>0</v>
      </c>
      <c r="I608" s="5">
        <f t="shared" si="40"/>
        <v>0</v>
      </c>
    </row>
    <row r="609" spans="1:9">
      <c r="A609">
        <v>608</v>
      </c>
      <c r="B609">
        <v>5</v>
      </c>
      <c r="C609">
        <v>5000</v>
      </c>
      <c r="D609">
        <v>3446</v>
      </c>
      <c r="E609" s="5">
        <f t="shared" si="37"/>
        <v>1554</v>
      </c>
      <c r="F609" s="5">
        <f t="shared" si="38"/>
        <v>2414916</v>
      </c>
      <c r="G609" s="6">
        <f>SQRT(SUM($F$2:F609)/A609)</f>
        <v>1365.8408341422971</v>
      </c>
      <c r="H609" s="5">
        <f t="shared" si="39"/>
        <v>0</v>
      </c>
      <c r="I609" s="5">
        <f t="shared" si="40"/>
        <v>0</v>
      </c>
    </row>
    <row r="610" spans="1:9">
      <c r="A610">
        <v>609</v>
      </c>
      <c r="B610">
        <v>6</v>
      </c>
      <c r="C610">
        <v>5000</v>
      </c>
      <c r="D610">
        <v>3761</v>
      </c>
      <c r="E610" s="5">
        <f t="shared" si="37"/>
        <v>1239</v>
      </c>
      <c r="F610" s="5">
        <f t="shared" si="38"/>
        <v>1535121</v>
      </c>
      <c r="G610" s="6">
        <f>SQRT(SUM($F$2:F610)/A610)</f>
        <v>1365.6422134557843</v>
      </c>
      <c r="H610" s="5">
        <f t="shared" si="39"/>
        <v>0</v>
      </c>
      <c r="I610" s="5">
        <f t="shared" si="40"/>
        <v>0</v>
      </c>
    </row>
    <row r="611" spans="1:9">
      <c r="A611">
        <v>610</v>
      </c>
      <c r="B611">
        <v>5</v>
      </c>
      <c r="C611">
        <v>5000</v>
      </c>
      <c r="D611">
        <v>3069</v>
      </c>
      <c r="E611" s="5">
        <f t="shared" si="37"/>
        <v>1931</v>
      </c>
      <c r="F611" s="5">
        <f t="shared" si="38"/>
        <v>3728761</v>
      </c>
      <c r="G611" s="6">
        <f>SQRT(SUM($F$2:F611)/A611)</f>
        <v>1366.760416483289</v>
      </c>
      <c r="H611" s="5">
        <f t="shared" si="39"/>
        <v>0</v>
      </c>
      <c r="I611" s="5">
        <f t="shared" si="40"/>
        <v>0</v>
      </c>
    </row>
    <row r="612" spans="1:9">
      <c r="A612">
        <v>611</v>
      </c>
      <c r="B612">
        <v>7</v>
      </c>
      <c r="C612">
        <v>5000</v>
      </c>
      <c r="D612">
        <v>4686</v>
      </c>
      <c r="E612" s="5">
        <f t="shared" si="37"/>
        <v>314</v>
      </c>
      <c r="F612" s="5">
        <f t="shared" si="38"/>
        <v>98596</v>
      </c>
      <c r="G612" s="6">
        <f>SQRT(SUM($F$2:F612)/A612)</f>
        <v>1365.7005767980215</v>
      </c>
      <c r="H612" s="5">
        <f t="shared" si="39"/>
        <v>1</v>
      </c>
      <c r="I612" s="5">
        <f t="shared" si="40"/>
        <v>1</v>
      </c>
    </row>
    <row r="613" spans="1:9">
      <c r="A613">
        <v>612</v>
      </c>
      <c r="B613">
        <v>5</v>
      </c>
      <c r="C613">
        <v>5000</v>
      </c>
      <c r="D613">
        <v>3508</v>
      </c>
      <c r="E613" s="5">
        <f t="shared" si="37"/>
        <v>1492</v>
      </c>
      <c r="F613" s="5">
        <f t="shared" si="38"/>
        <v>2226064</v>
      </c>
      <c r="G613" s="6">
        <f>SQRT(SUM($F$2:F613)/A613)</f>
        <v>1365.9164739197965</v>
      </c>
      <c r="H613" s="5">
        <f t="shared" si="39"/>
        <v>0</v>
      </c>
      <c r="I613" s="5">
        <f t="shared" si="40"/>
        <v>0</v>
      </c>
    </row>
    <row r="614" spans="1:9">
      <c r="A614">
        <v>613</v>
      </c>
      <c r="B614">
        <v>7</v>
      </c>
      <c r="C614">
        <v>5000</v>
      </c>
      <c r="D614">
        <v>5327</v>
      </c>
      <c r="E614" s="5">
        <f t="shared" si="37"/>
        <v>327</v>
      </c>
      <c r="F614" s="5">
        <f t="shared" si="38"/>
        <v>106929</v>
      </c>
      <c r="G614" s="6">
        <f>SQRT(SUM($F$2:F614)/A614)</f>
        <v>1364.8657983972578</v>
      </c>
      <c r="H614" s="5">
        <f t="shared" si="39"/>
        <v>1</v>
      </c>
      <c r="I614" s="5">
        <f t="shared" si="40"/>
        <v>1</v>
      </c>
    </row>
    <row r="615" spans="1:9">
      <c r="A615">
        <v>614</v>
      </c>
      <c r="B615">
        <v>5</v>
      </c>
      <c r="C615">
        <v>5000</v>
      </c>
      <c r="D615">
        <v>3751</v>
      </c>
      <c r="E615" s="5">
        <f t="shared" si="37"/>
        <v>1249</v>
      </c>
      <c r="F615" s="5">
        <f t="shared" si="38"/>
        <v>1560001</v>
      </c>
      <c r="G615" s="6">
        <f>SQRT(SUM($F$2:F615)/A615)</f>
        <v>1364.6850897319894</v>
      </c>
      <c r="H615" s="5">
        <f t="shared" si="39"/>
        <v>0</v>
      </c>
      <c r="I615" s="5">
        <f t="shared" si="40"/>
        <v>0</v>
      </c>
    </row>
    <row r="616" spans="1:9">
      <c r="A616">
        <v>615</v>
      </c>
      <c r="B616">
        <v>7</v>
      </c>
      <c r="C616">
        <v>5000</v>
      </c>
      <c r="D616">
        <v>4871</v>
      </c>
      <c r="E616" s="5">
        <f t="shared" si="37"/>
        <v>129</v>
      </c>
      <c r="F616" s="5">
        <f t="shared" si="38"/>
        <v>16641</v>
      </c>
      <c r="G616" s="6">
        <f>SQRT(SUM($F$2:F616)/A616)</f>
        <v>1363.5850601484906</v>
      </c>
      <c r="H616" s="5">
        <f t="shared" si="39"/>
        <v>1</v>
      </c>
      <c r="I616" s="5">
        <f t="shared" si="40"/>
        <v>1</v>
      </c>
    </row>
    <row r="617" spans="1:9">
      <c r="A617">
        <v>616</v>
      </c>
      <c r="B617">
        <v>6</v>
      </c>
      <c r="C617">
        <v>5000</v>
      </c>
      <c r="D617">
        <v>3802</v>
      </c>
      <c r="E617" s="5">
        <f t="shared" si="37"/>
        <v>1198</v>
      </c>
      <c r="F617" s="5">
        <f t="shared" si="38"/>
        <v>1435204</v>
      </c>
      <c r="G617" s="6">
        <f>SQRT(SUM($F$2:F617)/A617)</f>
        <v>1363.3325509502513</v>
      </c>
      <c r="H617" s="5">
        <f t="shared" si="39"/>
        <v>0</v>
      </c>
      <c r="I617" s="5">
        <f t="shared" si="40"/>
        <v>0</v>
      </c>
    </row>
    <row r="618" spans="1:9">
      <c r="A618">
        <v>617</v>
      </c>
      <c r="B618">
        <v>7</v>
      </c>
      <c r="C618">
        <v>5000</v>
      </c>
      <c r="D618">
        <v>4905</v>
      </c>
      <c r="E618" s="5">
        <f t="shared" si="37"/>
        <v>95</v>
      </c>
      <c r="F618" s="5">
        <f t="shared" si="38"/>
        <v>9025</v>
      </c>
      <c r="G618" s="6">
        <f>SQRT(SUM($F$2:F618)/A618)</f>
        <v>1362.2326642106566</v>
      </c>
      <c r="H618" s="5">
        <f t="shared" si="39"/>
        <v>1</v>
      </c>
      <c r="I618" s="5">
        <f t="shared" si="40"/>
        <v>1</v>
      </c>
    </row>
    <row r="619" spans="1:9">
      <c r="A619">
        <v>618</v>
      </c>
      <c r="B619">
        <v>6</v>
      </c>
      <c r="C619">
        <v>5000</v>
      </c>
      <c r="D619">
        <v>3856</v>
      </c>
      <c r="E619" s="5">
        <f t="shared" si="37"/>
        <v>1144</v>
      </c>
      <c r="F619" s="5">
        <f t="shared" si="38"/>
        <v>1308736</v>
      </c>
      <c r="G619" s="6">
        <f>SQRT(SUM($F$2:F619)/A619)</f>
        <v>1361.907784065329</v>
      </c>
      <c r="H619" s="5">
        <f t="shared" si="39"/>
        <v>0</v>
      </c>
      <c r="I619" s="5">
        <f t="shared" si="40"/>
        <v>0</v>
      </c>
    </row>
    <row r="620" spans="1:9">
      <c r="A620">
        <v>619</v>
      </c>
      <c r="B620">
        <v>7</v>
      </c>
      <c r="C620">
        <v>5000</v>
      </c>
      <c r="D620">
        <v>4252</v>
      </c>
      <c r="E620" s="5">
        <f t="shared" si="37"/>
        <v>748</v>
      </c>
      <c r="F620" s="5">
        <f t="shared" si="38"/>
        <v>559504</v>
      </c>
      <c r="G620" s="6">
        <f>SQRT(SUM($F$2:F620)/A620)</f>
        <v>1361.1393248717925</v>
      </c>
      <c r="H620" s="5">
        <f t="shared" si="39"/>
        <v>1</v>
      </c>
      <c r="I620" s="5">
        <f t="shared" si="40"/>
        <v>0</v>
      </c>
    </row>
    <row r="621" spans="1:9">
      <c r="A621">
        <v>620</v>
      </c>
      <c r="B621">
        <v>7</v>
      </c>
      <c r="C621">
        <v>5000</v>
      </c>
      <c r="D621">
        <v>4294</v>
      </c>
      <c r="E621" s="5">
        <f t="shared" si="37"/>
        <v>706</v>
      </c>
      <c r="F621" s="5">
        <f t="shared" si="38"/>
        <v>498436</v>
      </c>
      <c r="G621" s="6">
        <f>SQRT(SUM($F$2:F621)/A621)</f>
        <v>1360.3367099788675</v>
      </c>
      <c r="H621" s="5">
        <f t="shared" si="39"/>
        <v>1</v>
      </c>
      <c r="I621" s="5">
        <f t="shared" si="40"/>
        <v>0</v>
      </c>
    </row>
    <row r="622" spans="1:9">
      <c r="A622">
        <v>621</v>
      </c>
      <c r="B622">
        <v>7</v>
      </c>
      <c r="C622">
        <v>5000</v>
      </c>
      <c r="D622">
        <v>4106</v>
      </c>
      <c r="E622" s="5">
        <f t="shared" si="37"/>
        <v>894</v>
      </c>
      <c r="F622" s="5">
        <f t="shared" si="38"/>
        <v>799236</v>
      </c>
      <c r="G622" s="6">
        <f>SQRT(SUM($F$2:F622)/A622)</f>
        <v>1359.7143384275992</v>
      </c>
      <c r="H622" s="5">
        <f t="shared" si="39"/>
        <v>1</v>
      </c>
      <c r="I622" s="5">
        <f t="shared" si="40"/>
        <v>0</v>
      </c>
    </row>
    <row r="623" spans="1:9">
      <c r="A623">
        <v>622</v>
      </c>
      <c r="B623">
        <v>7</v>
      </c>
      <c r="C623">
        <v>5000</v>
      </c>
      <c r="D623">
        <v>3912</v>
      </c>
      <c r="E623" s="5">
        <f t="shared" si="37"/>
        <v>1088</v>
      </c>
      <c r="F623" s="5">
        <f t="shared" si="38"/>
        <v>1183744</v>
      </c>
      <c r="G623" s="6">
        <f>SQRT(SUM($F$2:F623)/A623)</f>
        <v>1359.3210890555349</v>
      </c>
      <c r="H623" s="5">
        <f t="shared" si="39"/>
        <v>0</v>
      </c>
      <c r="I623" s="5">
        <f t="shared" si="40"/>
        <v>0</v>
      </c>
    </row>
    <row r="624" spans="1:9">
      <c r="A624">
        <v>623</v>
      </c>
      <c r="B624">
        <v>8</v>
      </c>
      <c r="C624">
        <v>5000</v>
      </c>
      <c r="D624">
        <v>5515</v>
      </c>
      <c r="E624" s="5">
        <f t="shared" si="37"/>
        <v>515</v>
      </c>
      <c r="F624" s="5">
        <f t="shared" si="38"/>
        <v>265225</v>
      </c>
      <c r="G624" s="6">
        <f>SQRT(SUM($F$2:F624)/A624)</f>
        <v>1358.3864135344995</v>
      </c>
      <c r="H624" s="5">
        <f t="shared" si="39"/>
        <v>1</v>
      </c>
      <c r="I624" s="5">
        <f t="shared" si="40"/>
        <v>0</v>
      </c>
    </row>
    <row r="625" spans="1:9">
      <c r="A625">
        <v>624</v>
      </c>
      <c r="B625">
        <v>6</v>
      </c>
      <c r="C625">
        <v>5000</v>
      </c>
      <c r="D625">
        <v>4545</v>
      </c>
      <c r="E625" s="5">
        <f t="shared" si="37"/>
        <v>455</v>
      </c>
      <c r="F625" s="5">
        <f t="shared" si="38"/>
        <v>207025</v>
      </c>
      <c r="G625" s="6">
        <f>SQRT(SUM($F$2:F625)/A625)</f>
        <v>1357.4197383837641</v>
      </c>
      <c r="H625" s="5">
        <f t="shared" si="39"/>
        <v>1</v>
      </c>
      <c r="I625" s="5">
        <f t="shared" si="40"/>
        <v>1</v>
      </c>
    </row>
    <row r="626" spans="1:9">
      <c r="A626">
        <v>625</v>
      </c>
      <c r="B626">
        <v>7</v>
      </c>
      <c r="C626">
        <v>5000</v>
      </c>
      <c r="D626">
        <v>4365</v>
      </c>
      <c r="E626" s="5">
        <f t="shared" si="37"/>
        <v>635</v>
      </c>
      <c r="F626" s="5">
        <f t="shared" si="38"/>
        <v>403225</v>
      </c>
      <c r="G626" s="6">
        <f>SQRT(SUM($F$2:F626)/A626)</f>
        <v>1356.5711794078481</v>
      </c>
      <c r="H626" s="5">
        <f t="shared" si="39"/>
        <v>1</v>
      </c>
      <c r="I626" s="5">
        <f t="shared" si="40"/>
        <v>0</v>
      </c>
    </row>
    <row r="627" spans="1:9">
      <c r="A627">
        <v>626</v>
      </c>
      <c r="B627">
        <v>8</v>
      </c>
      <c r="C627">
        <v>5000</v>
      </c>
      <c r="D627">
        <v>5165</v>
      </c>
      <c r="E627" s="5">
        <f t="shared" si="37"/>
        <v>165</v>
      </c>
      <c r="F627" s="5">
        <f t="shared" si="38"/>
        <v>27225</v>
      </c>
      <c r="G627" s="6">
        <f>SQRT(SUM($F$2:F627)/A627)</f>
        <v>1355.5032652990628</v>
      </c>
      <c r="H627" s="5">
        <f t="shared" si="39"/>
        <v>1</v>
      </c>
      <c r="I627" s="5">
        <f t="shared" si="40"/>
        <v>1</v>
      </c>
    </row>
    <row r="628" spans="1:9">
      <c r="A628">
        <v>627</v>
      </c>
      <c r="B628">
        <v>7</v>
      </c>
      <c r="C628">
        <v>5000</v>
      </c>
      <c r="D628">
        <v>4855</v>
      </c>
      <c r="E628" s="5">
        <f t="shared" si="37"/>
        <v>145</v>
      </c>
      <c r="F628" s="5">
        <f t="shared" si="38"/>
        <v>21025</v>
      </c>
      <c r="G628" s="6">
        <f>SQRT(SUM($F$2:F628)/A628)</f>
        <v>1354.4342692772741</v>
      </c>
      <c r="H628" s="5">
        <f t="shared" si="39"/>
        <v>1</v>
      </c>
      <c r="I628" s="5">
        <f t="shared" si="40"/>
        <v>1</v>
      </c>
    </row>
    <row r="629" spans="1:9">
      <c r="A629">
        <v>628</v>
      </c>
      <c r="B629">
        <v>7</v>
      </c>
      <c r="C629">
        <v>5000</v>
      </c>
      <c r="D629">
        <v>4860</v>
      </c>
      <c r="E629" s="5">
        <f t="shared" si="37"/>
        <v>140</v>
      </c>
      <c r="F629" s="5">
        <f t="shared" si="38"/>
        <v>19600</v>
      </c>
      <c r="G629" s="6">
        <f>SQRT(SUM($F$2:F629)/A629)</f>
        <v>1353.3669990347898</v>
      </c>
      <c r="H629" s="5">
        <f t="shared" si="39"/>
        <v>1</v>
      </c>
      <c r="I629" s="5">
        <f t="shared" si="40"/>
        <v>1</v>
      </c>
    </row>
    <row r="630" spans="1:9">
      <c r="A630">
        <v>629</v>
      </c>
      <c r="B630">
        <v>7</v>
      </c>
      <c r="C630">
        <v>5000</v>
      </c>
      <c r="D630">
        <v>4962</v>
      </c>
      <c r="E630" s="5">
        <f t="shared" si="37"/>
        <v>38</v>
      </c>
      <c r="F630" s="5">
        <f t="shared" si="38"/>
        <v>1444</v>
      </c>
      <c r="G630" s="6">
        <f>SQRT(SUM($F$2:F630)/A630)</f>
        <v>1352.2916115038649</v>
      </c>
      <c r="H630" s="5">
        <f t="shared" si="39"/>
        <v>1</v>
      </c>
      <c r="I630" s="5">
        <f t="shared" si="40"/>
        <v>1</v>
      </c>
    </row>
    <row r="631" spans="1:9">
      <c r="A631">
        <v>630</v>
      </c>
      <c r="B631">
        <v>7</v>
      </c>
      <c r="C631">
        <v>5000</v>
      </c>
      <c r="D631">
        <v>4740</v>
      </c>
      <c r="E631" s="5">
        <f t="shared" si="37"/>
        <v>260</v>
      </c>
      <c r="F631" s="5">
        <f t="shared" si="38"/>
        <v>67600</v>
      </c>
      <c r="G631" s="6">
        <f>SQRT(SUM($F$2:F631)/A631)</f>
        <v>1351.2576428869208</v>
      </c>
      <c r="H631" s="5">
        <f t="shared" si="39"/>
        <v>1</v>
      </c>
      <c r="I631" s="5">
        <f t="shared" si="40"/>
        <v>1</v>
      </c>
    </row>
    <row r="632" spans="1:9">
      <c r="A632">
        <v>631</v>
      </c>
      <c r="B632">
        <v>7</v>
      </c>
      <c r="C632">
        <v>5000</v>
      </c>
      <c r="D632">
        <v>4673</v>
      </c>
      <c r="E632" s="5">
        <f t="shared" si="37"/>
        <v>327</v>
      </c>
      <c r="F632" s="5">
        <f t="shared" si="38"/>
        <v>106929</v>
      </c>
      <c r="G632" s="6">
        <f>SQRT(SUM($F$2:F632)/A632)</f>
        <v>1350.2492438813726</v>
      </c>
      <c r="H632" s="5">
        <f t="shared" si="39"/>
        <v>1</v>
      </c>
      <c r="I632" s="5">
        <f t="shared" si="40"/>
        <v>1</v>
      </c>
    </row>
    <row r="633" spans="1:9">
      <c r="A633">
        <v>632</v>
      </c>
      <c r="B633">
        <v>7</v>
      </c>
      <c r="C633">
        <v>5000</v>
      </c>
      <c r="D633">
        <v>4601</v>
      </c>
      <c r="E633" s="5">
        <f t="shared" si="37"/>
        <v>399</v>
      </c>
      <c r="F633" s="5">
        <f t="shared" si="38"/>
        <v>159201</v>
      </c>
      <c r="G633" s="6">
        <f>SQRT(SUM($F$2:F633)/A633)</f>
        <v>1349.273935670964</v>
      </c>
      <c r="H633" s="5">
        <f t="shared" si="39"/>
        <v>1</v>
      </c>
      <c r="I633" s="5">
        <f t="shared" si="40"/>
        <v>1</v>
      </c>
    </row>
    <row r="634" spans="1:9">
      <c r="A634">
        <v>633</v>
      </c>
      <c r="B634">
        <v>8</v>
      </c>
      <c r="C634">
        <v>5000</v>
      </c>
      <c r="D634">
        <v>5219</v>
      </c>
      <c r="E634" s="5">
        <f t="shared" si="37"/>
        <v>219</v>
      </c>
      <c r="F634" s="5">
        <f t="shared" si="38"/>
        <v>47961</v>
      </c>
      <c r="G634" s="6">
        <f>SQRT(SUM($F$2:F634)/A634)</f>
        <v>1348.2358363647422</v>
      </c>
      <c r="H634" s="5">
        <f t="shared" si="39"/>
        <v>1</v>
      </c>
      <c r="I634" s="5">
        <f t="shared" si="40"/>
        <v>1</v>
      </c>
    </row>
    <row r="635" spans="1:9">
      <c r="A635">
        <v>634</v>
      </c>
      <c r="B635">
        <v>7</v>
      </c>
      <c r="C635">
        <v>5000</v>
      </c>
      <c r="D635">
        <v>5119</v>
      </c>
      <c r="E635" s="5">
        <f t="shared" si="37"/>
        <v>119</v>
      </c>
      <c r="F635" s="5">
        <f t="shared" si="38"/>
        <v>14161</v>
      </c>
      <c r="G635" s="6">
        <f>SQRT(SUM($F$2:F635)/A635)</f>
        <v>1347.1804292049405</v>
      </c>
      <c r="H635" s="5">
        <f t="shared" si="39"/>
        <v>1</v>
      </c>
      <c r="I635" s="5">
        <f t="shared" si="40"/>
        <v>1</v>
      </c>
    </row>
    <row r="636" spans="1:9">
      <c r="A636">
        <v>635</v>
      </c>
      <c r="B636">
        <v>7</v>
      </c>
      <c r="C636">
        <v>5000</v>
      </c>
      <c r="D636">
        <v>4546</v>
      </c>
      <c r="E636" s="5">
        <f t="shared" si="37"/>
        <v>454</v>
      </c>
      <c r="F636" s="5">
        <f t="shared" si="38"/>
        <v>206116</v>
      </c>
      <c r="G636" s="6">
        <f>SQRT(SUM($F$2:F636)/A636)</f>
        <v>1346.2397997478745</v>
      </c>
      <c r="H636" s="5">
        <f t="shared" si="39"/>
        <v>1</v>
      </c>
      <c r="I636" s="5">
        <f t="shared" si="40"/>
        <v>1</v>
      </c>
    </row>
    <row r="637" spans="1:9">
      <c r="A637">
        <v>636</v>
      </c>
      <c r="B637">
        <v>8</v>
      </c>
      <c r="C637">
        <v>5000</v>
      </c>
      <c r="D637">
        <v>4525</v>
      </c>
      <c r="E637" s="5">
        <f t="shared" si="37"/>
        <v>475</v>
      </c>
      <c r="F637" s="5">
        <f t="shared" si="38"/>
        <v>225625</v>
      </c>
      <c r="G637" s="6">
        <f>SQRT(SUM($F$2:F637)/A637)</f>
        <v>1345.3128742265676</v>
      </c>
      <c r="H637" s="5">
        <f t="shared" si="39"/>
        <v>1</v>
      </c>
      <c r="I637" s="5">
        <f t="shared" si="40"/>
        <v>1</v>
      </c>
    </row>
    <row r="638" spans="1:9">
      <c r="A638">
        <v>637</v>
      </c>
      <c r="B638">
        <v>8</v>
      </c>
      <c r="C638">
        <v>5000</v>
      </c>
      <c r="D638">
        <v>4453</v>
      </c>
      <c r="E638" s="5">
        <f t="shared" si="37"/>
        <v>547</v>
      </c>
      <c r="F638" s="5">
        <f t="shared" si="38"/>
        <v>299209</v>
      </c>
      <c r="G638" s="6">
        <f>SQRT(SUM($F$2:F638)/A638)</f>
        <v>1344.4311846878097</v>
      </c>
      <c r="H638" s="5">
        <f t="shared" si="39"/>
        <v>1</v>
      </c>
      <c r="I638" s="5">
        <f t="shared" si="40"/>
        <v>0</v>
      </c>
    </row>
    <row r="639" spans="1:9">
      <c r="A639">
        <v>638</v>
      </c>
      <c r="B639">
        <v>8</v>
      </c>
      <c r="C639">
        <v>5000</v>
      </c>
      <c r="D639">
        <v>5227</v>
      </c>
      <c r="E639" s="5">
        <f t="shared" si="37"/>
        <v>227</v>
      </c>
      <c r="F639" s="5">
        <f t="shared" si="38"/>
        <v>51529</v>
      </c>
      <c r="G639" s="6">
        <f>SQRT(SUM($F$2:F639)/A639)</f>
        <v>1343.407202684914</v>
      </c>
      <c r="H639" s="5">
        <f t="shared" si="39"/>
        <v>1</v>
      </c>
      <c r="I639" s="5">
        <f t="shared" si="40"/>
        <v>1</v>
      </c>
    </row>
    <row r="640" spans="1:9">
      <c r="A640">
        <v>639</v>
      </c>
      <c r="B640">
        <v>7</v>
      </c>
      <c r="C640">
        <v>5000</v>
      </c>
      <c r="D640">
        <v>4683</v>
      </c>
      <c r="E640" s="5">
        <f t="shared" si="37"/>
        <v>317</v>
      </c>
      <c r="F640" s="5">
        <f t="shared" si="38"/>
        <v>100489</v>
      </c>
      <c r="G640" s="6">
        <f>SQRT(SUM($F$2:F640)/A640)</f>
        <v>1342.4141865312333</v>
      </c>
      <c r="H640" s="5">
        <f t="shared" si="39"/>
        <v>1</v>
      </c>
      <c r="I640" s="5">
        <f t="shared" si="40"/>
        <v>1</v>
      </c>
    </row>
    <row r="641" spans="1:9">
      <c r="A641">
        <v>640</v>
      </c>
      <c r="B641">
        <v>8</v>
      </c>
      <c r="C641">
        <v>5000</v>
      </c>
      <c r="D641">
        <v>5291</v>
      </c>
      <c r="E641" s="5">
        <f t="shared" si="37"/>
        <v>291</v>
      </c>
      <c r="F641" s="5">
        <f t="shared" si="38"/>
        <v>84681</v>
      </c>
      <c r="G641" s="6">
        <f>SQRT(SUM($F$2:F641)/A641)</f>
        <v>1341.4143352260703</v>
      </c>
      <c r="H641" s="5">
        <f t="shared" si="39"/>
        <v>1</v>
      </c>
      <c r="I641" s="5">
        <f t="shared" si="40"/>
        <v>1</v>
      </c>
    </row>
    <row r="642" spans="1:9">
      <c r="A642">
        <v>641</v>
      </c>
      <c r="B642">
        <v>7</v>
      </c>
      <c r="C642">
        <v>5000</v>
      </c>
      <c r="D642">
        <v>3752</v>
      </c>
      <c r="E642" s="5">
        <f t="shared" si="37"/>
        <v>1248</v>
      </c>
      <c r="F642" s="5">
        <f t="shared" si="38"/>
        <v>1557504</v>
      </c>
      <c r="G642" s="6">
        <f>SQRT(SUM($F$2:F642)/A642)</f>
        <v>1341.2736699578907</v>
      </c>
      <c r="H642" s="5">
        <f t="shared" si="39"/>
        <v>0</v>
      </c>
      <c r="I642" s="5">
        <f t="shared" si="40"/>
        <v>0</v>
      </c>
    </row>
    <row r="643" spans="1:9">
      <c r="A643">
        <v>642</v>
      </c>
      <c r="B643">
        <v>9</v>
      </c>
      <c r="C643">
        <v>5000</v>
      </c>
      <c r="D643">
        <v>4358</v>
      </c>
      <c r="E643" s="5">
        <f t="shared" ref="E643:E706" si="41">ABS(C643-D643)</f>
        <v>642</v>
      </c>
      <c r="F643" s="5">
        <f t="shared" ref="F643:F706" si="42">POWER(E643,2)</f>
        <v>412164</v>
      </c>
      <c r="G643" s="6">
        <f>SQRT(SUM($F$2:F643)/A643)</f>
        <v>1340.4681471719327</v>
      </c>
      <c r="H643" s="5">
        <f t="shared" ref="H643:H706" si="43">IF(ABS(E643)/C643&gt;0.2,0,1)</f>
        <v>1</v>
      </c>
      <c r="I643" s="5">
        <f t="shared" ref="I643:I706" si="44">IF(ABS(E643)/C643&gt;0.1,0,1)</f>
        <v>0</v>
      </c>
    </row>
    <row r="644" spans="1:9">
      <c r="A644">
        <v>643</v>
      </c>
      <c r="B644">
        <v>9</v>
      </c>
      <c r="C644">
        <v>5000</v>
      </c>
      <c r="D644">
        <v>2481</v>
      </c>
      <c r="E644" s="5">
        <f t="shared" si="41"/>
        <v>2519</v>
      </c>
      <c r="F644" s="5">
        <f t="shared" si="42"/>
        <v>6345361</v>
      </c>
      <c r="G644" s="6">
        <f>SQRT(SUM($F$2:F644)/A644)</f>
        <v>1343.1041417605368</v>
      </c>
      <c r="H644" s="5">
        <f t="shared" si="43"/>
        <v>0</v>
      </c>
      <c r="I644" s="5">
        <f t="shared" si="44"/>
        <v>0</v>
      </c>
    </row>
    <row r="645" spans="1:9">
      <c r="A645">
        <v>644</v>
      </c>
      <c r="B645">
        <v>11</v>
      </c>
      <c r="C645">
        <v>5000</v>
      </c>
      <c r="D645">
        <v>5790</v>
      </c>
      <c r="E645" s="5">
        <f t="shared" si="41"/>
        <v>790</v>
      </c>
      <c r="F645" s="5">
        <f t="shared" si="42"/>
        <v>624100</v>
      </c>
      <c r="G645" s="6">
        <f>SQRT(SUM($F$2:F645)/A645)</f>
        <v>1342.4219543109944</v>
      </c>
      <c r="H645" s="5">
        <f t="shared" si="43"/>
        <v>1</v>
      </c>
      <c r="I645" s="5">
        <f t="shared" si="44"/>
        <v>0</v>
      </c>
    </row>
    <row r="646" spans="1:9">
      <c r="A646">
        <v>645</v>
      </c>
      <c r="B646">
        <v>8</v>
      </c>
      <c r="C646">
        <v>5000</v>
      </c>
      <c r="D646">
        <v>3716</v>
      </c>
      <c r="E646" s="5">
        <f t="shared" si="41"/>
        <v>1284</v>
      </c>
      <c r="F646" s="5">
        <f t="shared" si="42"/>
        <v>1648656</v>
      </c>
      <c r="G646" s="6">
        <f>SQRT(SUM($F$2:F646)/A646)</f>
        <v>1342.3333456532744</v>
      </c>
      <c r="H646" s="5">
        <f t="shared" si="43"/>
        <v>0</v>
      </c>
      <c r="I646" s="5">
        <f t="shared" si="44"/>
        <v>0</v>
      </c>
    </row>
    <row r="647" spans="1:9">
      <c r="A647">
        <v>646</v>
      </c>
      <c r="B647">
        <v>10</v>
      </c>
      <c r="C647">
        <v>5000</v>
      </c>
      <c r="D647">
        <v>4714</v>
      </c>
      <c r="E647" s="5">
        <f t="shared" si="41"/>
        <v>286</v>
      </c>
      <c r="F647" s="5">
        <f t="shared" si="42"/>
        <v>81796</v>
      </c>
      <c r="G647" s="6">
        <f>SQRT(SUM($F$2:F647)/A647)</f>
        <v>1341.3411851287503</v>
      </c>
      <c r="H647" s="5">
        <f t="shared" si="43"/>
        <v>1</v>
      </c>
      <c r="I647" s="5">
        <f t="shared" si="44"/>
        <v>1</v>
      </c>
    </row>
    <row r="648" spans="1:9">
      <c r="A648">
        <v>647</v>
      </c>
      <c r="B648">
        <v>9</v>
      </c>
      <c r="C648">
        <v>5000</v>
      </c>
      <c r="D648">
        <v>5003</v>
      </c>
      <c r="E648" s="5">
        <f t="shared" si="41"/>
        <v>3</v>
      </c>
      <c r="F648" s="5">
        <f t="shared" si="42"/>
        <v>9</v>
      </c>
      <c r="G648" s="6">
        <f>SQRT(SUM($F$2:F648)/A648)</f>
        <v>1340.304204322156</v>
      </c>
      <c r="H648" s="5">
        <f t="shared" si="43"/>
        <v>1</v>
      </c>
      <c r="I648" s="5">
        <f t="shared" si="44"/>
        <v>1</v>
      </c>
    </row>
    <row r="649" spans="1:9">
      <c r="A649">
        <v>648</v>
      </c>
      <c r="B649">
        <v>9</v>
      </c>
      <c r="C649">
        <v>5000</v>
      </c>
      <c r="D649">
        <v>5611</v>
      </c>
      <c r="E649" s="5">
        <f t="shared" si="41"/>
        <v>611</v>
      </c>
      <c r="F649" s="5">
        <f t="shared" si="42"/>
        <v>373321</v>
      </c>
      <c r="G649" s="6">
        <f>SQRT(SUM($F$2:F649)/A649)</f>
        <v>1339.4846870538879</v>
      </c>
      <c r="H649" s="5">
        <f t="shared" si="43"/>
        <v>1</v>
      </c>
      <c r="I649" s="5">
        <f t="shared" si="44"/>
        <v>0</v>
      </c>
    </row>
    <row r="650" spans="1:9">
      <c r="A650">
        <v>649</v>
      </c>
      <c r="B650">
        <v>8</v>
      </c>
      <c r="C650">
        <v>5000</v>
      </c>
      <c r="D650">
        <v>4987</v>
      </c>
      <c r="E650" s="5">
        <f t="shared" si="41"/>
        <v>13</v>
      </c>
      <c r="F650" s="5">
        <f t="shared" si="42"/>
        <v>169</v>
      </c>
      <c r="G650" s="6">
        <f>SQRT(SUM($F$2:F650)/A650)</f>
        <v>1338.4524260369708</v>
      </c>
      <c r="H650" s="5">
        <f t="shared" si="43"/>
        <v>1</v>
      </c>
      <c r="I650" s="5">
        <f t="shared" si="44"/>
        <v>1</v>
      </c>
    </row>
    <row r="651" spans="1:9">
      <c r="A651">
        <v>650</v>
      </c>
      <c r="B651">
        <v>9</v>
      </c>
      <c r="C651">
        <v>5000</v>
      </c>
      <c r="D651">
        <v>6331</v>
      </c>
      <c r="E651" s="5">
        <f t="shared" si="41"/>
        <v>1331</v>
      </c>
      <c r="F651" s="5">
        <f t="shared" si="42"/>
        <v>1771561</v>
      </c>
      <c r="G651" s="6">
        <f>SQRT(SUM($F$2:F651)/A651)</f>
        <v>1338.4409926362951</v>
      </c>
      <c r="H651" s="5">
        <f t="shared" si="43"/>
        <v>0</v>
      </c>
      <c r="I651" s="5">
        <f t="shared" si="44"/>
        <v>0</v>
      </c>
    </row>
    <row r="652" spans="1:9">
      <c r="A652">
        <v>651</v>
      </c>
      <c r="B652">
        <v>7</v>
      </c>
      <c r="C652">
        <v>5000</v>
      </c>
      <c r="D652">
        <v>4116</v>
      </c>
      <c r="E652" s="5">
        <f t="shared" si="41"/>
        <v>884</v>
      </c>
      <c r="F652" s="5">
        <f t="shared" si="42"/>
        <v>781456</v>
      </c>
      <c r="G652" s="6">
        <f>SQRT(SUM($F$2:F652)/A652)</f>
        <v>1337.8613082768827</v>
      </c>
      <c r="H652" s="5">
        <f t="shared" si="43"/>
        <v>1</v>
      </c>
      <c r="I652" s="5">
        <f t="shared" si="44"/>
        <v>0</v>
      </c>
    </row>
    <row r="653" spans="1:9">
      <c r="A653">
        <v>652</v>
      </c>
      <c r="B653">
        <v>9</v>
      </c>
      <c r="C653">
        <v>5000</v>
      </c>
      <c r="D653">
        <v>5987</v>
      </c>
      <c r="E653" s="5">
        <f t="shared" si="41"/>
        <v>987</v>
      </c>
      <c r="F653" s="5">
        <f t="shared" si="42"/>
        <v>974169</v>
      </c>
      <c r="G653" s="6">
        <f>SQRT(SUM($F$2:F653)/A653)</f>
        <v>1337.3936595533482</v>
      </c>
      <c r="H653" s="5">
        <f t="shared" si="43"/>
        <v>1</v>
      </c>
      <c r="I653" s="5">
        <f t="shared" si="44"/>
        <v>0</v>
      </c>
    </row>
    <row r="654" spans="1:9">
      <c r="A654">
        <v>653</v>
      </c>
      <c r="B654">
        <v>7</v>
      </c>
      <c r="C654">
        <v>5000</v>
      </c>
      <c r="D654">
        <v>5153</v>
      </c>
      <c r="E654" s="5">
        <f t="shared" si="41"/>
        <v>153</v>
      </c>
      <c r="F654" s="5">
        <f t="shared" si="42"/>
        <v>23409</v>
      </c>
      <c r="G654" s="6">
        <f>SQRT(SUM($F$2:F654)/A654)</f>
        <v>1336.3826417176431</v>
      </c>
      <c r="H654" s="5">
        <f t="shared" si="43"/>
        <v>1</v>
      </c>
      <c r="I654" s="5">
        <f t="shared" si="44"/>
        <v>1</v>
      </c>
    </row>
    <row r="655" spans="1:9">
      <c r="A655">
        <v>654</v>
      </c>
      <c r="B655">
        <v>8</v>
      </c>
      <c r="C655">
        <v>5000</v>
      </c>
      <c r="D655">
        <v>5257</v>
      </c>
      <c r="E655" s="5">
        <f t="shared" si="41"/>
        <v>257</v>
      </c>
      <c r="F655" s="5">
        <f t="shared" si="42"/>
        <v>66049</v>
      </c>
      <c r="G655" s="6">
        <f>SQRT(SUM($F$2:F655)/A655)</f>
        <v>1335.3983656973051</v>
      </c>
      <c r="H655" s="5">
        <f t="shared" si="43"/>
        <v>1</v>
      </c>
      <c r="I655" s="5">
        <f t="shared" si="44"/>
        <v>1</v>
      </c>
    </row>
    <row r="656" spans="1:9">
      <c r="A656">
        <v>655</v>
      </c>
      <c r="B656">
        <v>8</v>
      </c>
      <c r="C656">
        <v>5000</v>
      </c>
      <c r="D656">
        <v>5060</v>
      </c>
      <c r="E656" s="5">
        <f t="shared" si="41"/>
        <v>60</v>
      </c>
      <c r="F656" s="5">
        <f t="shared" si="42"/>
        <v>3600</v>
      </c>
      <c r="G656" s="6">
        <f>SQRT(SUM($F$2:F656)/A656)</f>
        <v>1334.3806477078042</v>
      </c>
      <c r="H656" s="5">
        <f t="shared" si="43"/>
        <v>1</v>
      </c>
      <c r="I656" s="5">
        <f t="shared" si="44"/>
        <v>1</v>
      </c>
    </row>
    <row r="657" spans="1:9">
      <c r="A657">
        <v>656</v>
      </c>
      <c r="B657">
        <v>8</v>
      </c>
      <c r="C657">
        <v>5000</v>
      </c>
      <c r="D657">
        <v>5389</v>
      </c>
      <c r="E657" s="5">
        <f t="shared" si="41"/>
        <v>389</v>
      </c>
      <c r="F657" s="5">
        <f t="shared" si="42"/>
        <v>151321</v>
      </c>
      <c r="G657" s="6">
        <f>SQRT(SUM($F$2:F657)/A657)</f>
        <v>1333.4496987458378</v>
      </c>
      <c r="H657" s="5">
        <f t="shared" si="43"/>
        <v>1</v>
      </c>
      <c r="I657" s="5">
        <f t="shared" si="44"/>
        <v>1</v>
      </c>
    </row>
    <row r="658" spans="1:9">
      <c r="A658">
        <v>657</v>
      </c>
      <c r="B658">
        <v>8</v>
      </c>
      <c r="C658">
        <v>5000</v>
      </c>
      <c r="D658">
        <v>4569</v>
      </c>
      <c r="E658" s="5">
        <f t="shared" si="41"/>
        <v>431</v>
      </c>
      <c r="F658" s="5">
        <f t="shared" si="42"/>
        <v>185761</v>
      </c>
      <c r="G658" s="6">
        <f>SQRT(SUM($F$2:F658)/A658)</f>
        <v>1332.5406056677691</v>
      </c>
      <c r="H658" s="5">
        <f t="shared" si="43"/>
        <v>1</v>
      </c>
      <c r="I658" s="5">
        <f t="shared" si="44"/>
        <v>1</v>
      </c>
    </row>
    <row r="659" spans="1:9">
      <c r="A659">
        <v>658</v>
      </c>
      <c r="B659">
        <v>9</v>
      </c>
      <c r="C659">
        <v>5000</v>
      </c>
      <c r="D659">
        <v>5015</v>
      </c>
      <c r="E659" s="5">
        <f t="shared" si="41"/>
        <v>15</v>
      </c>
      <c r="F659" s="5">
        <f t="shared" si="42"/>
        <v>225</v>
      </c>
      <c r="G659" s="6">
        <f>SQRT(SUM($F$2:F659)/A659)</f>
        <v>1331.5277802146236</v>
      </c>
      <c r="H659" s="5">
        <f t="shared" si="43"/>
        <v>1</v>
      </c>
      <c r="I659" s="5">
        <f t="shared" si="44"/>
        <v>1</v>
      </c>
    </row>
    <row r="660" spans="1:9">
      <c r="A660">
        <v>659</v>
      </c>
      <c r="B660">
        <v>8</v>
      </c>
      <c r="C660">
        <v>5000</v>
      </c>
      <c r="D660">
        <v>5008</v>
      </c>
      <c r="E660" s="5">
        <f t="shared" si="41"/>
        <v>8</v>
      </c>
      <c r="F660" s="5">
        <f t="shared" si="42"/>
        <v>64</v>
      </c>
      <c r="G660" s="6">
        <f>SQRT(SUM($F$2:F660)/A660)</f>
        <v>1330.5171692934</v>
      </c>
      <c r="H660" s="5">
        <f t="shared" si="43"/>
        <v>1</v>
      </c>
      <c r="I660" s="5">
        <f t="shared" si="44"/>
        <v>1</v>
      </c>
    </row>
    <row r="661" spans="1:9">
      <c r="A661">
        <v>660</v>
      </c>
      <c r="B661">
        <v>8</v>
      </c>
      <c r="C661">
        <v>5000</v>
      </c>
      <c r="D661">
        <v>4806</v>
      </c>
      <c r="E661" s="5">
        <f t="shared" si="41"/>
        <v>194</v>
      </c>
      <c r="F661" s="5">
        <f t="shared" si="42"/>
        <v>37636</v>
      </c>
      <c r="G661" s="6">
        <f>SQRT(SUM($F$2:F661)/A661)</f>
        <v>1329.5302650776987</v>
      </c>
      <c r="H661" s="5">
        <f t="shared" si="43"/>
        <v>1</v>
      </c>
      <c r="I661" s="5">
        <f t="shared" si="44"/>
        <v>1</v>
      </c>
    </row>
    <row r="662" spans="1:9">
      <c r="A662">
        <v>661</v>
      </c>
      <c r="B662">
        <v>8</v>
      </c>
      <c r="C662">
        <v>5000</v>
      </c>
      <c r="D662">
        <v>5362</v>
      </c>
      <c r="E662" s="5">
        <f t="shared" si="41"/>
        <v>362</v>
      </c>
      <c r="F662" s="5">
        <f t="shared" si="42"/>
        <v>131044</v>
      </c>
      <c r="G662" s="6">
        <f>SQRT(SUM($F$2:F662)/A662)</f>
        <v>1328.598799504721</v>
      </c>
      <c r="H662" s="5">
        <f t="shared" si="43"/>
        <v>1</v>
      </c>
      <c r="I662" s="5">
        <f t="shared" si="44"/>
        <v>1</v>
      </c>
    </row>
    <row r="663" spans="1:9">
      <c r="A663">
        <v>662</v>
      </c>
      <c r="B663">
        <v>8</v>
      </c>
      <c r="C663">
        <v>5000</v>
      </c>
      <c r="D663">
        <v>5569</v>
      </c>
      <c r="E663" s="5">
        <f t="shared" si="41"/>
        <v>569</v>
      </c>
      <c r="F663" s="5">
        <f t="shared" si="42"/>
        <v>323761</v>
      </c>
      <c r="G663" s="6">
        <f>SQRT(SUM($F$2:F663)/A663)</f>
        <v>1327.7791261557718</v>
      </c>
      <c r="H663" s="5">
        <f t="shared" si="43"/>
        <v>1</v>
      </c>
      <c r="I663" s="5">
        <f t="shared" si="44"/>
        <v>0</v>
      </c>
    </row>
    <row r="664" spans="1:9">
      <c r="A664">
        <v>663</v>
      </c>
      <c r="B664">
        <v>7</v>
      </c>
      <c r="C664">
        <v>5000</v>
      </c>
      <c r="D664">
        <v>4309</v>
      </c>
      <c r="E664" s="5">
        <f t="shared" si="41"/>
        <v>691</v>
      </c>
      <c r="F664" s="5">
        <f t="shared" si="42"/>
        <v>477481</v>
      </c>
      <c r="G664" s="6">
        <f>SQRT(SUM($F$2:F664)/A664)</f>
        <v>1327.0487817258036</v>
      </c>
      <c r="H664" s="5">
        <f t="shared" si="43"/>
        <v>1</v>
      </c>
      <c r="I664" s="5">
        <f t="shared" si="44"/>
        <v>0</v>
      </c>
    </row>
    <row r="665" spans="1:9">
      <c r="A665">
        <v>664</v>
      </c>
      <c r="B665">
        <v>9</v>
      </c>
      <c r="C665">
        <v>5000</v>
      </c>
      <c r="D665">
        <v>5637</v>
      </c>
      <c r="E665" s="5">
        <f t="shared" si="41"/>
        <v>637</v>
      </c>
      <c r="F665" s="5">
        <f t="shared" si="42"/>
        <v>405769</v>
      </c>
      <c r="G665" s="6">
        <f>SQRT(SUM($F$2:F665)/A665)</f>
        <v>1326.279522002028</v>
      </c>
      <c r="H665" s="5">
        <f t="shared" si="43"/>
        <v>1</v>
      </c>
      <c r="I665" s="5">
        <f t="shared" si="44"/>
        <v>0</v>
      </c>
    </row>
    <row r="666" spans="1:9">
      <c r="A666">
        <v>665</v>
      </c>
      <c r="B666">
        <v>7</v>
      </c>
      <c r="C666">
        <v>5000</v>
      </c>
      <c r="D666">
        <v>4141</v>
      </c>
      <c r="E666" s="5">
        <f t="shared" si="41"/>
        <v>859</v>
      </c>
      <c r="F666" s="5">
        <f t="shared" si="42"/>
        <v>737881</v>
      </c>
      <c r="G666" s="6">
        <f>SQRT(SUM($F$2:F666)/A666)</f>
        <v>1325.7005042873254</v>
      </c>
      <c r="H666" s="5">
        <f t="shared" si="43"/>
        <v>1</v>
      </c>
      <c r="I666" s="5">
        <f t="shared" si="44"/>
        <v>0</v>
      </c>
    </row>
    <row r="667" spans="1:9">
      <c r="A667">
        <v>666</v>
      </c>
      <c r="B667">
        <v>9</v>
      </c>
      <c r="C667">
        <v>5000</v>
      </c>
      <c r="D667">
        <v>5119</v>
      </c>
      <c r="E667" s="5">
        <f t="shared" si="41"/>
        <v>119</v>
      </c>
      <c r="F667" s="5">
        <f t="shared" si="42"/>
        <v>14161</v>
      </c>
      <c r="G667" s="6">
        <f>SQRT(SUM($F$2:F667)/A667)</f>
        <v>1324.7128852050275</v>
      </c>
      <c r="H667" s="5">
        <f t="shared" si="43"/>
        <v>1</v>
      </c>
      <c r="I667" s="5">
        <f t="shared" si="44"/>
        <v>1</v>
      </c>
    </row>
    <row r="668" spans="1:9">
      <c r="A668">
        <v>667</v>
      </c>
      <c r="B668">
        <v>8</v>
      </c>
      <c r="C668">
        <v>5000</v>
      </c>
      <c r="D668">
        <v>4860</v>
      </c>
      <c r="E668" s="5">
        <f t="shared" si="41"/>
        <v>140</v>
      </c>
      <c r="F668" s="5">
        <f t="shared" si="42"/>
        <v>19600</v>
      </c>
      <c r="G668" s="6">
        <f>SQRT(SUM($F$2:F668)/A668)</f>
        <v>1323.7305740533677</v>
      </c>
      <c r="H668" s="5">
        <f t="shared" si="43"/>
        <v>1</v>
      </c>
      <c r="I668" s="5">
        <f t="shared" si="44"/>
        <v>1</v>
      </c>
    </row>
    <row r="669" spans="1:9">
      <c r="A669">
        <v>668</v>
      </c>
      <c r="B669">
        <v>8</v>
      </c>
      <c r="C669">
        <v>5000</v>
      </c>
      <c r="D669">
        <v>4856</v>
      </c>
      <c r="E669" s="5">
        <f t="shared" si="41"/>
        <v>144</v>
      </c>
      <c r="F669" s="5">
        <f t="shared" si="42"/>
        <v>20736</v>
      </c>
      <c r="G669" s="6">
        <f>SQRT(SUM($F$2:F669)/A669)</f>
        <v>1322.7511205612748</v>
      </c>
      <c r="H669" s="5">
        <f t="shared" si="43"/>
        <v>1</v>
      </c>
      <c r="I669" s="5">
        <f t="shared" si="44"/>
        <v>1</v>
      </c>
    </row>
    <row r="670" spans="1:9">
      <c r="A670">
        <v>669</v>
      </c>
      <c r="B670">
        <v>8</v>
      </c>
      <c r="C670">
        <v>5000</v>
      </c>
      <c r="D670">
        <v>4095</v>
      </c>
      <c r="E670" s="5">
        <f t="shared" si="41"/>
        <v>905</v>
      </c>
      <c r="F670" s="5">
        <f t="shared" si="42"/>
        <v>819025</v>
      </c>
      <c r="G670" s="6">
        <f>SQRT(SUM($F$2:F670)/A670)</f>
        <v>1322.2251803319043</v>
      </c>
      <c r="H670" s="5">
        <f t="shared" si="43"/>
        <v>1</v>
      </c>
      <c r="I670" s="5">
        <f t="shared" si="44"/>
        <v>0</v>
      </c>
    </row>
    <row r="671" spans="1:9">
      <c r="A671">
        <v>670</v>
      </c>
      <c r="B671">
        <v>9</v>
      </c>
      <c r="C671">
        <v>5000</v>
      </c>
      <c r="D671">
        <v>5596</v>
      </c>
      <c r="E671" s="5">
        <f t="shared" si="41"/>
        <v>596</v>
      </c>
      <c r="F671" s="5">
        <f t="shared" si="42"/>
        <v>355216</v>
      </c>
      <c r="G671" s="6">
        <f>SQRT(SUM($F$2:F671)/A671)</f>
        <v>1321.4386964056293</v>
      </c>
      <c r="H671" s="5">
        <f t="shared" si="43"/>
        <v>1</v>
      </c>
      <c r="I671" s="5">
        <f t="shared" si="44"/>
        <v>0</v>
      </c>
    </row>
    <row r="672" spans="1:9">
      <c r="A672">
        <v>671</v>
      </c>
      <c r="B672">
        <v>8</v>
      </c>
      <c r="C672">
        <v>5000</v>
      </c>
      <c r="D672">
        <v>4976</v>
      </c>
      <c r="E672" s="5">
        <f t="shared" si="41"/>
        <v>24</v>
      </c>
      <c r="F672" s="5">
        <f t="shared" si="42"/>
        <v>576</v>
      </c>
      <c r="G672" s="6">
        <f>SQRT(SUM($F$2:F672)/A672)</f>
        <v>1320.4539756982849</v>
      </c>
      <c r="H672" s="5">
        <f t="shared" si="43"/>
        <v>1</v>
      </c>
      <c r="I672" s="5">
        <f t="shared" si="44"/>
        <v>1</v>
      </c>
    </row>
    <row r="673" spans="1:9">
      <c r="A673">
        <v>672</v>
      </c>
      <c r="B673">
        <v>8</v>
      </c>
      <c r="C673">
        <v>5000</v>
      </c>
      <c r="D673">
        <v>4902</v>
      </c>
      <c r="E673" s="5">
        <f t="shared" si="41"/>
        <v>98</v>
      </c>
      <c r="F673" s="5">
        <f t="shared" si="42"/>
        <v>9604</v>
      </c>
      <c r="G673" s="6">
        <f>SQRT(SUM($F$2:F673)/A673)</f>
        <v>1319.4765449520394</v>
      </c>
      <c r="H673" s="5">
        <f t="shared" si="43"/>
        <v>1</v>
      </c>
      <c r="I673" s="5">
        <f t="shared" si="44"/>
        <v>1</v>
      </c>
    </row>
    <row r="674" spans="1:9">
      <c r="A674">
        <v>673</v>
      </c>
      <c r="B674">
        <v>8</v>
      </c>
      <c r="C674">
        <v>5000</v>
      </c>
      <c r="D674">
        <v>5339</v>
      </c>
      <c r="E674" s="5">
        <f t="shared" si="41"/>
        <v>339</v>
      </c>
      <c r="F674" s="5">
        <f t="shared" si="42"/>
        <v>114921</v>
      </c>
      <c r="G674" s="6">
        <f>SQRT(SUM($F$2:F674)/A674)</f>
        <v>1318.5606396656481</v>
      </c>
      <c r="H674" s="5">
        <f t="shared" si="43"/>
        <v>1</v>
      </c>
      <c r="I674" s="5">
        <f t="shared" si="44"/>
        <v>1</v>
      </c>
    </row>
    <row r="675" spans="1:9">
      <c r="A675">
        <v>674</v>
      </c>
      <c r="B675">
        <v>8</v>
      </c>
      <c r="C675">
        <v>5000</v>
      </c>
      <c r="D675">
        <v>5476</v>
      </c>
      <c r="E675" s="5">
        <f t="shared" si="41"/>
        <v>476</v>
      </c>
      <c r="F675" s="5">
        <f t="shared" si="42"/>
        <v>226576</v>
      </c>
      <c r="G675" s="6">
        <f>SQRT(SUM($F$2:F675)/A675)</f>
        <v>1317.7096790338851</v>
      </c>
      <c r="H675" s="5">
        <f t="shared" si="43"/>
        <v>1</v>
      </c>
      <c r="I675" s="5">
        <f t="shared" si="44"/>
        <v>1</v>
      </c>
    </row>
    <row r="676" spans="1:9">
      <c r="A676">
        <v>675</v>
      </c>
      <c r="B676">
        <v>8</v>
      </c>
      <c r="C676">
        <v>5000</v>
      </c>
      <c r="D676">
        <v>5470</v>
      </c>
      <c r="E676" s="5">
        <f t="shared" si="41"/>
        <v>470</v>
      </c>
      <c r="F676" s="5">
        <f t="shared" si="42"/>
        <v>220900</v>
      </c>
      <c r="G676" s="6">
        <f>SQRT(SUM($F$2:F676)/A676)</f>
        <v>1316.8574995321528</v>
      </c>
      <c r="H676" s="5">
        <f t="shared" si="43"/>
        <v>1</v>
      </c>
      <c r="I676" s="5">
        <f t="shared" si="44"/>
        <v>1</v>
      </c>
    </row>
    <row r="677" spans="1:9">
      <c r="A677">
        <v>676</v>
      </c>
      <c r="B677">
        <v>8</v>
      </c>
      <c r="C677">
        <v>5000</v>
      </c>
      <c r="D677">
        <v>5061</v>
      </c>
      <c r="E677" s="5">
        <f t="shared" si="41"/>
        <v>61</v>
      </c>
      <c r="F677" s="5">
        <f t="shared" si="42"/>
        <v>3721</v>
      </c>
      <c r="G677" s="6">
        <f>SQRT(SUM($F$2:F677)/A677)</f>
        <v>1315.8852235653508</v>
      </c>
      <c r="H677" s="5">
        <f t="shared" si="43"/>
        <v>1</v>
      </c>
      <c r="I677" s="5">
        <f t="shared" si="44"/>
        <v>1</v>
      </c>
    </row>
    <row r="678" spans="1:9">
      <c r="A678">
        <v>677</v>
      </c>
      <c r="B678">
        <v>8</v>
      </c>
      <c r="C678">
        <v>5000</v>
      </c>
      <c r="D678">
        <v>5010</v>
      </c>
      <c r="E678" s="5">
        <f t="shared" si="41"/>
        <v>10</v>
      </c>
      <c r="F678" s="5">
        <f t="shared" si="42"/>
        <v>100</v>
      </c>
      <c r="G678" s="6">
        <f>SQRT(SUM($F$2:F678)/A678)</f>
        <v>1314.9130703472995</v>
      </c>
      <c r="H678" s="5">
        <f t="shared" si="43"/>
        <v>1</v>
      </c>
      <c r="I678" s="5">
        <f t="shared" si="44"/>
        <v>1</v>
      </c>
    </row>
    <row r="679" spans="1:9">
      <c r="A679">
        <v>678</v>
      </c>
      <c r="B679">
        <v>8</v>
      </c>
      <c r="C679">
        <v>5000</v>
      </c>
      <c r="D679">
        <v>5209</v>
      </c>
      <c r="E679" s="5">
        <f t="shared" si="41"/>
        <v>209</v>
      </c>
      <c r="F679" s="5">
        <f t="shared" si="42"/>
        <v>43681</v>
      </c>
      <c r="G679" s="6">
        <f>SQRT(SUM($F$2:F679)/A679)</f>
        <v>1313.9675287717985</v>
      </c>
      <c r="H679" s="5">
        <f t="shared" si="43"/>
        <v>1</v>
      </c>
      <c r="I679" s="5">
        <f t="shared" si="44"/>
        <v>1</v>
      </c>
    </row>
    <row r="680" spans="1:9">
      <c r="A680">
        <v>679</v>
      </c>
      <c r="B680">
        <v>8</v>
      </c>
      <c r="C680">
        <v>5000</v>
      </c>
      <c r="D680">
        <v>4810</v>
      </c>
      <c r="E680" s="5">
        <f t="shared" si="41"/>
        <v>190</v>
      </c>
      <c r="F680" s="5">
        <f t="shared" si="42"/>
        <v>36100</v>
      </c>
      <c r="G680" s="6">
        <f>SQRT(SUM($F$2:F680)/A680)</f>
        <v>1313.0198427712528</v>
      </c>
      <c r="H680" s="5">
        <f t="shared" si="43"/>
        <v>1</v>
      </c>
      <c r="I680" s="5">
        <f t="shared" si="44"/>
        <v>1</v>
      </c>
    </row>
    <row r="681" spans="1:9">
      <c r="A681">
        <v>680</v>
      </c>
      <c r="B681">
        <v>8</v>
      </c>
      <c r="C681">
        <v>5000</v>
      </c>
      <c r="D681">
        <v>5039</v>
      </c>
      <c r="E681" s="5">
        <f t="shared" si="41"/>
        <v>39</v>
      </c>
      <c r="F681" s="5">
        <f t="shared" si="42"/>
        <v>1521</v>
      </c>
      <c r="G681" s="6">
        <f>SQRT(SUM($F$2:F681)/A681)</f>
        <v>1312.0548841864988</v>
      </c>
      <c r="H681" s="5">
        <f t="shared" si="43"/>
        <v>1</v>
      </c>
      <c r="I681" s="5">
        <f t="shared" si="44"/>
        <v>1</v>
      </c>
    </row>
    <row r="682" spans="1:9">
      <c r="A682">
        <v>681</v>
      </c>
      <c r="B682">
        <v>8</v>
      </c>
      <c r="C682">
        <v>5000</v>
      </c>
      <c r="D682">
        <v>4735</v>
      </c>
      <c r="E682" s="5">
        <f t="shared" si="41"/>
        <v>265</v>
      </c>
      <c r="F682" s="5">
        <f t="shared" si="42"/>
        <v>70225</v>
      </c>
      <c r="G682" s="6">
        <f>SQRT(SUM($F$2:F682)/A682)</f>
        <v>1311.1305262921144</v>
      </c>
      <c r="H682" s="5">
        <f t="shared" si="43"/>
        <v>1</v>
      </c>
      <c r="I682" s="5">
        <f t="shared" si="44"/>
        <v>1</v>
      </c>
    </row>
    <row r="683" spans="1:9">
      <c r="A683">
        <v>682</v>
      </c>
      <c r="B683">
        <v>8</v>
      </c>
      <c r="C683">
        <v>5000</v>
      </c>
      <c r="D683">
        <v>4658</v>
      </c>
      <c r="E683" s="5">
        <f t="shared" si="41"/>
        <v>342</v>
      </c>
      <c r="F683" s="5">
        <f t="shared" si="42"/>
        <v>116964</v>
      </c>
      <c r="G683" s="6">
        <f>SQRT(SUM($F$2:F683)/A683)</f>
        <v>1310.2343827842071</v>
      </c>
      <c r="H683" s="5">
        <f t="shared" si="43"/>
        <v>1</v>
      </c>
      <c r="I683" s="5">
        <f t="shared" si="44"/>
        <v>1</v>
      </c>
    </row>
    <row r="684" spans="1:9">
      <c r="A684">
        <v>683</v>
      </c>
      <c r="B684">
        <v>8</v>
      </c>
      <c r="C684">
        <v>5000</v>
      </c>
      <c r="D684">
        <v>5120</v>
      </c>
      <c r="E684" s="5">
        <f t="shared" si="41"/>
        <v>120</v>
      </c>
      <c r="F684" s="5">
        <f t="shared" si="42"/>
        <v>14400</v>
      </c>
      <c r="G684" s="6">
        <f>SQRT(SUM($F$2:F684)/A684)</f>
        <v>1309.2829070144821</v>
      </c>
      <c r="H684" s="5">
        <f t="shared" si="43"/>
        <v>1</v>
      </c>
      <c r="I684" s="5">
        <f t="shared" si="44"/>
        <v>1</v>
      </c>
    </row>
    <row r="685" spans="1:9">
      <c r="A685">
        <v>684</v>
      </c>
      <c r="B685">
        <v>8</v>
      </c>
      <c r="C685">
        <v>5000</v>
      </c>
      <c r="D685">
        <v>4978</v>
      </c>
      <c r="E685" s="5">
        <f t="shared" si="41"/>
        <v>22</v>
      </c>
      <c r="F685" s="5">
        <f t="shared" si="42"/>
        <v>484</v>
      </c>
      <c r="G685" s="6">
        <f>SQRT(SUM($F$2:F685)/A685)</f>
        <v>1308.325749223744</v>
      </c>
      <c r="H685" s="5">
        <f t="shared" si="43"/>
        <v>1</v>
      </c>
      <c r="I685" s="5">
        <f t="shared" si="44"/>
        <v>1</v>
      </c>
    </row>
    <row r="686" spans="1:9">
      <c r="A686">
        <v>685</v>
      </c>
      <c r="B686">
        <v>8</v>
      </c>
      <c r="C686">
        <v>5000</v>
      </c>
      <c r="D686">
        <v>5270</v>
      </c>
      <c r="E686" s="5">
        <f t="shared" si="41"/>
        <v>270</v>
      </c>
      <c r="F686" s="5">
        <f t="shared" si="42"/>
        <v>72900</v>
      </c>
      <c r="G686" s="6">
        <f>SQRT(SUM($F$2:F686)/A686)</f>
        <v>1307.4111188056504</v>
      </c>
      <c r="H686" s="5">
        <f t="shared" si="43"/>
        <v>1</v>
      </c>
      <c r="I686" s="5">
        <f t="shared" si="44"/>
        <v>1</v>
      </c>
    </row>
    <row r="687" spans="1:9">
      <c r="A687">
        <v>686</v>
      </c>
      <c r="B687">
        <v>8</v>
      </c>
      <c r="C687">
        <v>5000</v>
      </c>
      <c r="D687">
        <v>5779</v>
      </c>
      <c r="E687" s="5">
        <f t="shared" si="41"/>
        <v>779</v>
      </c>
      <c r="F687" s="5">
        <f t="shared" si="42"/>
        <v>606841</v>
      </c>
      <c r="G687" s="6">
        <f>SQRT(SUM($F$2:F687)/A687)</f>
        <v>1306.796355880839</v>
      </c>
      <c r="H687" s="5">
        <f t="shared" si="43"/>
        <v>1</v>
      </c>
      <c r="I687" s="5">
        <f t="shared" si="44"/>
        <v>0</v>
      </c>
    </row>
    <row r="688" spans="1:9">
      <c r="A688">
        <v>687</v>
      </c>
      <c r="B688">
        <v>7</v>
      </c>
      <c r="C688">
        <v>5000</v>
      </c>
      <c r="D688">
        <v>4654</v>
      </c>
      <c r="E688" s="5">
        <f t="shared" si="41"/>
        <v>346</v>
      </c>
      <c r="F688" s="5">
        <f t="shared" si="42"/>
        <v>119716</v>
      </c>
      <c r="G688" s="6">
        <f>SQRT(SUM($F$2:F688)/A688)</f>
        <v>1305.9116415092574</v>
      </c>
      <c r="H688" s="5">
        <f t="shared" si="43"/>
        <v>1</v>
      </c>
      <c r="I688" s="5">
        <f t="shared" si="44"/>
        <v>1</v>
      </c>
    </row>
    <row r="689" spans="1:9">
      <c r="A689">
        <v>688</v>
      </c>
      <c r="B689">
        <v>8</v>
      </c>
      <c r="C689">
        <v>5000</v>
      </c>
      <c r="D689">
        <v>4856</v>
      </c>
      <c r="E689" s="5">
        <f t="shared" si="41"/>
        <v>144</v>
      </c>
      <c r="F689" s="5">
        <f t="shared" si="42"/>
        <v>20736</v>
      </c>
      <c r="G689" s="6">
        <f>SQRT(SUM($F$2:F689)/A689)</f>
        <v>1304.9737806998091</v>
      </c>
      <c r="H689" s="5">
        <f t="shared" si="43"/>
        <v>1</v>
      </c>
      <c r="I689" s="5">
        <f t="shared" si="44"/>
        <v>1</v>
      </c>
    </row>
    <row r="690" spans="1:9">
      <c r="A690">
        <v>689</v>
      </c>
      <c r="B690">
        <v>8</v>
      </c>
      <c r="C690">
        <v>5000</v>
      </c>
      <c r="D690">
        <v>5403</v>
      </c>
      <c r="E690" s="5">
        <f t="shared" si="41"/>
        <v>403</v>
      </c>
      <c r="F690" s="5">
        <f t="shared" si="42"/>
        <v>162409</v>
      </c>
      <c r="G690" s="6">
        <f>SQRT(SUM($F$2:F690)/A690)</f>
        <v>1304.1168085021015</v>
      </c>
      <c r="H690" s="5">
        <f t="shared" si="43"/>
        <v>1</v>
      </c>
      <c r="I690" s="5">
        <f t="shared" si="44"/>
        <v>1</v>
      </c>
    </row>
    <row r="691" spans="1:9">
      <c r="A691">
        <v>690</v>
      </c>
      <c r="B691">
        <v>7</v>
      </c>
      <c r="C691">
        <v>5000</v>
      </c>
      <c r="D691">
        <v>4772</v>
      </c>
      <c r="E691" s="5">
        <f t="shared" si="41"/>
        <v>228</v>
      </c>
      <c r="F691" s="5">
        <f t="shared" si="42"/>
        <v>51984</v>
      </c>
      <c r="G691" s="6">
        <f>SQRT(SUM($F$2:F691)/A691)</f>
        <v>1303.2003594273576</v>
      </c>
      <c r="H691" s="5">
        <f t="shared" si="43"/>
        <v>1</v>
      </c>
      <c r="I691" s="5">
        <f t="shared" si="44"/>
        <v>1</v>
      </c>
    </row>
    <row r="692" spans="1:9">
      <c r="A692">
        <v>691</v>
      </c>
      <c r="B692">
        <v>8</v>
      </c>
      <c r="C692">
        <v>5000</v>
      </c>
      <c r="D692">
        <v>4886</v>
      </c>
      <c r="E692" s="5">
        <f t="shared" si="41"/>
        <v>114</v>
      </c>
      <c r="F692" s="5">
        <f t="shared" si="42"/>
        <v>12996</v>
      </c>
      <c r="G692" s="6">
        <f>SQRT(SUM($F$2:F692)/A692)</f>
        <v>1302.2642576743817</v>
      </c>
      <c r="H692" s="5">
        <f t="shared" si="43"/>
        <v>1</v>
      </c>
      <c r="I692" s="5">
        <f t="shared" si="44"/>
        <v>1</v>
      </c>
    </row>
    <row r="693" spans="1:9">
      <c r="A693">
        <v>692</v>
      </c>
      <c r="B693">
        <v>8</v>
      </c>
      <c r="C693">
        <v>5000</v>
      </c>
      <c r="D693">
        <v>5567</v>
      </c>
      <c r="E693" s="5">
        <f t="shared" si="41"/>
        <v>567</v>
      </c>
      <c r="F693" s="5">
        <f t="shared" si="42"/>
        <v>321489</v>
      </c>
      <c r="G693" s="6">
        <f>SQRT(SUM($F$2:F693)/A693)</f>
        <v>1301.5014656268743</v>
      </c>
      <c r="H693" s="5">
        <f t="shared" si="43"/>
        <v>1</v>
      </c>
      <c r="I693" s="5">
        <f t="shared" si="44"/>
        <v>0</v>
      </c>
    </row>
    <row r="694" spans="1:9">
      <c r="A694">
        <v>693</v>
      </c>
      <c r="B694">
        <v>7</v>
      </c>
      <c r="C694">
        <v>5000</v>
      </c>
      <c r="D694">
        <v>5116</v>
      </c>
      <c r="E694" s="5">
        <f t="shared" si="41"/>
        <v>116</v>
      </c>
      <c r="F694" s="5">
        <f t="shared" si="42"/>
        <v>13456</v>
      </c>
      <c r="G694" s="6">
        <f>SQRT(SUM($F$2:F694)/A694)</f>
        <v>1300.5695572172115</v>
      </c>
      <c r="H694" s="5">
        <f t="shared" si="43"/>
        <v>1</v>
      </c>
      <c r="I694" s="5">
        <f t="shared" si="44"/>
        <v>1</v>
      </c>
    </row>
    <row r="695" spans="1:9">
      <c r="A695">
        <v>694</v>
      </c>
      <c r="B695">
        <v>8</v>
      </c>
      <c r="C695">
        <v>5000</v>
      </c>
      <c r="D695">
        <v>5252</v>
      </c>
      <c r="E695" s="5">
        <f t="shared" si="41"/>
        <v>252</v>
      </c>
      <c r="F695" s="5">
        <f t="shared" si="42"/>
        <v>63504</v>
      </c>
      <c r="G695" s="6">
        <f>SQRT(SUM($F$2:F695)/A695)</f>
        <v>1299.6674131200739</v>
      </c>
      <c r="H695" s="5">
        <f t="shared" si="43"/>
        <v>1</v>
      </c>
      <c r="I695" s="5">
        <f t="shared" si="44"/>
        <v>1</v>
      </c>
    </row>
    <row r="696" spans="1:9">
      <c r="A696">
        <v>695</v>
      </c>
      <c r="B696">
        <v>7</v>
      </c>
      <c r="C696">
        <v>5000</v>
      </c>
      <c r="D696">
        <v>3815</v>
      </c>
      <c r="E696" s="5">
        <f t="shared" si="41"/>
        <v>1185</v>
      </c>
      <c r="F696" s="5">
        <f t="shared" si="42"/>
        <v>1404225</v>
      </c>
      <c r="G696" s="6">
        <f>SQRT(SUM($F$2:F696)/A696)</f>
        <v>1299.5096928174944</v>
      </c>
      <c r="H696" s="5">
        <f t="shared" si="43"/>
        <v>0</v>
      </c>
      <c r="I696" s="5">
        <f t="shared" si="44"/>
        <v>0</v>
      </c>
    </row>
    <row r="697" spans="1:9">
      <c r="A697">
        <v>696</v>
      </c>
      <c r="B697">
        <v>9</v>
      </c>
      <c r="C697">
        <v>5000</v>
      </c>
      <c r="D697">
        <v>4801</v>
      </c>
      <c r="E697" s="5">
        <f t="shared" si="41"/>
        <v>199</v>
      </c>
      <c r="F697" s="5">
        <f t="shared" si="42"/>
        <v>39601</v>
      </c>
      <c r="G697" s="6">
        <f>SQRT(SUM($F$2:F697)/A697)</f>
        <v>1298.597709091415</v>
      </c>
      <c r="H697" s="5">
        <f t="shared" si="43"/>
        <v>1</v>
      </c>
      <c r="I697" s="5">
        <f t="shared" si="44"/>
        <v>1</v>
      </c>
    </row>
    <row r="698" spans="1:9">
      <c r="A698">
        <v>697</v>
      </c>
      <c r="B698">
        <v>8</v>
      </c>
      <c r="C698">
        <v>5000</v>
      </c>
      <c r="D698">
        <v>4616</v>
      </c>
      <c r="E698" s="5">
        <f t="shared" si="41"/>
        <v>384</v>
      </c>
      <c r="F698" s="5">
        <f t="shared" si="42"/>
        <v>147456</v>
      </c>
      <c r="G698" s="6">
        <f>SQRT(SUM($F$2:F698)/A698)</f>
        <v>1297.7473248216616</v>
      </c>
      <c r="H698" s="5">
        <f t="shared" si="43"/>
        <v>1</v>
      </c>
      <c r="I698" s="5">
        <f t="shared" si="44"/>
        <v>1</v>
      </c>
    </row>
    <row r="699" spans="1:9">
      <c r="A699">
        <v>698</v>
      </c>
      <c r="B699">
        <v>9</v>
      </c>
      <c r="C699">
        <v>5000</v>
      </c>
      <c r="D699">
        <v>5664</v>
      </c>
      <c r="E699" s="5">
        <f t="shared" si="41"/>
        <v>664</v>
      </c>
      <c r="F699" s="5">
        <f t="shared" si="42"/>
        <v>440896</v>
      </c>
      <c r="G699" s="6">
        <f>SQRT(SUM($F$2:F699)/A699)</f>
        <v>1297.0608912411908</v>
      </c>
      <c r="H699" s="5">
        <f t="shared" si="43"/>
        <v>1</v>
      </c>
      <c r="I699" s="5">
        <f t="shared" si="44"/>
        <v>0</v>
      </c>
    </row>
    <row r="700" spans="1:9">
      <c r="A700">
        <v>699</v>
      </c>
      <c r="B700">
        <v>7</v>
      </c>
      <c r="C700">
        <v>5000</v>
      </c>
      <c r="D700">
        <v>4885</v>
      </c>
      <c r="E700" s="5">
        <f t="shared" si="41"/>
        <v>115</v>
      </c>
      <c r="F700" s="5">
        <f t="shared" si="42"/>
        <v>13225</v>
      </c>
      <c r="G700" s="6">
        <f>SQRT(SUM($F$2:F700)/A700)</f>
        <v>1296.1400602535173</v>
      </c>
      <c r="H700" s="5">
        <f t="shared" si="43"/>
        <v>1</v>
      </c>
      <c r="I700" s="5">
        <f t="shared" si="44"/>
        <v>1</v>
      </c>
    </row>
    <row r="701" spans="1:9">
      <c r="A701">
        <v>700</v>
      </c>
      <c r="B701">
        <v>8</v>
      </c>
      <c r="C701">
        <v>5000</v>
      </c>
      <c r="D701">
        <v>5005</v>
      </c>
      <c r="E701" s="5">
        <f t="shared" si="41"/>
        <v>5</v>
      </c>
      <c r="F701" s="5">
        <f t="shared" si="42"/>
        <v>25</v>
      </c>
      <c r="G701" s="6">
        <f>SQRT(SUM($F$2:F701)/A701)</f>
        <v>1295.2139288274241</v>
      </c>
      <c r="H701" s="5">
        <f t="shared" si="43"/>
        <v>1</v>
      </c>
      <c r="I701" s="5">
        <f t="shared" si="44"/>
        <v>1</v>
      </c>
    </row>
    <row r="702" spans="1:9">
      <c r="A702">
        <v>701</v>
      </c>
      <c r="B702">
        <v>8</v>
      </c>
      <c r="C702">
        <v>6000</v>
      </c>
      <c r="D702">
        <v>3346</v>
      </c>
      <c r="E702" s="5">
        <f t="shared" si="41"/>
        <v>2654</v>
      </c>
      <c r="F702" s="5">
        <f t="shared" si="42"/>
        <v>7043716</v>
      </c>
      <c r="G702" s="6">
        <f>SQRT(SUM($F$2:F702)/A702)</f>
        <v>1298.1656656905336</v>
      </c>
      <c r="H702" s="5">
        <f t="shared" si="43"/>
        <v>0</v>
      </c>
      <c r="I702" s="5">
        <f t="shared" si="44"/>
        <v>0</v>
      </c>
    </row>
    <row r="703" spans="1:9">
      <c r="A703">
        <v>702</v>
      </c>
      <c r="B703">
        <v>11</v>
      </c>
      <c r="C703">
        <v>6000</v>
      </c>
      <c r="D703">
        <v>4700</v>
      </c>
      <c r="E703" s="5">
        <f t="shared" si="41"/>
        <v>1300</v>
      </c>
      <c r="F703" s="5">
        <f t="shared" si="42"/>
        <v>1690000</v>
      </c>
      <c r="G703" s="6">
        <f>SQRT(SUM($F$2:F703)/A703)</f>
        <v>1298.1682805458561</v>
      </c>
      <c r="H703" s="5">
        <f t="shared" si="43"/>
        <v>0</v>
      </c>
      <c r="I703" s="5">
        <f t="shared" si="44"/>
        <v>0</v>
      </c>
    </row>
    <row r="704" spans="1:9">
      <c r="A704">
        <v>703</v>
      </c>
      <c r="B704">
        <v>10</v>
      </c>
      <c r="C704">
        <v>6000</v>
      </c>
      <c r="D704">
        <v>1761</v>
      </c>
      <c r="E704" s="5">
        <f t="shared" si="41"/>
        <v>4239</v>
      </c>
      <c r="F704" s="5">
        <f t="shared" si="42"/>
        <v>17969121</v>
      </c>
      <c r="G704" s="6">
        <f>SQRT(SUM($F$2:F704)/A704)</f>
        <v>1307.0594090246136</v>
      </c>
      <c r="H704" s="5">
        <f t="shared" si="43"/>
        <v>0</v>
      </c>
      <c r="I704" s="5">
        <f t="shared" si="44"/>
        <v>0</v>
      </c>
    </row>
    <row r="705" spans="1:9">
      <c r="A705">
        <v>704</v>
      </c>
      <c r="B705">
        <v>14</v>
      </c>
      <c r="C705">
        <v>6000</v>
      </c>
      <c r="D705">
        <v>6383</v>
      </c>
      <c r="E705" s="5">
        <f t="shared" si="41"/>
        <v>383</v>
      </c>
      <c r="F705" s="5">
        <f t="shared" si="42"/>
        <v>146689</v>
      </c>
      <c r="G705" s="6">
        <f>SQRT(SUM($F$2:F705)/A705)</f>
        <v>1306.2105317003841</v>
      </c>
      <c r="H705" s="5">
        <f t="shared" si="43"/>
        <v>1</v>
      </c>
      <c r="I705" s="5">
        <f t="shared" si="44"/>
        <v>1</v>
      </c>
    </row>
    <row r="706" spans="1:9">
      <c r="A706">
        <v>705</v>
      </c>
      <c r="B706">
        <v>10</v>
      </c>
      <c r="C706">
        <v>6000</v>
      </c>
      <c r="D706">
        <v>5017</v>
      </c>
      <c r="E706" s="5">
        <f t="shared" si="41"/>
        <v>983</v>
      </c>
      <c r="F706" s="5">
        <f t="shared" si="42"/>
        <v>966289</v>
      </c>
      <c r="G706" s="6">
        <f>SQRT(SUM($F$2:F706)/A706)</f>
        <v>1305.8087355737475</v>
      </c>
      <c r="H706" s="5">
        <f t="shared" si="43"/>
        <v>1</v>
      </c>
      <c r="I706" s="5">
        <f t="shared" si="44"/>
        <v>0</v>
      </c>
    </row>
    <row r="707" spans="1:9">
      <c r="A707">
        <v>706</v>
      </c>
      <c r="B707">
        <v>11</v>
      </c>
      <c r="C707">
        <v>6000</v>
      </c>
      <c r="D707">
        <v>5052</v>
      </c>
      <c r="E707" s="5">
        <f t="shared" ref="E707:E770" si="45">ABS(C707-D707)</f>
        <v>948</v>
      </c>
      <c r="F707" s="5">
        <f t="shared" ref="F707:F770" si="46">POWER(E707,2)</f>
        <v>898704</v>
      </c>
      <c r="G707" s="6">
        <f>SQRT(SUM($F$2:F707)/A707)</f>
        <v>1305.3712875271478</v>
      </c>
      <c r="H707" s="5">
        <f t="shared" ref="H707:H770" si="47">IF(ABS(E707)/C707&gt;0.2,0,1)</f>
        <v>1</v>
      </c>
      <c r="I707" s="5">
        <f t="shared" ref="I707:I770" si="48">IF(ABS(E707)/C707&gt;0.1,0,1)</f>
        <v>0</v>
      </c>
    </row>
    <row r="708" spans="1:9">
      <c r="A708">
        <v>707</v>
      </c>
      <c r="B708">
        <v>11</v>
      </c>
      <c r="C708">
        <v>6000</v>
      </c>
      <c r="D708">
        <v>5152</v>
      </c>
      <c r="E708" s="5">
        <f t="shared" si="45"/>
        <v>848</v>
      </c>
      <c r="F708" s="5">
        <f t="shared" si="46"/>
        <v>719104</v>
      </c>
      <c r="G708" s="6">
        <f>SQRT(SUM($F$2:F708)/A708)</f>
        <v>1304.8375925214382</v>
      </c>
      <c r="H708" s="5">
        <f t="shared" si="47"/>
        <v>1</v>
      </c>
      <c r="I708" s="5">
        <f t="shared" si="48"/>
        <v>0</v>
      </c>
    </row>
    <row r="709" spans="1:9">
      <c r="A709">
        <v>708</v>
      </c>
      <c r="B709">
        <v>11</v>
      </c>
      <c r="C709">
        <v>6000</v>
      </c>
      <c r="D709">
        <v>6714</v>
      </c>
      <c r="E709" s="5">
        <f t="shared" si="45"/>
        <v>714</v>
      </c>
      <c r="F709" s="5">
        <f t="shared" si="46"/>
        <v>509796</v>
      </c>
      <c r="G709" s="6">
        <f>SQRT(SUM($F$2:F709)/A709)</f>
        <v>1304.1918531529434</v>
      </c>
      <c r="H709" s="5">
        <f t="shared" si="47"/>
        <v>1</v>
      </c>
      <c r="I709" s="5">
        <f t="shared" si="48"/>
        <v>0</v>
      </c>
    </row>
    <row r="710" spans="1:9">
      <c r="A710">
        <v>709</v>
      </c>
      <c r="B710">
        <v>10</v>
      </c>
      <c r="C710">
        <v>6000</v>
      </c>
      <c r="D710">
        <v>5332</v>
      </c>
      <c r="E710" s="5">
        <f t="shared" si="45"/>
        <v>668</v>
      </c>
      <c r="F710" s="5">
        <f t="shared" si="46"/>
        <v>446224</v>
      </c>
      <c r="G710" s="6">
        <f>SQRT(SUM($F$2:F710)/A710)</f>
        <v>1303.5132239316711</v>
      </c>
      <c r="H710" s="5">
        <f t="shared" si="47"/>
        <v>1</v>
      </c>
      <c r="I710" s="5">
        <f t="shared" si="48"/>
        <v>0</v>
      </c>
    </row>
    <row r="711" spans="1:9">
      <c r="A711">
        <v>710</v>
      </c>
      <c r="B711">
        <v>11</v>
      </c>
      <c r="C711">
        <v>6000</v>
      </c>
      <c r="D711">
        <v>5713</v>
      </c>
      <c r="E711" s="5">
        <f t="shared" si="45"/>
        <v>287</v>
      </c>
      <c r="F711" s="5">
        <f t="shared" si="46"/>
        <v>82369</v>
      </c>
      <c r="G711" s="6">
        <f>SQRT(SUM($F$2:F711)/A711)</f>
        <v>1302.6394640265728</v>
      </c>
      <c r="H711" s="5">
        <f t="shared" si="47"/>
        <v>1</v>
      </c>
      <c r="I711" s="5">
        <f t="shared" si="48"/>
        <v>1</v>
      </c>
    </row>
    <row r="712" spans="1:9">
      <c r="A712">
        <v>711</v>
      </c>
      <c r="B712">
        <v>11</v>
      </c>
      <c r="C712">
        <v>6000</v>
      </c>
      <c r="D712">
        <v>6208</v>
      </c>
      <c r="E712" s="5">
        <f t="shared" si="45"/>
        <v>208</v>
      </c>
      <c r="F712" s="5">
        <f t="shared" si="46"/>
        <v>43264</v>
      </c>
      <c r="G712" s="6">
        <f>SQRT(SUM($F$2:F712)/A712)</f>
        <v>1301.7464526566682</v>
      </c>
      <c r="H712" s="5">
        <f t="shared" si="47"/>
        <v>1</v>
      </c>
      <c r="I712" s="5">
        <f t="shared" si="48"/>
        <v>1</v>
      </c>
    </row>
    <row r="713" spans="1:9">
      <c r="A713">
        <v>712</v>
      </c>
      <c r="B713">
        <v>10</v>
      </c>
      <c r="C713">
        <v>6000</v>
      </c>
      <c r="D713">
        <v>4852</v>
      </c>
      <c r="E713" s="5">
        <f t="shared" si="45"/>
        <v>1148</v>
      </c>
      <c r="F713" s="5">
        <f t="shared" si="46"/>
        <v>1317904</v>
      </c>
      <c r="G713" s="6">
        <f>SQRT(SUM($F$2:F713)/A713)</f>
        <v>1301.5432526363256</v>
      </c>
      <c r="H713" s="5">
        <f t="shared" si="47"/>
        <v>1</v>
      </c>
      <c r="I713" s="5">
        <f t="shared" si="48"/>
        <v>0</v>
      </c>
    </row>
    <row r="714" spans="1:9">
      <c r="A714">
        <v>713</v>
      </c>
      <c r="B714">
        <v>12</v>
      </c>
      <c r="C714">
        <v>6000</v>
      </c>
      <c r="D714">
        <v>6791</v>
      </c>
      <c r="E714" s="5">
        <f t="shared" si="45"/>
        <v>791</v>
      </c>
      <c r="F714" s="5">
        <f t="shared" si="46"/>
        <v>625681</v>
      </c>
      <c r="G714" s="6">
        <f>SQRT(SUM($F$2:F714)/A714)</f>
        <v>1300.9675146033801</v>
      </c>
      <c r="H714" s="5">
        <f t="shared" si="47"/>
        <v>1</v>
      </c>
      <c r="I714" s="5">
        <f t="shared" si="48"/>
        <v>0</v>
      </c>
    </row>
    <row r="715" spans="1:9">
      <c r="A715">
        <v>714</v>
      </c>
      <c r="B715">
        <v>10</v>
      </c>
      <c r="C715">
        <v>6000</v>
      </c>
      <c r="D715">
        <v>6202</v>
      </c>
      <c r="E715" s="5">
        <f t="shared" si="45"/>
        <v>202</v>
      </c>
      <c r="F715" s="5">
        <f t="shared" si="46"/>
        <v>40804</v>
      </c>
      <c r="G715" s="6">
        <f>SQRT(SUM($F$2:F715)/A715)</f>
        <v>1300.078132752222</v>
      </c>
      <c r="H715" s="5">
        <f t="shared" si="47"/>
        <v>1</v>
      </c>
      <c r="I715" s="5">
        <f t="shared" si="48"/>
        <v>1</v>
      </c>
    </row>
    <row r="716" spans="1:9">
      <c r="A716">
        <v>715</v>
      </c>
      <c r="B716">
        <v>10</v>
      </c>
      <c r="C716">
        <v>6000</v>
      </c>
      <c r="D716">
        <v>6053</v>
      </c>
      <c r="E716" s="5">
        <f t="shared" si="45"/>
        <v>53</v>
      </c>
      <c r="F716" s="5">
        <f t="shared" si="46"/>
        <v>2809</v>
      </c>
      <c r="G716" s="6">
        <f>SQRT(SUM($F$2:F716)/A716)</f>
        <v>1299.1701810927464</v>
      </c>
      <c r="H716" s="5">
        <f t="shared" si="47"/>
        <v>1</v>
      </c>
      <c r="I716" s="5">
        <f t="shared" si="48"/>
        <v>1</v>
      </c>
    </row>
    <row r="717" spans="1:9">
      <c r="A717">
        <v>716</v>
      </c>
      <c r="B717">
        <v>11</v>
      </c>
      <c r="C717">
        <v>6000</v>
      </c>
      <c r="D717">
        <v>6049</v>
      </c>
      <c r="E717" s="5">
        <f t="shared" si="45"/>
        <v>49</v>
      </c>
      <c r="F717" s="5">
        <f t="shared" si="46"/>
        <v>2401</v>
      </c>
      <c r="G717" s="6">
        <f>SQRT(SUM($F$2:F717)/A717)</f>
        <v>1298.2639138265124</v>
      </c>
      <c r="H717" s="5">
        <f t="shared" si="47"/>
        <v>1</v>
      </c>
      <c r="I717" s="5">
        <f t="shared" si="48"/>
        <v>1</v>
      </c>
    </row>
    <row r="718" spans="1:9">
      <c r="A718">
        <v>717</v>
      </c>
      <c r="B718">
        <v>11</v>
      </c>
      <c r="C718">
        <v>6000</v>
      </c>
      <c r="D718">
        <v>7085</v>
      </c>
      <c r="E718" s="5">
        <f t="shared" si="45"/>
        <v>1085</v>
      </c>
      <c r="F718" s="5">
        <f t="shared" si="46"/>
        <v>1177225</v>
      </c>
      <c r="G718" s="6">
        <f>SQRT(SUM($F$2:F718)/A718)</f>
        <v>1297.990875856811</v>
      </c>
      <c r="H718" s="5">
        <f t="shared" si="47"/>
        <v>1</v>
      </c>
      <c r="I718" s="5">
        <f t="shared" si="48"/>
        <v>0</v>
      </c>
    </row>
    <row r="719" spans="1:9">
      <c r="A719">
        <v>718</v>
      </c>
      <c r="B719">
        <v>9</v>
      </c>
      <c r="C719">
        <v>6000</v>
      </c>
      <c r="D719">
        <v>5571</v>
      </c>
      <c r="E719" s="5">
        <f t="shared" si="45"/>
        <v>429</v>
      </c>
      <c r="F719" s="5">
        <f t="shared" si="46"/>
        <v>184041</v>
      </c>
      <c r="G719" s="6">
        <f>SQRT(SUM($F$2:F719)/A719)</f>
        <v>1297.1854715623022</v>
      </c>
      <c r="H719" s="5">
        <f t="shared" si="47"/>
        <v>1</v>
      </c>
      <c r="I719" s="5">
        <f t="shared" si="48"/>
        <v>1</v>
      </c>
    </row>
    <row r="720" spans="1:9">
      <c r="A720">
        <v>719</v>
      </c>
      <c r="B720">
        <v>11</v>
      </c>
      <c r="C720">
        <v>6000</v>
      </c>
      <c r="D720">
        <v>6197</v>
      </c>
      <c r="E720" s="5">
        <f t="shared" si="45"/>
        <v>197</v>
      </c>
      <c r="F720" s="5">
        <f t="shared" si="46"/>
        <v>38809</v>
      </c>
      <c r="G720" s="6">
        <f>SQRT(SUM($F$2:F720)/A720)</f>
        <v>1296.3039010564989</v>
      </c>
      <c r="H720" s="5">
        <f t="shared" si="47"/>
        <v>1</v>
      </c>
      <c r="I720" s="5">
        <f t="shared" si="48"/>
        <v>1</v>
      </c>
    </row>
    <row r="721" spans="1:9">
      <c r="A721">
        <v>720</v>
      </c>
      <c r="B721">
        <v>10</v>
      </c>
      <c r="C721">
        <v>6000</v>
      </c>
      <c r="D721">
        <v>4767</v>
      </c>
      <c r="E721" s="5">
        <f t="shared" si="45"/>
        <v>1233</v>
      </c>
      <c r="F721" s="5">
        <f t="shared" si="46"/>
        <v>1520289</v>
      </c>
      <c r="G721" s="6">
        <f>SQRT(SUM($F$2:F721)/A721)</f>
        <v>1296.2181229338764</v>
      </c>
      <c r="H721" s="5">
        <f t="shared" si="47"/>
        <v>0</v>
      </c>
      <c r="I721" s="5">
        <f t="shared" si="48"/>
        <v>0</v>
      </c>
    </row>
    <row r="722" spans="1:9">
      <c r="A722">
        <v>721</v>
      </c>
      <c r="B722">
        <v>12</v>
      </c>
      <c r="C722">
        <v>6000</v>
      </c>
      <c r="D722">
        <v>6754</v>
      </c>
      <c r="E722" s="5">
        <f t="shared" si="45"/>
        <v>754</v>
      </c>
      <c r="F722" s="5">
        <f t="shared" si="46"/>
        <v>568516</v>
      </c>
      <c r="G722" s="6">
        <f>SQRT(SUM($F$2:F722)/A722)</f>
        <v>1295.6232414985595</v>
      </c>
      <c r="H722" s="5">
        <f t="shared" si="47"/>
        <v>1</v>
      </c>
      <c r="I722" s="5">
        <f t="shared" si="48"/>
        <v>0</v>
      </c>
    </row>
    <row r="723" spans="1:9">
      <c r="A723">
        <v>722</v>
      </c>
      <c r="B723">
        <v>10</v>
      </c>
      <c r="C723">
        <v>6000</v>
      </c>
      <c r="D723">
        <v>5852</v>
      </c>
      <c r="E723" s="5">
        <f t="shared" si="45"/>
        <v>148</v>
      </c>
      <c r="F723" s="5">
        <f t="shared" si="46"/>
        <v>21904</v>
      </c>
      <c r="G723" s="6">
        <f>SQRT(SUM($F$2:F723)/A723)</f>
        <v>1294.7374005133584</v>
      </c>
      <c r="H723" s="5">
        <f t="shared" si="47"/>
        <v>1</v>
      </c>
      <c r="I723" s="5">
        <f t="shared" si="48"/>
        <v>1</v>
      </c>
    </row>
    <row r="724" spans="1:9">
      <c r="A724">
        <v>723</v>
      </c>
      <c r="B724">
        <v>11</v>
      </c>
      <c r="C724">
        <v>6000</v>
      </c>
      <c r="D724">
        <v>6435</v>
      </c>
      <c r="E724" s="5">
        <f t="shared" si="45"/>
        <v>435</v>
      </c>
      <c r="F724" s="5">
        <f t="shared" si="46"/>
        <v>189225</v>
      </c>
      <c r="G724" s="6">
        <f>SQRT(SUM($F$2:F724)/A724)</f>
        <v>1293.9428357700599</v>
      </c>
      <c r="H724" s="5">
        <f t="shared" si="47"/>
        <v>1</v>
      </c>
      <c r="I724" s="5">
        <f t="shared" si="48"/>
        <v>1</v>
      </c>
    </row>
    <row r="725" spans="1:9">
      <c r="A725">
        <v>724</v>
      </c>
      <c r="B725">
        <v>10</v>
      </c>
      <c r="C725">
        <v>6000</v>
      </c>
      <c r="D725">
        <v>6402</v>
      </c>
      <c r="E725" s="5">
        <f t="shared" si="45"/>
        <v>402</v>
      </c>
      <c r="F725" s="5">
        <f t="shared" si="46"/>
        <v>161604</v>
      </c>
      <c r="G725" s="6">
        <f>SQRT(SUM($F$2:F725)/A725)</f>
        <v>1293.1352286645274</v>
      </c>
      <c r="H725" s="5">
        <f t="shared" si="47"/>
        <v>1</v>
      </c>
      <c r="I725" s="5">
        <f t="shared" si="48"/>
        <v>1</v>
      </c>
    </row>
    <row r="726" spans="1:9">
      <c r="A726">
        <v>725</v>
      </c>
      <c r="B726">
        <v>10</v>
      </c>
      <c r="C726">
        <v>6000</v>
      </c>
      <c r="D726">
        <v>6227</v>
      </c>
      <c r="E726" s="5">
        <f t="shared" si="45"/>
        <v>227</v>
      </c>
      <c r="F726" s="5">
        <f t="shared" si="46"/>
        <v>51529</v>
      </c>
      <c r="G726" s="6">
        <f>SQRT(SUM($F$2:F726)/A726)</f>
        <v>1292.2706036676097</v>
      </c>
      <c r="H726" s="5">
        <f t="shared" si="47"/>
        <v>1</v>
      </c>
      <c r="I726" s="5">
        <f t="shared" si="48"/>
        <v>1</v>
      </c>
    </row>
    <row r="727" spans="1:9">
      <c r="A727">
        <v>726</v>
      </c>
      <c r="B727">
        <v>10</v>
      </c>
      <c r="C727">
        <v>6000</v>
      </c>
      <c r="D727">
        <v>5611</v>
      </c>
      <c r="E727" s="5">
        <f t="shared" si="45"/>
        <v>389</v>
      </c>
      <c r="F727" s="5">
        <f t="shared" si="46"/>
        <v>151321</v>
      </c>
      <c r="G727" s="6">
        <f>SQRT(SUM($F$2:F727)/A727)</f>
        <v>1291.4610018439375</v>
      </c>
      <c r="H727" s="5">
        <f t="shared" si="47"/>
        <v>1</v>
      </c>
      <c r="I727" s="5">
        <f t="shared" si="48"/>
        <v>1</v>
      </c>
    </row>
    <row r="728" spans="1:9">
      <c r="A728">
        <v>727</v>
      </c>
      <c r="B728">
        <v>11</v>
      </c>
      <c r="C728">
        <v>6000</v>
      </c>
      <c r="D728">
        <v>6326</v>
      </c>
      <c r="E728" s="5">
        <f t="shared" si="45"/>
        <v>326</v>
      </c>
      <c r="F728" s="5">
        <f t="shared" si="46"/>
        <v>106276</v>
      </c>
      <c r="G728" s="6">
        <f>SQRT(SUM($F$2:F728)/A728)</f>
        <v>1290.6291178897907</v>
      </c>
      <c r="H728" s="5">
        <f t="shared" si="47"/>
        <v>1</v>
      </c>
      <c r="I728" s="5">
        <f t="shared" si="48"/>
        <v>1</v>
      </c>
    </row>
    <row r="729" spans="1:9">
      <c r="A729">
        <v>728</v>
      </c>
      <c r="B729">
        <v>10</v>
      </c>
      <c r="C729">
        <v>6000</v>
      </c>
      <c r="D729">
        <v>6059</v>
      </c>
      <c r="E729" s="5">
        <f t="shared" si="45"/>
        <v>59</v>
      </c>
      <c r="F729" s="5">
        <f t="shared" si="46"/>
        <v>3481</v>
      </c>
      <c r="G729" s="6">
        <f>SQRT(SUM($F$2:F729)/A729)</f>
        <v>1289.7442458798641</v>
      </c>
      <c r="H729" s="5">
        <f t="shared" si="47"/>
        <v>1</v>
      </c>
      <c r="I729" s="5">
        <f t="shared" si="48"/>
        <v>1</v>
      </c>
    </row>
    <row r="730" spans="1:9">
      <c r="A730">
        <v>729</v>
      </c>
      <c r="B730">
        <v>10</v>
      </c>
      <c r="C730">
        <v>6000</v>
      </c>
      <c r="D730">
        <v>5627</v>
      </c>
      <c r="E730" s="5">
        <f t="shared" si="45"/>
        <v>373</v>
      </c>
      <c r="F730" s="5">
        <f t="shared" si="46"/>
        <v>139129</v>
      </c>
      <c r="G730" s="6">
        <f>SQRT(SUM($F$2:F730)/A730)</f>
        <v>1288.9333799260212</v>
      </c>
      <c r="H730" s="5">
        <f t="shared" si="47"/>
        <v>1</v>
      </c>
      <c r="I730" s="5">
        <f t="shared" si="48"/>
        <v>1</v>
      </c>
    </row>
    <row r="731" spans="1:9">
      <c r="A731">
        <v>730</v>
      </c>
      <c r="B731">
        <v>11</v>
      </c>
      <c r="C731">
        <v>6000</v>
      </c>
      <c r="D731">
        <v>6095</v>
      </c>
      <c r="E731" s="5">
        <f t="shared" si="45"/>
        <v>95</v>
      </c>
      <c r="F731" s="5">
        <f t="shared" si="46"/>
        <v>9025</v>
      </c>
      <c r="G731" s="6">
        <f>SQRT(SUM($F$2:F731)/A731)</f>
        <v>1288.0550454076099</v>
      </c>
      <c r="H731" s="5">
        <f t="shared" si="47"/>
        <v>1</v>
      </c>
      <c r="I731" s="5">
        <f t="shared" si="48"/>
        <v>1</v>
      </c>
    </row>
    <row r="732" spans="1:9">
      <c r="A732">
        <v>731</v>
      </c>
      <c r="B732">
        <v>10</v>
      </c>
      <c r="C732">
        <v>6000</v>
      </c>
      <c r="D732">
        <v>5310</v>
      </c>
      <c r="E732" s="5">
        <f t="shared" si="45"/>
        <v>690</v>
      </c>
      <c r="F732" s="5">
        <f t="shared" si="46"/>
        <v>476100</v>
      </c>
      <c r="G732" s="6">
        <f>SQRT(SUM($F$2:F732)/A732)</f>
        <v>1287.4266924264439</v>
      </c>
      <c r="H732" s="5">
        <f t="shared" si="47"/>
        <v>1</v>
      </c>
      <c r="I732" s="5">
        <f t="shared" si="48"/>
        <v>0</v>
      </c>
    </row>
    <row r="733" spans="1:9">
      <c r="A733">
        <v>732</v>
      </c>
      <c r="B733">
        <v>11</v>
      </c>
      <c r="C733">
        <v>6000</v>
      </c>
      <c r="D733">
        <v>6802</v>
      </c>
      <c r="E733" s="5">
        <f t="shared" si="45"/>
        <v>802</v>
      </c>
      <c r="F733" s="5">
        <f t="shared" si="46"/>
        <v>643204</v>
      </c>
      <c r="G733" s="6">
        <f>SQRT(SUM($F$2:F733)/A733)</f>
        <v>1286.8884499107376</v>
      </c>
      <c r="H733" s="5">
        <f t="shared" si="47"/>
        <v>1</v>
      </c>
      <c r="I733" s="5">
        <f t="shared" si="48"/>
        <v>0</v>
      </c>
    </row>
    <row r="734" spans="1:9">
      <c r="A734">
        <v>733</v>
      </c>
      <c r="B734">
        <v>10</v>
      </c>
      <c r="C734">
        <v>6000</v>
      </c>
      <c r="D734">
        <v>6523</v>
      </c>
      <c r="E734" s="5">
        <f t="shared" si="45"/>
        <v>523</v>
      </c>
      <c r="F734" s="5">
        <f t="shared" si="46"/>
        <v>273529</v>
      </c>
      <c r="G734" s="6">
        <f>SQRT(SUM($F$2:F734)/A734)</f>
        <v>1286.1554049897888</v>
      </c>
      <c r="H734" s="5">
        <f t="shared" si="47"/>
        <v>1</v>
      </c>
      <c r="I734" s="5">
        <f t="shared" si="48"/>
        <v>1</v>
      </c>
    </row>
    <row r="735" spans="1:9">
      <c r="A735">
        <v>734</v>
      </c>
      <c r="B735">
        <v>10</v>
      </c>
      <c r="C735">
        <v>6000</v>
      </c>
      <c r="D735">
        <v>4863</v>
      </c>
      <c r="E735" s="5">
        <f t="shared" si="45"/>
        <v>1137</v>
      </c>
      <c r="F735" s="5">
        <f t="shared" si="46"/>
        <v>1292769</v>
      </c>
      <c r="G735" s="6">
        <f>SQRT(SUM($F$2:F735)/A735)</f>
        <v>1285.9639648143684</v>
      </c>
      <c r="H735" s="5">
        <f t="shared" si="47"/>
        <v>1</v>
      </c>
      <c r="I735" s="5">
        <f t="shared" si="48"/>
        <v>0</v>
      </c>
    </row>
    <row r="736" spans="1:9">
      <c r="A736">
        <v>735</v>
      </c>
      <c r="B736">
        <v>12</v>
      </c>
      <c r="C736">
        <v>6000</v>
      </c>
      <c r="D736">
        <v>6285</v>
      </c>
      <c r="E736" s="5">
        <f t="shared" si="45"/>
        <v>285</v>
      </c>
      <c r="F736" s="5">
        <f t="shared" si="46"/>
        <v>81225</v>
      </c>
      <c r="G736" s="6">
        <f>SQRT(SUM($F$2:F736)/A736)</f>
        <v>1285.1318580274192</v>
      </c>
      <c r="H736" s="5">
        <f t="shared" si="47"/>
        <v>1</v>
      </c>
      <c r="I736" s="5">
        <f t="shared" si="48"/>
        <v>1</v>
      </c>
    </row>
    <row r="737" spans="1:9">
      <c r="A737">
        <v>736</v>
      </c>
      <c r="B737">
        <v>10</v>
      </c>
      <c r="C737">
        <v>6000</v>
      </c>
      <c r="D737">
        <v>6283</v>
      </c>
      <c r="E737" s="5">
        <f t="shared" si="45"/>
        <v>283</v>
      </c>
      <c r="F737" s="5">
        <f t="shared" si="46"/>
        <v>80089</v>
      </c>
      <c r="G737" s="6">
        <f>SQRT(SUM($F$2:F737)/A737)</f>
        <v>1284.3008745667985</v>
      </c>
      <c r="H737" s="5">
        <f t="shared" si="47"/>
        <v>1</v>
      </c>
      <c r="I737" s="5">
        <f t="shared" si="48"/>
        <v>1</v>
      </c>
    </row>
    <row r="738" spans="1:9">
      <c r="A738">
        <v>737</v>
      </c>
      <c r="B738">
        <v>10</v>
      </c>
      <c r="C738">
        <v>6000</v>
      </c>
      <c r="D738">
        <v>5689</v>
      </c>
      <c r="E738" s="5">
        <f t="shared" si="45"/>
        <v>311</v>
      </c>
      <c r="F738" s="5">
        <f t="shared" si="46"/>
        <v>96721</v>
      </c>
      <c r="G738" s="6">
        <f>SQRT(SUM($F$2:F738)/A738)</f>
        <v>1283.4804017418262</v>
      </c>
      <c r="H738" s="5">
        <f t="shared" si="47"/>
        <v>1</v>
      </c>
      <c r="I738" s="5">
        <f t="shared" si="48"/>
        <v>1</v>
      </c>
    </row>
    <row r="739" spans="1:9">
      <c r="A739">
        <v>738</v>
      </c>
      <c r="B739">
        <v>11</v>
      </c>
      <c r="C739">
        <v>6000</v>
      </c>
      <c r="D739">
        <v>6588</v>
      </c>
      <c r="E739" s="5">
        <f t="shared" si="45"/>
        <v>588</v>
      </c>
      <c r="F739" s="5">
        <f t="shared" si="46"/>
        <v>345744</v>
      </c>
      <c r="G739" s="6">
        <f>SQRT(SUM($F$2:F739)/A739)</f>
        <v>1282.7931578816044</v>
      </c>
      <c r="H739" s="5">
        <f t="shared" si="47"/>
        <v>1</v>
      </c>
      <c r="I739" s="5">
        <f t="shared" si="48"/>
        <v>1</v>
      </c>
    </row>
    <row r="740" spans="1:9">
      <c r="A740">
        <v>739</v>
      </c>
      <c r="B740">
        <v>10</v>
      </c>
      <c r="C740">
        <v>6000</v>
      </c>
      <c r="D740">
        <v>6011</v>
      </c>
      <c r="E740" s="5">
        <f t="shared" si="45"/>
        <v>11</v>
      </c>
      <c r="F740" s="5">
        <f t="shared" si="46"/>
        <v>121</v>
      </c>
      <c r="G740" s="6">
        <f>SQRT(SUM($F$2:F740)/A740)</f>
        <v>1281.9250029256179</v>
      </c>
      <c r="H740" s="5">
        <f t="shared" si="47"/>
        <v>1</v>
      </c>
      <c r="I740" s="5">
        <f t="shared" si="48"/>
        <v>1</v>
      </c>
    </row>
    <row r="741" spans="1:9">
      <c r="A741">
        <v>740</v>
      </c>
      <c r="B741">
        <v>10</v>
      </c>
      <c r="C741">
        <v>6000</v>
      </c>
      <c r="D741">
        <v>5721</v>
      </c>
      <c r="E741" s="5">
        <f t="shared" si="45"/>
        <v>279</v>
      </c>
      <c r="F741" s="5">
        <f t="shared" si="46"/>
        <v>77841</v>
      </c>
      <c r="G741" s="6">
        <f>SQRT(SUM($F$2:F741)/A741)</f>
        <v>1281.0996000058446</v>
      </c>
      <c r="H741" s="5">
        <f t="shared" si="47"/>
        <v>1</v>
      </c>
      <c r="I741" s="5">
        <f t="shared" si="48"/>
        <v>1</v>
      </c>
    </row>
    <row r="742" spans="1:9">
      <c r="A742">
        <v>741</v>
      </c>
      <c r="B742">
        <v>11</v>
      </c>
      <c r="C742">
        <v>6000</v>
      </c>
      <c r="D742">
        <v>7354</v>
      </c>
      <c r="E742" s="5">
        <f t="shared" si="45"/>
        <v>1354</v>
      </c>
      <c r="F742" s="5">
        <f t="shared" si="46"/>
        <v>1833316</v>
      </c>
      <c r="G742" s="6">
        <f>SQRT(SUM($F$2:F742)/A742)</f>
        <v>1281.2007762836383</v>
      </c>
      <c r="H742" s="5">
        <f t="shared" si="47"/>
        <v>0</v>
      </c>
      <c r="I742" s="5">
        <f t="shared" si="48"/>
        <v>0</v>
      </c>
    </row>
    <row r="743" spans="1:9">
      <c r="A743">
        <v>742</v>
      </c>
      <c r="B743">
        <v>9</v>
      </c>
      <c r="C743">
        <v>6000</v>
      </c>
      <c r="D743">
        <v>5269</v>
      </c>
      <c r="E743" s="5">
        <f t="shared" si="45"/>
        <v>731</v>
      </c>
      <c r="F743" s="5">
        <f t="shared" si="46"/>
        <v>534361</v>
      </c>
      <c r="G743" s="6">
        <f>SQRT(SUM($F$2:F743)/A743)</f>
        <v>1280.6183511046465</v>
      </c>
      <c r="H743" s="5">
        <f t="shared" si="47"/>
        <v>1</v>
      </c>
      <c r="I743" s="5">
        <f t="shared" si="48"/>
        <v>0</v>
      </c>
    </row>
    <row r="744" spans="1:9">
      <c r="A744">
        <v>743</v>
      </c>
      <c r="B744">
        <v>11</v>
      </c>
      <c r="C744">
        <v>6000</v>
      </c>
      <c r="D744">
        <v>6506</v>
      </c>
      <c r="E744" s="5">
        <f t="shared" si="45"/>
        <v>506</v>
      </c>
      <c r="F744" s="5">
        <f t="shared" si="46"/>
        <v>256036</v>
      </c>
      <c r="G744" s="6">
        <f>SQRT(SUM($F$2:F744)/A744)</f>
        <v>1279.8908989927074</v>
      </c>
      <c r="H744" s="5">
        <f t="shared" si="47"/>
        <v>1</v>
      </c>
      <c r="I744" s="5">
        <f t="shared" si="48"/>
        <v>1</v>
      </c>
    </row>
    <row r="745" spans="1:9">
      <c r="A745">
        <v>744</v>
      </c>
      <c r="B745">
        <v>10</v>
      </c>
      <c r="C745">
        <v>6000</v>
      </c>
      <c r="D745">
        <v>5992</v>
      </c>
      <c r="E745" s="5">
        <f t="shared" si="45"/>
        <v>8</v>
      </c>
      <c r="F745" s="5">
        <f t="shared" si="46"/>
        <v>64</v>
      </c>
      <c r="G745" s="6">
        <f>SQRT(SUM($F$2:F745)/A745)</f>
        <v>1279.0305016666132</v>
      </c>
      <c r="H745" s="5">
        <f t="shared" si="47"/>
        <v>1</v>
      </c>
      <c r="I745" s="5">
        <f t="shared" si="48"/>
        <v>1</v>
      </c>
    </row>
    <row r="746" spans="1:9">
      <c r="A746">
        <v>745</v>
      </c>
      <c r="B746">
        <v>10</v>
      </c>
      <c r="C746">
        <v>6000</v>
      </c>
      <c r="D746">
        <v>6198</v>
      </c>
      <c r="E746" s="5">
        <f t="shared" si="45"/>
        <v>198</v>
      </c>
      <c r="F746" s="5">
        <f t="shared" si="46"/>
        <v>39204</v>
      </c>
      <c r="G746" s="6">
        <f>SQRT(SUM($F$2:F746)/A746)</f>
        <v>1278.1923887077155</v>
      </c>
      <c r="H746" s="5">
        <f t="shared" si="47"/>
        <v>1</v>
      </c>
      <c r="I746" s="5">
        <f t="shared" si="48"/>
        <v>1</v>
      </c>
    </row>
    <row r="747" spans="1:9">
      <c r="A747">
        <v>746</v>
      </c>
      <c r="B747">
        <v>10</v>
      </c>
      <c r="C747">
        <v>6000</v>
      </c>
      <c r="D747">
        <v>6653</v>
      </c>
      <c r="E747" s="5">
        <f t="shared" si="45"/>
        <v>653</v>
      </c>
      <c r="F747" s="5">
        <f t="shared" si="46"/>
        <v>426409</v>
      </c>
      <c r="G747" s="6">
        <f>SQRT(SUM($F$2:F747)/A747)</f>
        <v>1277.5591291279752</v>
      </c>
      <c r="H747" s="5">
        <f t="shared" si="47"/>
        <v>1</v>
      </c>
      <c r="I747" s="5">
        <f t="shared" si="48"/>
        <v>0</v>
      </c>
    </row>
    <row r="748" spans="1:9">
      <c r="A748">
        <v>747</v>
      </c>
      <c r="B748">
        <v>9</v>
      </c>
      <c r="C748">
        <v>6000</v>
      </c>
      <c r="D748">
        <v>5057</v>
      </c>
      <c r="E748" s="5">
        <f t="shared" si="45"/>
        <v>943</v>
      </c>
      <c r="F748" s="5">
        <f t="shared" si="46"/>
        <v>889249</v>
      </c>
      <c r="G748" s="6">
        <f>SQRT(SUM($F$2:F748)/A748)</f>
        <v>1277.1698422254683</v>
      </c>
      <c r="H748" s="5">
        <f t="shared" si="47"/>
        <v>1</v>
      </c>
      <c r="I748" s="5">
        <f t="shared" si="48"/>
        <v>0</v>
      </c>
    </row>
    <row r="749" spans="1:9">
      <c r="A749">
        <v>748</v>
      </c>
      <c r="B749">
        <v>11</v>
      </c>
      <c r="C749">
        <v>6000</v>
      </c>
      <c r="D749">
        <v>6401</v>
      </c>
      <c r="E749" s="5">
        <f t="shared" si="45"/>
        <v>401</v>
      </c>
      <c r="F749" s="5">
        <f t="shared" si="46"/>
        <v>160801</v>
      </c>
      <c r="G749" s="6">
        <f>SQRT(SUM($F$2:F749)/A749)</f>
        <v>1276.4000476146975</v>
      </c>
      <c r="H749" s="5">
        <f t="shared" si="47"/>
        <v>1</v>
      </c>
      <c r="I749" s="5">
        <f t="shared" si="48"/>
        <v>1</v>
      </c>
    </row>
    <row r="750" spans="1:9">
      <c r="A750">
        <v>749</v>
      </c>
      <c r="B750">
        <v>10</v>
      </c>
      <c r="C750">
        <v>6000</v>
      </c>
      <c r="D750">
        <v>5374</v>
      </c>
      <c r="E750" s="5">
        <f t="shared" si="45"/>
        <v>626</v>
      </c>
      <c r="F750" s="5">
        <f t="shared" si="46"/>
        <v>391876</v>
      </c>
      <c r="G750" s="6">
        <f>SQRT(SUM($F$2:F750)/A750)</f>
        <v>1275.7527650332515</v>
      </c>
      <c r="H750" s="5">
        <f t="shared" si="47"/>
        <v>1</v>
      </c>
      <c r="I750" s="5">
        <f t="shared" si="48"/>
        <v>0</v>
      </c>
    </row>
    <row r="751" spans="1:9">
      <c r="A751">
        <v>750</v>
      </c>
      <c r="B751">
        <v>11</v>
      </c>
      <c r="C751">
        <v>6000</v>
      </c>
      <c r="D751">
        <v>5590</v>
      </c>
      <c r="E751" s="5">
        <f t="shared" si="45"/>
        <v>410</v>
      </c>
      <c r="F751" s="5">
        <f t="shared" si="46"/>
        <v>168100</v>
      </c>
      <c r="G751" s="6">
        <f>SQRT(SUM($F$2:F751)/A751)</f>
        <v>1274.9898786526373</v>
      </c>
      <c r="H751" s="5">
        <f t="shared" si="47"/>
        <v>1</v>
      </c>
      <c r="I751" s="5">
        <f t="shared" si="48"/>
        <v>1</v>
      </c>
    </row>
    <row r="752" spans="1:9">
      <c r="A752">
        <v>751</v>
      </c>
      <c r="B752">
        <v>11</v>
      </c>
      <c r="C752">
        <v>6000</v>
      </c>
      <c r="D752">
        <v>6265</v>
      </c>
      <c r="E752" s="5">
        <f t="shared" si="45"/>
        <v>265</v>
      </c>
      <c r="F752" s="5">
        <f t="shared" si="46"/>
        <v>70225</v>
      </c>
      <c r="G752" s="6">
        <f>SQRT(SUM($F$2:F752)/A752)</f>
        <v>1274.1774287124274</v>
      </c>
      <c r="H752" s="5">
        <f t="shared" si="47"/>
        <v>1</v>
      </c>
      <c r="I752" s="5">
        <f t="shared" si="48"/>
        <v>1</v>
      </c>
    </row>
    <row r="753" spans="1:9">
      <c r="A753">
        <v>752</v>
      </c>
      <c r="B753">
        <v>10</v>
      </c>
      <c r="C753">
        <v>6000</v>
      </c>
      <c r="D753">
        <v>6068</v>
      </c>
      <c r="E753" s="5">
        <f t="shared" si="45"/>
        <v>68</v>
      </c>
      <c r="F753" s="5">
        <f t="shared" si="46"/>
        <v>4624</v>
      </c>
      <c r="G753" s="6">
        <f>SQRT(SUM($F$2:F753)/A753)</f>
        <v>1273.3323689471304</v>
      </c>
      <c r="H753" s="5">
        <f t="shared" si="47"/>
        <v>1</v>
      </c>
      <c r="I753" s="5">
        <f t="shared" si="48"/>
        <v>1</v>
      </c>
    </row>
    <row r="754" spans="1:9">
      <c r="A754">
        <v>753</v>
      </c>
      <c r="B754">
        <v>10</v>
      </c>
      <c r="C754">
        <v>6000</v>
      </c>
      <c r="D754">
        <v>6017</v>
      </c>
      <c r="E754" s="5">
        <f t="shared" si="45"/>
        <v>17</v>
      </c>
      <c r="F754" s="5">
        <f t="shared" si="46"/>
        <v>289</v>
      </c>
      <c r="G754" s="6">
        <f>SQRT(SUM($F$2:F754)/A754)</f>
        <v>1272.4867326332937</v>
      </c>
      <c r="H754" s="5">
        <f t="shared" si="47"/>
        <v>1</v>
      </c>
      <c r="I754" s="5">
        <f t="shared" si="48"/>
        <v>1</v>
      </c>
    </row>
    <row r="755" spans="1:9">
      <c r="A755">
        <v>754</v>
      </c>
      <c r="B755">
        <v>10</v>
      </c>
      <c r="C755">
        <v>6000</v>
      </c>
      <c r="D755">
        <v>6364</v>
      </c>
      <c r="E755" s="5">
        <f t="shared" si="45"/>
        <v>364</v>
      </c>
      <c r="F755" s="5">
        <f t="shared" si="46"/>
        <v>132496</v>
      </c>
      <c r="G755" s="6">
        <f>SQRT(SUM($F$2:F755)/A755)</f>
        <v>1271.7117200604043</v>
      </c>
      <c r="H755" s="5">
        <f t="shared" si="47"/>
        <v>1</v>
      </c>
      <c r="I755" s="5">
        <f t="shared" si="48"/>
        <v>1</v>
      </c>
    </row>
    <row r="756" spans="1:9">
      <c r="A756">
        <v>755</v>
      </c>
      <c r="B756">
        <v>10</v>
      </c>
      <c r="C756">
        <v>6000</v>
      </c>
      <c r="D756">
        <v>5624</v>
      </c>
      <c r="E756" s="5">
        <f t="shared" si="45"/>
        <v>376</v>
      </c>
      <c r="F756" s="5">
        <f t="shared" si="46"/>
        <v>141376</v>
      </c>
      <c r="G756" s="6">
        <f>SQRT(SUM($F$2:F756)/A756)</f>
        <v>1270.9429168980191</v>
      </c>
      <c r="H756" s="5">
        <f t="shared" si="47"/>
        <v>1</v>
      </c>
      <c r="I756" s="5">
        <f t="shared" si="48"/>
        <v>1</v>
      </c>
    </row>
    <row r="757" spans="1:9">
      <c r="A757">
        <v>756</v>
      </c>
      <c r="B757">
        <v>11</v>
      </c>
      <c r="C757">
        <v>6000</v>
      </c>
      <c r="D757">
        <v>6165</v>
      </c>
      <c r="E757" s="5">
        <f t="shared" si="45"/>
        <v>165</v>
      </c>
      <c r="F757" s="5">
        <f t="shared" si="46"/>
        <v>27225</v>
      </c>
      <c r="G757" s="6">
        <f>SQRT(SUM($F$2:F757)/A757)</f>
        <v>1270.1162447320619</v>
      </c>
      <c r="H757" s="5">
        <f t="shared" si="47"/>
        <v>1</v>
      </c>
      <c r="I757" s="5">
        <f t="shared" si="48"/>
        <v>1</v>
      </c>
    </row>
    <row r="758" spans="1:9">
      <c r="A758">
        <v>757</v>
      </c>
      <c r="B758">
        <v>10</v>
      </c>
      <c r="C758">
        <v>6000</v>
      </c>
      <c r="D758">
        <v>6142</v>
      </c>
      <c r="E758" s="5">
        <f t="shared" si="45"/>
        <v>142</v>
      </c>
      <c r="F758" s="5">
        <f t="shared" si="46"/>
        <v>20164</v>
      </c>
      <c r="G758" s="6">
        <f>SQRT(SUM($F$2:F758)/A758)</f>
        <v>1269.2875460291193</v>
      </c>
      <c r="H758" s="5">
        <f t="shared" si="47"/>
        <v>1</v>
      </c>
      <c r="I758" s="5">
        <f t="shared" si="48"/>
        <v>1</v>
      </c>
    </row>
    <row r="759" spans="1:9">
      <c r="A759">
        <v>758</v>
      </c>
      <c r="B759">
        <v>10</v>
      </c>
      <c r="C759">
        <v>6000</v>
      </c>
      <c r="D759">
        <v>5934</v>
      </c>
      <c r="E759" s="5">
        <f t="shared" si="45"/>
        <v>66</v>
      </c>
      <c r="F759" s="5">
        <f t="shared" si="46"/>
        <v>4356</v>
      </c>
      <c r="G759" s="6">
        <f>SQRT(SUM($F$2:F759)/A759)</f>
        <v>1268.4522740347616</v>
      </c>
      <c r="H759" s="5">
        <f t="shared" si="47"/>
        <v>1</v>
      </c>
      <c r="I759" s="5">
        <f t="shared" si="48"/>
        <v>1</v>
      </c>
    </row>
    <row r="760" spans="1:9">
      <c r="A760">
        <v>759</v>
      </c>
      <c r="B760">
        <v>10</v>
      </c>
      <c r="C760">
        <v>6000</v>
      </c>
      <c r="D760">
        <v>5306</v>
      </c>
      <c r="E760" s="5">
        <f t="shared" si="45"/>
        <v>694</v>
      </c>
      <c r="F760" s="5">
        <f t="shared" si="46"/>
        <v>481636</v>
      </c>
      <c r="G760" s="6">
        <f>SQRT(SUM($F$2:F760)/A760)</f>
        <v>1267.8666654750905</v>
      </c>
      <c r="H760" s="5">
        <f t="shared" si="47"/>
        <v>1</v>
      </c>
      <c r="I760" s="5">
        <f t="shared" si="48"/>
        <v>0</v>
      </c>
    </row>
    <row r="761" spans="1:9">
      <c r="A761">
        <v>760</v>
      </c>
      <c r="B761">
        <v>11</v>
      </c>
      <c r="C761">
        <v>6000</v>
      </c>
      <c r="D761">
        <v>6682</v>
      </c>
      <c r="E761" s="5">
        <f t="shared" si="45"/>
        <v>682</v>
      </c>
      <c r="F761" s="5">
        <f t="shared" si="46"/>
        <v>465124</v>
      </c>
      <c r="G761" s="6">
        <f>SQRT(SUM($F$2:F761)/A761)</f>
        <v>1267.2737564094866</v>
      </c>
      <c r="H761" s="5">
        <f t="shared" si="47"/>
        <v>1</v>
      </c>
      <c r="I761" s="5">
        <f t="shared" si="48"/>
        <v>0</v>
      </c>
    </row>
    <row r="762" spans="1:9">
      <c r="A762">
        <v>761</v>
      </c>
      <c r="B762">
        <v>9</v>
      </c>
      <c r="C762">
        <v>6000</v>
      </c>
      <c r="D762">
        <v>3767</v>
      </c>
      <c r="E762" s="5">
        <f t="shared" si="45"/>
        <v>2233</v>
      </c>
      <c r="F762" s="5">
        <f t="shared" si="46"/>
        <v>4986289</v>
      </c>
      <c r="G762" s="6">
        <f>SQRT(SUM($F$2:F762)/A762)</f>
        <v>1269.025098409885</v>
      </c>
      <c r="H762" s="5">
        <f t="shared" si="47"/>
        <v>0</v>
      </c>
      <c r="I762" s="5">
        <f t="shared" si="48"/>
        <v>0</v>
      </c>
    </row>
    <row r="763" spans="1:9">
      <c r="A763">
        <v>762</v>
      </c>
      <c r="B763">
        <v>13</v>
      </c>
      <c r="C763">
        <v>6000</v>
      </c>
      <c r="D763">
        <v>3766</v>
      </c>
      <c r="E763" s="5">
        <f t="shared" si="45"/>
        <v>2234</v>
      </c>
      <c r="F763" s="5">
        <f t="shared" si="46"/>
        <v>4990756</v>
      </c>
      <c r="G763" s="6">
        <f>SQRT(SUM($F$2:F763)/A763)</f>
        <v>1270.7717461088996</v>
      </c>
      <c r="H763" s="5">
        <f t="shared" si="47"/>
        <v>0</v>
      </c>
      <c r="I763" s="5">
        <f t="shared" si="48"/>
        <v>0</v>
      </c>
    </row>
    <row r="764" spans="1:9">
      <c r="A764">
        <v>763</v>
      </c>
      <c r="B764">
        <v>13</v>
      </c>
      <c r="C764">
        <v>6000</v>
      </c>
      <c r="D764">
        <v>2083</v>
      </c>
      <c r="E764" s="5">
        <f t="shared" si="45"/>
        <v>3917</v>
      </c>
      <c r="F764" s="5">
        <f t="shared" si="46"/>
        <v>15342889</v>
      </c>
      <c r="G764" s="6">
        <f>SQRT(SUM($F$2:F764)/A764)</f>
        <v>1277.8313675645343</v>
      </c>
      <c r="H764" s="5">
        <f t="shared" si="47"/>
        <v>0</v>
      </c>
      <c r="I764" s="5">
        <f t="shared" si="48"/>
        <v>0</v>
      </c>
    </row>
    <row r="765" spans="1:9">
      <c r="A765">
        <v>764</v>
      </c>
      <c r="B765">
        <v>16</v>
      </c>
      <c r="C765">
        <v>6000</v>
      </c>
      <c r="D765">
        <v>3666</v>
      </c>
      <c r="E765" s="5">
        <f t="shared" si="45"/>
        <v>2334</v>
      </c>
      <c r="F765" s="5">
        <f t="shared" si="46"/>
        <v>5447556</v>
      </c>
      <c r="G765" s="6">
        <f>SQRT(SUM($F$2:F765)/A765)</f>
        <v>1279.7836030675765</v>
      </c>
      <c r="H765" s="5">
        <f t="shared" si="47"/>
        <v>0</v>
      </c>
      <c r="I765" s="5">
        <f t="shared" si="48"/>
        <v>0</v>
      </c>
    </row>
    <row r="766" spans="1:9">
      <c r="A766">
        <v>765</v>
      </c>
      <c r="B766">
        <v>15</v>
      </c>
      <c r="C766">
        <v>6000</v>
      </c>
      <c r="D766">
        <v>4486</v>
      </c>
      <c r="E766" s="5">
        <f t="shared" si="45"/>
        <v>1514</v>
      </c>
      <c r="F766" s="5">
        <f t="shared" si="46"/>
        <v>2292196</v>
      </c>
      <c r="G766" s="6">
        <f>SQRT(SUM($F$2:F766)/A766)</f>
        <v>1280.1177407040961</v>
      </c>
      <c r="H766" s="5">
        <f t="shared" si="47"/>
        <v>0</v>
      </c>
      <c r="I766" s="5">
        <f t="shared" si="48"/>
        <v>0</v>
      </c>
    </row>
    <row r="767" spans="1:9">
      <c r="A767">
        <v>766</v>
      </c>
      <c r="B767">
        <v>15</v>
      </c>
      <c r="C767">
        <v>6000</v>
      </c>
      <c r="D767">
        <v>6816</v>
      </c>
      <c r="E767" s="5">
        <f t="shared" si="45"/>
        <v>816</v>
      </c>
      <c r="F767" s="5">
        <f t="shared" si="46"/>
        <v>665856</v>
      </c>
      <c r="G767" s="6">
        <f>SQRT(SUM($F$2:F767)/A767)</f>
        <v>1279.6215834639711</v>
      </c>
      <c r="H767" s="5">
        <f t="shared" si="47"/>
        <v>1</v>
      </c>
      <c r="I767" s="5">
        <f t="shared" si="48"/>
        <v>0</v>
      </c>
    </row>
    <row r="768" spans="1:9">
      <c r="A768">
        <v>767</v>
      </c>
      <c r="B768">
        <v>12</v>
      </c>
      <c r="C768">
        <v>6000</v>
      </c>
      <c r="D768">
        <v>5019</v>
      </c>
      <c r="E768" s="5">
        <f t="shared" si="45"/>
        <v>981</v>
      </c>
      <c r="F768" s="5">
        <f t="shared" si="46"/>
        <v>962361</v>
      </c>
      <c r="G768" s="6">
        <f>SQRT(SUM($F$2:F768)/A768)</f>
        <v>1279.2776293414604</v>
      </c>
      <c r="H768" s="5">
        <f t="shared" si="47"/>
        <v>1</v>
      </c>
      <c r="I768" s="5">
        <f t="shared" si="48"/>
        <v>0</v>
      </c>
    </row>
    <row r="769" spans="1:9">
      <c r="A769">
        <v>768</v>
      </c>
      <c r="B769">
        <v>14</v>
      </c>
      <c r="C769">
        <v>6000</v>
      </c>
      <c r="D769">
        <v>6511</v>
      </c>
      <c r="E769" s="5">
        <f t="shared" si="45"/>
        <v>511</v>
      </c>
      <c r="F769" s="5">
        <f t="shared" si="46"/>
        <v>261121</v>
      </c>
      <c r="G769" s="6">
        <f>SQRT(SUM($F$2:F769)/A769)</f>
        <v>1278.5774627002463</v>
      </c>
      <c r="H769" s="5">
        <f t="shared" si="47"/>
        <v>1</v>
      </c>
      <c r="I769" s="5">
        <f t="shared" si="48"/>
        <v>1</v>
      </c>
    </row>
    <row r="770" spans="1:9">
      <c r="A770">
        <v>769</v>
      </c>
      <c r="B770">
        <v>12</v>
      </c>
      <c r="C770">
        <v>6000</v>
      </c>
      <c r="D770">
        <v>5317</v>
      </c>
      <c r="E770" s="5">
        <f t="shared" si="45"/>
        <v>683</v>
      </c>
      <c r="F770" s="5">
        <f t="shared" si="46"/>
        <v>466489</v>
      </c>
      <c r="G770" s="6">
        <f>SQRT(SUM($F$2:F770)/A770)</f>
        <v>1277.9832235346014</v>
      </c>
      <c r="H770" s="5">
        <f t="shared" si="47"/>
        <v>1</v>
      </c>
      <c r="I770" s="5">
        <f t="shared" si="48"/>
        <v>0</v>
      </c>
    </row>
    <row r="771" spans="1:9">
      <c r="A771">
        <v>770</v>
      </c>
      <c r="B771">
        <v>14</v>
      </c>
      <c r="C771">
        <v>6000</v>
      </c>
      <c r="D771">
        <v>7124</v>
      </c>
      <c r="E771" s="5">
        <f t="shared" ref="E771:E834" si="49">ABS(C771-D771)</f>
        <v>1124</v>
      </c>
      <c r="F771" s="5">
        <f t="shared" ref="F771:F834" si="50">POWER(E771,2)</f>
        <v>1263376</v>
      </c>
      <c r="G771" s="6">
        <f>SQRT(SUM($F$2:F771)/A771)</f>
        <v>1277.7952791134717</v>
      </c>
      <c r="H771" s="5">
        <f t="shared" ref="H771:H834" si="51">IF(ABS(E771)/C771&gt;0.2,0,1)</f>
        <v>1</v>
      </c>
      <c r="I771" s="5">
        <f t="shared" ref="I771:I834" si="52">IF(ABS(E771)/C771&gt;0.1,0,1)</f>
        <v>0</v>
      </c>
    </row>
    <row r="772" spans="1:9">
      <c r="A772">
        <v>771</v>
      </c>
      <c r="B772">
        <v>12</v>
      </c>
      <c r="C772">
        <v>6000</v>
      </c>
      <c r="D772">
        <v>6544</v>
      </c>
      <c r="E772" s="5">
        <f t="shared" si="49"/>
        <v>544</v>
      </c>
      <c r="F772" s="5">
        <f t="shared" si="50"/>
        <v>295936</v>
      </c>
      <c r="G772" s="6">
        <f>SQRT(SUM($F$2:F772)/A772)</f>
        <v>1277.1166317336031</v>
      </c>
      <c r="H772" s="5">
        <f t="shared" si="51"/>
        <v>1</v>
      </c>
      <c r="I772" s="5">
        <f t="shared" si="52"/>
        <v>1</v>
      </c>
    </row>
    <row r="773" spans="1:9">
      <c r="A773">
        <v>772</v>
      </c>
      <c r="B773">
        <v>12</v>
      </c>
      <c r="C773">
        <v>6000</v>
      </c>
      <c r="D773">
        <v>7132</v>
      </c>
      <c r="E773" s="5">
        <f t="shared" si="49"/>
        <v>1132</v>
      </c>
      <c r="F773" s="5">
        <f t="shared" si="50"/>
        <v>1281424</v>
      </c>
      <c r="G773" s="6">
        <f>SQRT(SUM($F$2:F773)/A773)</f>
        <v>1276.9393241516086</v>
      </c>
      <c r="H773" s="5">
        <f t="shared" si="51"/>
        <v>1</v>
      </c>
      <c r="I773" s="5">
        <f t="shared" si="52"/>
        <v>0</v>
      </c>
    </row>
    <row r="774" spans="1:9">
      <c r="A774">
        <v>773</v>
      </c>
      <c r="B774">
        <v>11</v>
      </c>
      <c r="C774">
        <v>6000</v>
      </c>
      <c r="D774">
        <v>6559</v>
      </c>
      <c r="E774" s="5">
        <f t="shared" si="49"/>
        <v>559</v>
      </c>
      <c r="F774" s="5">
        <f t="shared" si="50"/>
        <v>312481</v>
      </c>
      <c r="G774" s="6">
        <f>SQRT(SUM($F$2:F774)/A774)</f>
        <v>1276.2714726607169</v>
      </c>
      <c r="H774" s="5">
        <f t="shared" si="51"/>
        <v>1</v>
      </c>
      <c r="I774" s="5">
        <f t="shared" si="52"/>
        <v>1</v>
      </c>
    </row>
    <row r="775" spans="1:9">
      <c r="A775">
        <v>774</v>
      </c>
      <c r="B775">
        <v>12</v>
      </c>
      <c r="C775">
        <v>6000</v>
      </c>
      <c r="D775">
        <v>6209</v>
      </c>
      <c r="E775" s="5">
        <f t="shared" si="49"/>
        <v>209</v>
      </c>
      <c r="F775" s="5">
        <f t="shared" si="50"/>
        <v>43681</v>
      </c>
      <c r="G775" s="6">
        <f>SQRT(SUM($F$2:F775)/A775)</f>
        <v>1275.4688649988268</v>
      </c>
      <c r="H775" s="5">
        <f t="shared" si="51"/>
        <v>1</v>
      </c>
      <c r="I775" s="5">
        <f t="shared" si="52"/>
        <v>1</v>
      </c>
    </row>
    <row r="776" spans="1:9">
      <c r="A776">
        <v>775</v>
      </c>
      <c r="B776">
        <v>12</v>
      </c>
      <c r="C776">
        <v>6000</v>
      </c>
      <c r="D776">
        <v>6077</v>
      </c>
      <c r="E776" s="5">
        <f t="shared" si="49"/>
        <v>77</v>
      </c>
      <c r="F776" s="5">
        <f t="shared" si="50"/>
        <v>5929</v>
      </c>
      <c r="G776" s="6">
        <f>SQRT(SUM($F$2:F776)/A776)</f>
        <v>1274.6487171993956</v>
      </c>
      <c r="H776" s="5">
        <f t="shared" si="51"/>
        <v>1</v>
      </c>
      <c r="I776" s="5">
        <f t="shared" si="52"/>
        <v>1</v>
      </c>
    </row>
    <row r="777" spans="1:9">
      <c r="A777">
        <v>776</v>
      </c>
      <c r="B777">
        <v>12</v>
      </c>
      <c r="C777">
        <v>6000</v>
      </c>
      <c r="D777">
        <v>6931</v>
      </c>
      <c r="E777" s="5">
        <f t="shared" si="49"/>
        <v>931</v>
      </c>
      <c r="F777" s="5">
        <f t="shared" si="50"/>
        <v>866761</v>
      </c>
      <c r="G777" s="6">
        <f>SQRT(SUM($F$2:F777)/A777)</f>
        <v>1274.2655095848454</v>
      </c>
      <c r="H777" s="5">
        <f t="shared" si="51"/>
        <v>1</v>
      </c>
      <c r="I777" s="5">
        <f t="shared" si="52"/>
        <v>0</v>
      </c>
    </row>
    <row r="778" spans="1:9">
      <c r="A778">
        <v>777</v>
      </c>
      <c r="B778">
        <v>11</v>
      </c>
      <c r="C778">
        <v>6000</v>
      </c>
      <c r="D778">
        <v>5660</v>
      </c>
      <c r="E778" s="5">
        <f t="shared" si="49"/>
        <v>340</v>
      </c>
      <c r="F778" s="5">
        <f t="shared" si="50"/>
        <v>115600</v>
      </c>
      <c r="G778" s="6">
        <f>SQRT(SUM($F$2:F778)/A778)</f>
        <v>1273.5036688579246</v>
      </c>
      <c r="H778" s="5">
        <f t="shared" si="51"/>
        <v>1</v>
      </c>
      <c r="I778" s="5">
        <f t="shared" si="52"/>
        <v>1</v>
      </c>
    </row>
    <row r="779" spans="1:9">
      <c r="A779">
        <v>778</v>
      </c>
      <c r="B779">
        <v>12</v>
      </c>
      <c r="C779">
        <v>6000</v>
      </c>
      <c r="D779">
        <v>6265</v>
      </c>
      <c r="E779" s="5">
        <f t="shared" si="49"/>
        <v>265</v>
      </c>
      <c r="F779" s="5">
        <f t="shared" si="50"/>
        <v>70225</v>
      </c>
      <c r="G779" s="6">
        <f>SQRT(SUM($F$2:F779)/A779)</f>
        <v>1272.7204199478317</v>
      </c>
      <c r="H779" s="5">
        <f t="shared" si="51"/>
        <v>1</v>
      </c>
      <c r="I779" s="5">
        <f t="shared" si="52"/>
        <v>1</v>
      </c>
    </row>
    <row r="780" spans="1:9">
      <c r="A780">
        <v>779</v>
      </c>
      <c r="B780">
        <v>12</v>
      </c>
      <c r="C780">
        <v>6000</v>
      </c>
      <c r="D780">
        <v>6194</v>
      </c>
      <c r="E780" s="5">
        <f t="shared" si="49"/>
        <v>194</v>
      </c>
      <c r="F780" s="5">
        <f t="shared" si="50"/>
        <v>37636</v>
      </c>
      <c r="G780" s="6">
        <f>SQRT(SUM($F$2:F780)/A780)</f>
        <v>1271.9222562447283</v>
      </c>
      <c r="H780" s="5">
        <f t="shared" si="51"/>
        <v>1</v>
      </c>
      <c r="I780" s="5">
        <f t="shared" si="52"/>
        <v>1</v>
      </c>
    </row>
    <row r="781" spans="1:9">
      <c r="A781">
        <v>780</v>
      </c>
      <c r="B781">
        <v>12</v>
      </c>
      <c r="C781">
        <v>6000</v>
      </c>
      <c r="D781">
        <v>5894</v>
      </c>
      <c r="E781" s="5">
        <f t="shared" si="49"/>
        <v>106</v>
      </c>
      <c r="F781" s="5">
        <f t="shared" si="50"/>
        <v>11236</v>
      </c>
      <c r="G781" s="6">
        <f>SQRT(SUM($F$2:F781)/A781)</f>
        <v>1271.1123263322743</v>
      </c>
      <c r="H781" s="5">
        <f t="shared" si="51"/>
        <v>1</v>
      </c>
      <c r="I781" s="5">
        <f t="shared" si="52"/>
        <v>1</v>
      </c>
    </row>
    <row r="782" spans="1:9">
      <c r="A782">
        <v>781</v>
      </c>
      <c r="B782">
        <v>12</v>
      </c>
      <c r="C782">
        <v>6000</v>
      </c>
      <c r="D782">
        <v>6739</v>
      </c>
      <c r="E782" s="5">
        <f t="shared" si="49"/>
        <v>739</v>
      </c>
      <c r="F782" s="5">
        <f t="shared" si="50"/>
        <v>546121</v>
      </c>
      <c r="G782" s="6">
        <f>SQRT(SUM($F$2:F782)/A782)</f>
        <v>1270.5734976002361</v>
      </c>
      <c r="H782" s="5">
        <f t="shared" si="51"/>
        <v>1</v>
      </c>
      <c r="I782" s="5">
        <f t="shared" si="52"/>
        <v>0</v>
      </c>
    </row>
    <row r="783" spans="1:9">
      <c r="A783">
        <v>782</v>
      </c>
      <c r="B783">
        <v>11</v>
      </c>
      <c r="C783">
        <v>6000</v>
      </c>
      <c r="D783">
        <v>5757</v>
      </c>
      <c r="E783" s="5">
        <f t="shared" si="49"/>
        <v>243</v>
      </c>
      <c r="F783" s="5">
        <f t="shared" si="50"/>
        <v>59049</v>
      </c>
      <c r="G783" s="6">
        <f>SQRT(SUM($F$2:F783)/A783)</f>
        <v>1269.7905842607424</v>
      </c>
      <c r="H783" s="5">
        <f t="shared" si="51"/>
        <v>1</v>
      </c>
      <c r="I783" s="5">
        <f t="shared" si="52"/>
        <v>1</v>
      </c>
    </row>
    <row r="784" spans="1:9">
      <c r="A784">
        <v>783</v>
      </c>
      <c r="B784">
        <v>12</v>
      </c>
      <c r="C784">
        <v>6000</v>
      </c>
      <c r="D784">
        <v>6977</v>
      </c>
      <c r="E784" s="5">
        <f t="shared" si="49"/>
        <v>977</v>
      </c>
      <c r="F784" s="5">
        <f t="shared" si="50"/>
        <v>954529</v>
      </c>
      <c r="G784" s="6">
        <f>SQRT(SUM($F$2:F784)/A784)</f>
        <v>1269.4597180432136</v>
      </c>
      <c r="H784" s="5">
        <f t="shared" si="51"/>
        <v>1</v>
      </c>
      <c r="I784" s="5">
        <f t="shared" si="52"/>
        <v>0</v>
      </c>
    </row>
    <row r="785" spans="1:9">
      <c r="A785">
        <v>784</v>
      </c>
      <c r="B785">
        <v>11</v>
      </c>
      <c r="C785">
        <v>6000</v>
      </c>
      <c r="D785">
        <v>5930</v>
      </c>
      <c r="E785" s="5">
        <f t="shared" si="49"/>
        <v>70</v>
      </c>
      <c r="F785" s="5">
        <f t="shared" si="50"/>
        <v>4900</v>
      </c>
      <c r="G785" s="6">
        <f>SQRT(SUM($F$2:F785)/A785)</f>
        <v>1268.6523185479712</v>
      </c>
      <c r="H785" s="5">
        <f t="shared" si="51"/>
        <v>1</v>
      </c>
      <c r="I785" s="5">
        <f t="shared" si="52"/>
        <v>1</v>
      </c>
    </row>
    <row r="786" spans="1:9">
      <c r="A786">
        <v>785</v>
      </c>
      <c r="B786">
        <v>12</v>
      </c>
      <c r="C786">
        <v>6000</v>
      </c>
      <c r="D786">
        <v>6149</v>
      </c>
      <c r="E786" s="5">
        <f t="shared" si="49"/>
        <v>149</v>
      </c>
      <c r="F786" s="5">
        <f t="shared" si="50"/>
        <v>22201</v>
      </c>
      <c r="G786" s="6">
        <f>SQRT(SUM($F$2:F786)/A786)</f>
        <v>1267.8551555841864</v>
      </c>
      <c r="H786" s="5">
        <f t="shared" si="51"/>
        <v>1</v>
      </c>
      <c r="I786" s="5">
        <f t="shared" si="52"/>
        <v>1</v>
      </c>
    </row>
    <row r="787" spans="1:9">
      <c r="A787">
        <v>786</v>
      </c>
      <c r="B787">
        <v>12</v>
      </c>
      <c r="C787">
        <v>6000</v>
      </c>
      <c r="D787">
        <v>6328</v>
      </c>
      <c r="E787" s="5">
        <f t="shared" si="49"/>
        <v>328</v>
      </c>
      <c r="F787" s="5">
        <f t="shared" si="50"/>
        <v>107584</v>
      </c>
      <c r="G787" s="6">
        <f>SQRT(SUM($F$2:F787)/A787)</f>
        <v>1267.10238755982</v>
      </c>
      <c r="H787" s="5">
        <f t="shared" si="51"/>
        <v>1</v>
      </c>
      <c r="I787" s="5">
        <f t="shared" si="52"/>
        <v>1</v>
      </c>
    </row>
    <row r="788" spans="1:9">
      <c r="A788">
        <v>787</v>
      </c>
      <c r="B788">
        <v>11</v>
      </c>
      <c r="C788">
        <v>6000</v>
      </c>
      <c r="D788">
        <v>5806</v>
      </c>
      <c r="E788" s="5">
        <f t="shared" si="49"/>
        <v>194</v>
      </c>
      <c r="F788" s="5">
        <f t="shared" si="50"/>
        <v>37636</v>
      </c>
      <c r="G788" s="6">
        <f>SQRT(SUM($F$2:F788)/A788)</f>
        <v>1266.3159936128884</v>
      </c>
      <c r="H788" s="5">
        <f t="shared" si="51"/>
        <v>1</v>
      </c>
      <c r="I788" s="5">
        <f t="shared" si="52"/>
        <v>1</v>
      </c>
    </row>
    <row r="789" spans="1:9">
      <c r="A789">
        <v>788</v>
      </c>
      <c r="B789">
        <v>12</v>
      </c>
      <c r="C789">
        <v>6000</v>
      </c>
      <c r="D789">
        <v>6684</v>
      </c>
      <c r="E789" s="5">
        <f t="shared" si="49"/>
        <v>684</v>
      </c>
      <c r="F789" s="5">
        <f t="shared" si="50"/>
        <v>467856</v>
      </c>
      <c r="G789" s="6">
        <f>SQRT(SUM($F$2:F789)/A789)</f>
        <v>1265.7467960759964</v>
      </c>
      <c r="H789" s="5">
        <f t="shared" si="51"/>
        <v>1</v>
      </c>
      <c r="I789" s="5">
        <f t="shared" si="52"/>
        <v>0</v>
      </c>
    </row>
    <row r="790" spans="1:9">
      <c r="A790">
        <v>789</v>
      </c>
      <c r="B790">
        <v>11</v>
      </c>
      <c r="C790">
        <v>6000</v>
      </c>
      <c r="D790">
        <v>5345</v>
      </c>
      <c r="E790" s="5">
        <f t="shared" si="49"/>
        <v>655</v>
      </c>
      <c r="F790" s="5">
        <f t="shared" si="50"/>
        <v>429025</v>
      </c>
      <c r="G790" s="6">
        <f>SQRT(SUM($F$2:F790)/A790)</f>
        <v>1265.1593361130917</v>
      </c>
      <c r="H790" s="5">
        <f t="shared" si="51"/>
        <v>1</v>
      </c>
      <c r="I790" s="5">
        <f t="shared" si="52"/>
        <v>0</v>
      </c>
    </row>
    <row r="791" spans="1:9">
      <c r="A791">
        <v>790</v>
      </c>
      <c r="B791">
        <v>12</v>
      </c>
      <c r="C791">
        <v>6000</v>
      </c>
      <c r="D791">
        <v>5892</v>
      </c>
      <c r="E791" s="5">
        <f t="shared" si="49"/>
        <v>108</v>
      </c>
      <c r="F791" s="5">
        <f t="shared" si="50"/>
        <v>11664</v>
      </c>
      <c r="G791" s="6">
        <f>SQRT(SUM($F$2:F791)/A791)</f>
        <v>1264.364187540195</v>
      </c>
      <c r="H791" s="5">
        <f t="shared" si="51"/>
        <v>1</v>
      </c>
      <c r="I791" s="5">
        <f t="shared" si="52"/>
        <v>1</v>
      </c>
    </row>
    <row r="792" spans="1:9">
      <c r="A792">
        <v>791</v>
      </c>
      <c r="B792">
        <v>12</v>
      </c>
      <c r="C792">
        <v>6000</v>
      </c>
      <c r="D792">
        <v>5852</v>
      </c>
      <c r="E792" s="5">
        <f t="shared" si="49"/>
        <v>148</v>
      </c>
      <c r="F792" s="5">
        <f t="shared" si="50"/>
        <v>21904</v>
      </c>
      <c r="G792" s="6">
        <f>SQRT(SUM($F$2:F792)/A792)</f>
        <v>1263.575673607638</v>
      </c>
      <c r="H792" s="5">
        <f t="shared" si="51"/>
        <v>1</v>
      </c>
      <c r="I792" s="5">
        <f t="shared" si="52"/>
        <v>1</v>
      </c>
    </row>
    <row r="793" spans="1:9">
      <c r="A793">
        <v>792</v>
      </c>
      <c r="B793">
        <v>12</v>
      </c>
      <c r="C793">
        <v>6000</v>
      </c>
      <c r="D793">
        <v>6713</v>
      </c>
      <c r="E793" s="5">
        <f t="shared" si="49"/>
        <v>713</v>
      </c>
      <c r="F793" s="5">
        <f t="shared" si="50"/>
        <v>508369</v>
      </c>
      <c r="G793" s="6">
        <f>SQRT(SUM($F$2:F793)/A793)</f>
        <v>1263.0318381744873</v>
      </c>
      <c r="H793" s="5">
        <f t="shared" si="51"/>
        <v>1</v>
      </c>
      <c r="I793" s="5">
        <f t="shared" si="52"/>
        <v>0</v>
      </c>
    </row>
    <row r="794" spans="1:9">
      <c r="A794">
        <v>793</v>
      </c>
      <c r="B794">
        <v>11</v>
      </c>
      <c r="C794">
        <v>6000</v>
      </c>
      <c r="D794">
        <v>5168</v>
      </c>
      <c r="E794" s="5">
        <f t="shared" si="49"/>
        <v>832</v>
      </c>
      <c r="F794" s="5">
        <f t="shared" si="50"/>
        <v>692224</v>
      </c>
      <c r="G794" s="6">
        <f>SQRT(SUM($F$2:F794)/A794)</f>
        <v>1262.5809591611612</v>
      </c>
      <c r="H794" s="5">
        <f t="shared" si="51"/>
        <v>1</v>
      </c>
      <c r="I794" s="5">
        <f t="shared" si="52"/>
        <v>0</v>
      </c>
    </row>
    <row r="795" spans="1:9">
      <c r="A795">
        <v>794</v>
      </c>
      <c r="B795">
        <v>13</v>
      </c>
      <c r="C795">
        <v>6000</v>
      </c>
      <c r="D795">
        <v>7227</v>
      </c>
      <c r="E795" s="5">
        <f t="shared" si="49"/>
        <v>1227</v>
      </c>
      <c r="F795" s="5">
        <f t="shared" si="50"/>
        <v>1505529</v>
      </c>
      <c r="G795" s="6">
        <f>SQRT(SUM($F$2:F795)/A795)</f>
        <v>1262.536777527519</v>
      </c>
      <c r="H795" s="5">
        <f t="shared" si="51"/>
        <v>0</v>
      </c>
      <c r="I795" s="5">
        <f t="shared" si="52"/>
        <v>0</v>
      </c>
    </row>
    <row r="796" spans="1:9">
      <c r="A796">
        <v>795</v>
      </c>
      <c r="B796">
        <v>10</v>
      </c>
      <c r="C796">
        <v>6000</v>
      </c>
      <c r="D796">
        <v>6579</v>
      </c>
      <c r="E796" s="5">
        <f t="shared" si="49"/>
        <v>579</v>
      </c>
      <c r="F796" s="5">
        <f t="shared" si="50"/>
        <v>335241</v>
      </c>
      <c r="G796" s="6">
        <f>SQRT(SUM($F$2:F796)/A796)</f>
        <v>1261.9095732536393</v>
      </c>
      <c r="H796" s="5">
        <f t="shared" si="51"/>
        <v>1</v>
      </c>
      <c r="I796" s="5">
        <f t="shared" si="52"/>
        <v>1</v>
      </c>
    </row>
    <row r="797" spans="1:9">
      <c r="A797">
        <v>796</v>
      </c>
      <c r="B797">
        <v>11</v>
      </c>
      <c r="C797">
        <v>6000</v>
      </c>
      <c r="D797">
        <v>5875</v>
      </c>
      <c r="E797" s="5">
        <f t="shared" si="49"/>
        <v>125</v>
      </c>
      <c r="F797" s="5">
        <f t="shared" si="50"/>
        <v>15625</v>
      </c>
      <c r="G797" s="6">
        <f>SQRT(SUM($F$2:F797)/A797)</f>
        <v>1261.1244499020322</v>
      </c>
      <c r="H797" s="5">
        <f t="shared" si="51"/>
        <v>1</v>
      </c>
      <c r="I797" s="5">
        <f t="shared" si="52"/>
        <v>1</v>
      </c>
    </row>
    <row r="798" spans="1:9">
      <c r="A798">
        <v>797</v>
      </c>
      <c r="B798">
        <v>11</v>
      </c>
      <c r="C798">
        <v>6000</v>
      </c>
      <c r="D798">
        <v>5836</v>
      </c>
      <c r="E798" s="5">
        <f t="shared" si="49"/>
        <v>164</v>
      </c>
      <c r="F798" s="5">
        <f t="shared" si="50"/>
        <v>26896</v>
      </c>
      <c r="G798" s="6">
        <f>SQRT(SUM($F$2:F798)/A798)</f>
        <v>1260.3464197858466</v>
      </c>
      <c r="H798" s="5">
        <f t="shared" si="51"/>
        <v>1</v>
      </c>
      <c r="I798" s="5">
        <f t="shared" si="52"/>
        <v>1</v>
      </c>
    </row>
    <row r="799" spans="1:9">
      <c r="A799">
        <v>798</v>
      </c>
      <c r="B799">
        <v>12</v>
      </c>
      <c r="C799">
        <v>6000</v>
      </c>
      <c r="D799">
        <v>6327</v>
      </c>
      <c r="E799" s="5">
        <f t="shared" si="49"/>
        <v>327</v>
      </c>
      <c r="F799" s="5">
        <f t="shared" si="50"/>
        <v>106929</v>
      </c>
      <c r="G799" s="6">
        <f>SQRT(SUM($F$2:F799)/A799)</f>
        <v>1259.6096722063503</v>
      </c>
      <c r="H799" s="5">
        <f t="shared" si="51"/>
        <v>1</v>
      </c>
      <c r="I799" s="5">
        <f t="shared" si="52"/>
        <v>1</v>
      </c>
    </row>
    <row r="800" spans="1:9">
      <c r="A800">
        <v>799</v>
      </c>
      <c r="B800">
        <v>11</v>
      </c>
      <c r="C800">
        <v>6000</v>
      </c>
      <c r="D800">
        <v>6787</v>
      </c>
      <c r="E800" s="5">
        <f t="shared" si="49"/>
        <v>787</v>
      </c>
      <c r="F800" s="5">
        <f t="shared" si="50"/>
        <v>619369</v>
      </c>
      <c r="G800" s="6">
        <f>SQRT(SUM($F$2:F800)/A800)</f>
        <v>1259.1290456867855</v>
      </c>
      <c r="H800" s="5">
        <f t="shared" si="51"/>
        <v>1</v>
      </c>
      <c r="I800" s="5">
        <f t="shared" si="52"/>
        <v>0</v>
      </c>
    </row>
    <row r="801" spans="1:9">
      <c r="A801">
        <v>800</v>
      </c>
      <c r="B801">
        <v>10</v>
      </c>
      <c r="C801">
        <v>6000</v>
      </c>
      <c r="D801">
        <v>5497</v>
      </c>
      <c r="E801" s="5">
        <f t="shared" si="49"/>
        <v>503</v>
      </c>
      <c r="F801" s="5">
        <f t="shared" si="50"/>
        <v>253009</v>
      </c>
      <c r="G801" s="6">
        <f>SQRT(SUM($F$2:F801)/A801)</f>
        <v>1258.467503553429</v>
      </c>
      <c r="H801" s="5">
        <f t="shared" si="51"/>
        <v>1</v>
      </c>
      <c r="I801" s="5">
        <f t="shared" si="52"/>
        <v>1</v>
      </c>
    </row>
    <row r="802" spans="1:9">
      <c r="A802">
        <v>801</v>
      </c>
      <c r="B802">
        <v>1</v>
      </c>
      <c r="C802">
        <v>9000</v>
      </c>
      <c r="D802">
        <v>274</v>
      </c>
      <c r="E802" s="5">
        <f t="shared" si="49"/>
        <v>8726</v>
      </c>
      <c r="F802" s="5">
        <f t="shared" si="50"/>
        <v>76143076</v>
      </c>
      <c r="G802" s="6">
        <f>SQRT(SUM($F$2:F802)/A802)</f>
        <v>1294.9221109426774</v>
      </c>
      <c r="H802" s="5">
        <f t="shared" si="51"/>
        <v>0</v>
      </c>
      <c r="I802" s="5">
        <f t="shared" si="52"/>
        <v>0</v>
      </c>
    </row>
    <row r="803" spans="1:9">
      <c r="A803">
        <v>802</v>
      </c>
      <c r="B803">
        <v>11</v>
      </c>
      <c r="C803">
        <v>9000</v>
      </c>
      <c r="D803">
        <v>3625</v>
      </c>
      <c r="E803" s="5">
        <f t="shared" si="49"/>
        <v>5375</v>
      </c>
      <c r="F803" s="5">
        <f t="shared" si="50"/>
        <v>28890625</v>
      </c>
      <c r="G803" s="6">
        <f>SQRT(SUM($F$2:F803)/A803)</f>
        <v>1307.9585981649861</v>
      </c>
      <c r="H803" s="5">
        <f t="shared" si="51"/>
        <v>0</v>
      </c>
      <c r="I803" s="5">
        <f t="shared" si="52"/>
        <v>0</v>
      </c>
    </row>
    <row r="804" spans="1:9">
      <c r="A804">
        <v>803</v>
      </c>
      <c r="B804">
        <v>9</v>
      </c>
      <c r="C804">
        <v>9000</v>
      </c>
      <c r="D804">
        <v>4301</v>
      </c>
      <c r="E804" s="5">
        <f t="shared" si="49"/>
        <v>4699</v>
      </c>
      <c r="F804" s="5">
        <f t="shared" si="50"/>
        <v>22080601</v>
      </c>
      <c r="G804" s="6">
        <f>SQRT(SUM($F$2:F804)/A804)</f>
        <v>1317.6201555158714</v>
      </c>
      <c r="H804" s="5">
        <f t="shared" si="51"/>
        <v>0</v>
      </c>
      <c r="I804" s="5">
        <f t="shared" si="52"/>
        <v>0</v>
      </c>
    </row>
    <row r="805" spans="1:9">
      <c r="A805">
        <v>804</v>
      </c>
      <c r="B805">
        <v>9</v>
      </c>
      <c r="C805">
        <v>9000</v>
      </c>
      <c r="D805">
        <v>4746</v>
      </c>
      <c r="E805" s="5">
        <f t="shared" si="49"/>
        <v>4254</v>
      </c>
      <c r="F805" s="5">
        <f t="shared" si="50"/>
        <v>18096516</v>
      </c>
      <c r="G805" s="6">
        <f>SQRT(SUM($F$2:F805)/A805)</f>
        <v>1325.3194414519646</v>
      </c>
      <c r="H805" s="5">
        <f t="shared" si="51"/>
        <v>0</v>
      </c>
      <c r="I805" s="5">
        <f t="shared" si="52"/>
        <v>0</v>
      </c>
    </row>
    <row r="806" spans="1:9">
      <c r="A806">
        <v>805</v>
      </c>
      <c r="B806">
        <v>10</v>
      </c>
      <c r="C806">
        <v>9000</v>
      </c>
      <c r="D806">
        <v>5440</v>
      </c>
      <c r="E806" s="5">
        <f t="shared" si="49"/>
        <v>3560</v>
      </c>
      <c r="F806" s="5">
        <f t="shared" si="50"/>
        <v>12673600</v>
      </c>
      <c r="G806" s="6">
        <f>SQRT(SUM($F$2:F806)/A806)</f>
        <v>1330.4259739082402</v>
      </c>
      <c r="H806" s="5">
        <f t="shared" si="51"/>
        <v>0</v>
      </c>
      <c r="I806" s="5">
        <f t="shared" si="52"/>
        <v>0</v>
      </c>
    </row>
    <row r="807" spans="1:9">
      <c r="A807">
        <v>806</v>
      </c>
      <c r="B807">
        <v>10</v>
      </c>
      <c r="C807">
        <v>9000</v>
      </c>
      <c r="D807">
        <v>5844</v>
      </c>
      <c r="E807" s="5">
        <f t="shared" si="49"/>
        <v>3156</v>
      </c>
      <c r="F807" s="5">
        <f t="shared" si="50"/>
        <v>9960336</v>
      </c>
      <c r="G807" s="6">
        <f>SQRT(SUM($F$2:F807)/A807)</f>
        <v>1334.2394605037211</v>
      </c>
      <c r="H807" s="5">
        <f t="shared" si="51"/>
        <v>0</v>
      </c>
      <c r="I807" s="5">
        <f t="shared" si="52"/>
        <v>0</v>
      </c>
    </row>
    <row r="808" spans="1:9">
      <c r="A808">
        <v>807</v>
      </c>
      <c r="B808">
        <v>10</v>
      </c>
      <c r="C808">
        <v>9000</v>
      </c>
      <c r="D808">
        <v>6078</v>
      </c>
      <c r="E808" s="5">
        <f t="shared" si="49"/>
        <v>2922</v>
      </c>
      <c r="F808" s="5">
        <f t="shared" si="50"/>
        <v>8538084</v>
      </c>
      <c r="G808" s="6">
        <f>SQRT(SUM($F$2:F808)/A808)</f>
        <v>1337.3739290199674</v>
      </c>
      <c r="H808" s="5">
        <f t="shared" si="51"/>
        <v>0</v>
      </c>
      <c r="I808" s="5">
        <f t="shared" si="52"/>
        <v>0</v>
      </c>
    </row>
    <row r="809" spans="1:9">
      <c r="A809">
        <v>808</v>
      </c>
      <c r="B809">
        <v>10</v>
      </c>
      <c r="C809">
        <v>9000</v>
      </c>
      <c r="D809">
        <v>5791</v>
      </c>
      <c r="E809" s="5">
        <f t="shared" si="49"/>
        <v>3209</v>
      </c>
      <c r="F809" s="5">
        <f t="shared" si="50"/>
        <v>10297681</v>
      </c>
      <c r="G809" s="6">
        <f>SQRT(SUM($F$2:F809)/A809)</f>
        <v>1341.3053735812809</v>
      </c>
      <c r="H809" s="5">
        <f t="shared" si="51"/>
        <v>0</v>
      </c>
      <c r="I809" s="5">
        <f t="shared" si="52"/>
        <v>0</v>
      </c>
    </row>
    <row r="810" spans="1:9">
      <c r="A810">
        <v>809</v>
      </c>
      <c r="B810">
        <v>12</v>
      </c>
      <c r="C810">
        <v>9000</v>
      </c>
      <c r="D810">
        <v>7246</v>
      </c>
      <c r="E810" s="5">
        <f t="shared" si="49"/>
        <v>1754</v>
      </c>
      <c r="F810" s="5">
        <f t="shared" si="50"/>
        <v>3076516</v>
      </c>
      <c r="G810" s="6">
        <f>SQRT(SUM($F$2:F810)/A810)</f>
        <v>1341.8938524519942</v>
      </c>
      <c r="H810" s="5">
        <f t="shared" si="51"/>
        <v>1</v>
      </c>
      <c r="I810" s="5">
        <f t="shared" si="52"/>
        <v>0</v>
      </c>
    </row>
    <row r="811" spans="1:9">
      <c r="A811">
        <v>810</v>
      </c>
      <c r="B811">
        <v>10</v>
      </c>
      <c r="C811">
        <v>9000</v>
      </c>
      <c r="D811">
        <v>5586</v>
      </c>
      <c r="E811" s="5">
        <f t="shared" si="49"/>
        <v>3414</v>
      </c>
      <c r="F811" s="5">
        <f t="shared" si="50"/>
        <v>11655396</v>
      </c>
      <c r="G811" s="6">
        <f>SQRT(SUM($F$2:F811)/A811)</f>
        <v>1346.4194845571203</v>
      </c>
      <c r="H811" s="5">
        <f t="shared" si="51"/>
        <v>0</v>
      </c>
      <c r="I811" s="5">
        <f t="shared" si="52"/>
        <v>0</v>
      </c>
    </row>
    <row r="812" spans="1:9">
      <c r="A812">
        <v>811</v>
      </c>
      <c r="B812">
        <v>13</v>
      </c>
      <c r="C812">
        <v>9000</v>
      </c>
      <c r="D812">
        <v>7642</v>
      </c>
      <c r="E812" s="5">
        <f t="shared" si="49"/>
        <v>1358</v>
      </c>
      <c r="F812" s="5">
        <f t="shared" si="50"/>
        <v>1844164</v>
      </c>
      <c r="G812" s="6">
        <f>SQRT(SUM($F$2:F812)/A812)</f>
        <v>1346.4338251925669</v>
      </c>
      <c r="H812" s="5">
        <f t="shared" si="51"/>
        <v>1</v>
      </c>
      <c r="I812" s="5">
        <f t="shared" si="52"/>
        <v>0</v>
      </c>
    </row>
    <row r="813" spans="1:9">
      <c r="A813">
        <v>812</v>
      </c>
      <c r="B813">
        <v>11</v>
      </c>
      <c r="C813">
        <v>9000</v>
      </c>
      <c r="D813">
        <v>6414</v>
      </c>
      <c r="E813" s="5">
        <f t="shared" si="49"/>
        <v>2586</v>
      </c>
      <c r="F813" s="5">
        <f t="shared" si="50"/>
        <v>6687396</v>
      </c>
      <c r="G813" s="6">
        <f>SQRT(SUM($F$2:F813)/A813)</f>
        <v>1348.6612395863394</v>
      </c>
      <c r="H813" s="5">
        <f t="shared" si="51"/>
        <v>0</v>
      </c>
      <c r="I813" s="5">
        <f t="shared" si="52"/>
        <v>0</v>
      </c>
    </row>
    <row r="814" spans="1:9">
      <c r="A814">
        <v>813</v>
      </c>
      <c r="B814">
        <v>13</v>
      </c>
      <c r="C814">
        <v>9000</v>
      </c>
      <c r="D814">
        <v>7291</v>
      </c>
      <c r="E814" s="5">
        <f t="shared" si="49"/>
        <v>1709</v>
      </c>
      <c r="F814" s="5">
        <f t="shared" si="50"/>
        <v>2920681</v>
      </c>
      <c r="G814" s="6">
        <f>SQRT(SUM($F$2:F814)/A814)</f>
        <v>1349.1635776152541</v>
      </c>
      <c r="H814" s="5">
        <f t="shared" si="51"/>
        <v>1</v>
      </c>
      <c r="I814" s="5">
        <f t="shared" si="52"/>
        <v>0</v>
      </c>
    </row>
    <row r="815" spans="1:9">
      <c r="A815">
        <v>814</v>
      </c>
      <c r="B815">
        <v>13</v>
      </c>
      <c r="C815">
        <v>9000</v>
      </c>
      <c r="D815">
        <v>6791</v>
      </c>
      <c r="E815" s="5">
        <f t="shared" si="49"/>
        <v>2209</v>
      </c>
      <c r="F815" s="5">
        <f t="shared" si="50"/>
        <v>4879681</v>
      </c>
      <c r="G815" s="6">
        <f>SQRT(SUM($F$2:F815)/A815)</f>
        <v>1350.5557683014736</v>
      </c>
      <c r="H815" s="5">
        <f t="shared" si="51"/>
        <v>0</v>
      </c>
      <c r="I815" s="5">
        <f t="shared" si="52"/>
        <v>0</v>
      </c>
    </row>
    <row r="816" spans="1:9">
      <c r="A816">
        <v>815</v>
      </c>
      <c r="B816">
        <v>14</v>
      </c>
      <c r="C816">
        <v>9000</v>
      </c>
      <c r="D816">
        <v>7607</v>
      </c>
      <c r="E816" s="5">
        <f t="shared" si="49"/>
        <v>1393</v>
      </c>
      <c r="F816" s="5">
        <f t="shared" si="50"/>
        <v>1940449</v>
      </c>
      <c r="G816" s="6">
        <f>SQRT(SUM($F$2:F816)/A816)</f>
        <v>1350.6086644239988</v>
      </c>
      <c r="H816" s="5">
        <f t="shared" si="51"/>
        <v>1</v>
      </c>
      <c r="I816" s="5">
        <f t="shared" si="52"/>
        <v>0</v>
      </c>
    </row>
    <row r="817" spans="1:9">
      <c r="A817">
        <v>816</v>
      </c>
      <c r="B817">
        <v>13</v>
      </c>
      <c r="C817">
        <v>9000</v>
      </c>
      <c r="D817">
        <v>7192</v>
      </c>
      <c r="E817" s="5">
        <f t="shared" si="49"/>
        <v>1808</v>
      </c>
      <c r="F817" s="5">
        <f t="shared" si="50"/>
        <v>3268864</v>
      </c>
      <c r="G817" s="6">
        <f>SQRT(SUM($F$2:F817)/A817)</f>
        <v>1351.263947162789</v>
      </c>
      <c r="H817" s="5">
        <f t="shared" si="51"/>
        <v>0</v>
      </c>
      <c r="I817" s="5">
        <f t="shared" si="52"/>
        <v>0</v>
      </c>
    </row>
    <row r="818" spans="1:9">
      <c r="A818">
        <v>817</v>
      </c>
      <c r="B818">
        <v>14</v>
      </c>
      <c r="C818">
        <v>9000</v>
      </c>
      <c r="D818">
        <v>7729</v>
      </c>
      <c r="E818" s="5">
        <f t="shared" si="49"/>
        <v>1271</v>
      </c>
      <c r="F818" s="5">
        <f t="shared" si="50"/>
        <v>1615441</v>
      </c>
      <c r="G818" s="6">
        <f>SQRT(SUM($F$2:F818)/A818)</f>
        <v>1351.1686192695929</v>
      </c>
      <c r="H818" s="5">
        <f t="shared" si="51"/>
        <v>1</v>
      </c>
      <c r="I818" s="5">
        <f t="shared" si="52"/>
        <v>0</v>
      </c>
    </row>
    <row r="819" spans="1:9">
      <c r="A819">
        <v>818</v>
      </c>
      <c r="B819">
        <v>14</v>
      </c>
      <c r="C819">
        <v>9000</v>
      </c>
      <c r="D819">
        <v>7802</v>
      </c>
      <c r="E819" s="5">
        <f t="shared" si="49"/>
        <v>1198</v>
      </c>
      <c r="F819" s="5">
        <f t="shared" si="50"/>
        <v>1435204</v>
      </c>
      <c r="G819" s="6">
        <f>SQRT(SUM($F$2:F819)/A819)</f>
        <v>1350.9919732314997</v>
      </c>
      <c r="H819" s="5">
        <f t="shared" si="51"/>
        <v>1</v>
      </c>
      <c r="I819" s="5">
        <f t="shared" si="52"/>
        <v>0</v>
      </c>
    </row>
    <row r="820" spans="1:9">
      <c r="A820">
        <v>819</v>
      </c>
      <c r="B820">
        <v>14</v>
      </c>
      <c r="C820">
        <v>9000</v>
      </c>
      <c r="D820">
        <v>7626</v>
      </c>
      <c r="E820" s="5">
        <f t="shared" si="49"/>
        <v>1374</v>
      </c>
      <c r="F820" s="5">
        <f t="shared" si="50"/>
        <v>1887876</v>
      </c>
      <c r="G820" s="6">
        <f>SQRT(SUM($F$2:F820)/A820)</f>
        <v>1351.0203049802265</v>
      </c>
      <c r="H820" s="5">
        <f t="shared" si="51"/>
        <v>1</v>
      </c>
      <c r="I820" s="5">
        <f t="shared" si="52"/>
        <v>0</v>
      </c>
    </row>
    <row r="821" spans="1:9">
      <c r="A821">
        <v>820</v>
      </c>
      <c r="B821">
        <v>14</v>
      </c>
      <c r="C821">
        <v>9000</v>
      </c>
      <c r="D821">
        <v>7934</v>
      </c>
      <c r="E821" s="5">
        <f t="shared" si="49"/>
        <v>1066</v>
      </c>
      <c r="F821" s="5">
        <f t="shared" si="50"/>
        <v>1136356</v>
      </c>
      <c r="G821" s="6">
        <f>SQRT(SUM($F$2:F821)/A821)</f>
        <v>1350.7093479660703</v>
      </c>
      <c r="H821" s="5">
        <f t="shared" si="51"/>
        <v>1</v>
      </c>
      <c r="I821" s="5">
        <f t="shared" si="52"/>
        <v>0</v>
      </c>
    </row>
    <row r="822" spans="1:9">
      <c r="A822">
        <v>821</v>
      </c>
      <c r="B822">
        <v>14</v>
      </c>
      <c r="C822">
        <v>9000</v>
      </c>
      <c r="D822">
        <v>7778</v>
      </c>
      <c r="E822" s="5">
        <f t="shared" si="49"/>
        <v>1222</v>
      </c>
      <c r="F822" s="5">
        <f t="shared" si="50"/>
        <v>1493284</v>
      </c>
      <c r="G822" s="6">
        <f>SQRT(SUM($F$2:F822)/A822)</f>
        <v>1350.560037668499</v>
      </c>
      <c r="H822" s="5">
        <f t="shared" si="51"/>
        <v>1</v>
      </c>
      <c r="I822" s="5">
        <f t="shared" si="52"/>
        <v>0</v>
      </c>
    </row>
    <row r="823" spans="1:9">
      <c r="A823">
        <v>822</v>
      </c>
      <c r="B823">
        <v>15</v>
      </c>
      <c r="C823">
        <v>9000</v>
      </c>
      <c r="D823">
        <v>7999</v>
      </c>
      <c r="E823" s="5">
        <f t="shared" si="49"/>
        <v>1001</v>
      </c>
      <c r="F823" s="5">
        <f t="shared" si="50"/>
        <v>1002001</v>
      </c>
      <c r="G823" s="6">
        <f>SQRT(SUM($F$2:F823)/A823)</f>
        <v>1350.1897649811503</v>
      </c>
      <c r="H823" s="5">
        <f t="shared" si="51"/>
        <v>1</v>
      </c>
      <c r="I823" s="5">
        <f t="shared" si="52"/>
        <v>0</v>
      </c>
    </row>
    <row r="824" spans="1:9">
      <c r="A824">
        <v>823</v>
      </c>
      <c r="B824">
        <v>15</v>
      </c>
      <c r="C824">
        <v>9000</v>
      </c>
      <c r="D824">
        <v>8684</v>
      </c>
      <c r="E824" s="5">
        <f t="shared" si="49"/>
        <v>316</v>
      </c>
      <c r="F824" s="5">
        <f t="shared" si="50"/>
        <v>99856</v>
      </c>
      <c r="G824" s="6">
        <f>SQRT(SUM($F$2:F824)/A824)</f>
        <v>1349.4141881853104</v>
      </c>
      <c r="H824" s="5">
        <f t="shared" si="51"/>
        <v>1</v>
      </c>
      <c r="I824" s="5">
        <f t="shared" si="52"/>
        <v>1</v>
      </c>
    </row>
    <row r="825" spans="1:9">
      <c r="A825">
        <v>824</v>
      </c>
      <c r="B825">
        <v>14</v>
      </c>
      <c r="C825">
        <v>9000</v>
      </c>
      <c r="D825">
        <v>8809</v>
      </c>
      <c r="E825" s="5">
        <f t="shared" si="49"/>
        <v>191</v>
      </c>
      <c r="F825" s="5">
        <f t="shared" si="50"/>
        <v>36481</v>
      </c>
      <c r="G825" s="6">
        <f>SQRT(SUM($F$2:F825)/A825)</f>
        <v>1348.6115347281966</v>
      </c>
      <c r="H825" s="5">
        <f t="shared" si="51"/>
        <v>1</v>
      </c>
      <c r="I825" s="5">
        <f t="shared" si="52"/>
        <v>1</v>
      </c>
    </row>
    <row r="826" spans="1:9">
      <c r="A826">
        <v>825</v>
      </c>
      <c r="B826">
        <v>14</v>
      </c>
      <c r="C826">
        <v>9000</v>
      </c>
      <c r="D826">
        <v>8786</v>
      </c>
      <c r="E826" s="5">
        <f t="shared" si="49"/>
        <v>214</v>
      </c>
      <c r="F826" s="5">
        <f t="shared" si="50"/>
        <v>45796</v>
      </c>
      <c r="G826" s="6">
        <f>SQRT(SUM($F$2:F826)/A826)</f>
        <v>1347.8145394405244</v>
      </c>
      <c r="H826" s="5">
        <f t="shared" si="51"/>
        <v>1</v>
      </c>
      <c r="I826" s="5">
        <f t="shared" si="52"/>
        <v>1</v>
      </c>
    </row>
    <row r="827" spans="1:9">
      <c r="A827">
        <v>826</v>
      </c>
      <c r="B827">
        <v>14</v>
      </c>
      <c r="C827">
        <v>9000</v>
      </c>
      <c r="D827">
        <v>7367</v>
      </c>
      <c r="E827" s="5">
        <f t="shared" si="49"/>
        <v>1633</v>
      </c>
      <c r="F827" s="5">
        <f t="shared" si="50"/>
        <v>2666689</v>
      </c>
      <c r="G827" s="6">
        <f>SQRT(SUM($F$2:F827)/A827)</f>
        <v>1348.1962732789661</v>
      </c>
      <c r="H827" s="5">
        <f t="shared" si="51"/>
        <v>1</v>
      </c>
      <c r="I827" s="5">
        <f t="shared" si="52"/>
        <v>0</v>
      </c>
    </row>
    <row r="828" spans="1:9">
      <c r="A828">
        <v>827</v>
      </c>
      <c r="B828">
        <v>16</v>
      </c>
      <c r="C828">
        <v>9000</v>
      </c>
      <c r="D828">
        <v>8300</v>
      </c>
      <c r="E828" s="5">
        <f t="shared" si="49"/>
        <v>700</v>
      </c>
      <c r="F828" s="5">
        <f t="shared" si="50"/>
        <v>490000</v>
      </c>
      <c r="G828" s="6">
        <f>SQRT(SUM($F$2:F828)/A828)</f>
        <v>1347.6007682965389</v>
      </c>
      <c r="H828" s="5">
        <f t="shared" si="51"/>
        <v>1</v>
      </c>
      <c r="I828" s="5">
        <f t="shared" si="52"/>
        <v>1</v>
      </c>
    </row>
    <row r="829" spans="1:9">
      <c r="A829">
        <v>828</v>
      </c>
      <c r="B829">
        <v>15</v>
      </c>
      <c r="C829">
        <v>9000</v>
      </c>
      <c r="D829">
        <v>8945</v>
      </c>
      <c r="E829" s="5">
        <f t="shared" si="49"/>
        <v>55</v>
      </c>
      <c r="F829" s="5">
        <f t="shared" si="50"/>
        <v>3025</v>
      </c>
      <c r="G829" s="6">
        <f>SQRT(SUM($F$2:F829)/A829)</f>
        <v>1346.7881101970406</v>
      </c>
      <c r="H829" s="5">
        <f t="shared" si="51"/>
        <v>1</v>
      </c>
      <c r="I829" s="5">
        <f t="shared" si="52"/>
        <v>1</v>
      </c>
    </row>
    <row r="830" spans="1:9">
      <c r="A830">
        <v>829</v>
      </c>
      <c r="B830">
        <v>15</v>
      </c>
      <c r="C830">
        <v>9000</v>
      </c>
      <c r="D830">
        <v>9159</v>
      </c>
      <c r="E830" s="5">
        <f t="shared" si="49"/>
        <v>159</v>
      </c>
      <c r="F830" s="5">
        <f t="shared" si="50"/>
        <v>25281</v>
      </c>
      <c r="G830" s="6">
        <f>SQRT(SUM($F$2:F830)/A830)</f>
        <v>1345.986896732697</v>
      </c>
      <c r="H830" s="5">
        <f t="shared" si="51"/>
        <v>1</v>
      </c>
      <c r="I830" s="5">
        <f t="shared" si="52"/>
        <v>1</v>
      </c>
    </row>
    <row r="831" spans="1:9">
      <c r="A831">
        <v>830</v>
      </c>
      <c r="B831">
        <v>14</v>
      </c>
      <c r="C831">
        <v>9000</v>
      </c>
      <c r="D831">
        <v>7849</v>
      </c>
      <c r="E831" s="5">
        <f t="shared" si="49"/>
        <v>1151</v>
      </c>
      <c r="F831" s="5">
        <f t="shared" si="50"/>
        <v>1324801</v>
      </c>
      <c r="G831" s="6">
        <f>SQRT(SUM($F$2:F831)/A831)</f>
        <v>1345.7689712935075</v>
      </c>
      <c r="H831" s="5">
        <f t="shared" si="51"/>
        <v>1</v>
      </c>
      <c r="I831" s="5">
        <f t="shared" si="52"/>
        <v>0</v>
      </c>
    </row>
    <row r="832" spans="1:9">
      <c r="A832">
        <v>831</v>
      </c>
      <c r="B832">
        <v>16</v>
      </c>
      <c r="C832">
        <v>9000</v>
      </c>
      <c r="D832">
        <v>9194</v>
      </c>
      <c r="E832" s="5">
        <f t="shared" si="49"/>
        <v>194</v>
      </c>
      <c r="F832" s="5">
        <f t="shared" si="50"/>
        <v>37636</v>
      </c>
      <c r="G832" s="6">
        <f>SQRT(SUM($F$2:F832)/A832)</f>
        <v>1344.9758357668106</v>
      </c>
      <c r="H832" s="5">
        <f t="shared" si="51"/>
        <v>1</v>
      </c>
      <c r="I832" s="5">
        <f t="shared" si="52"/>
        <v>1</v>
      </c>
    </row>
    <row r="833" spans="1:9">
      <c r="A833">
        <v>832</v>
      </c>
      <c r="B833">
        <v>15</v>
      </c>
      <c r="C833">
        <v>9000</v>
      </c>
      <c r="D833">
        <v>8844</v>
      </c>
      <c r="E833" s="5">
        <f t="shared" si="49"/>
        <v>156</v>
      </c>
      <c r="F833" s="5">
        <f t="shared" si="50"/>
        <v>24336</v>
      </c>
      <c r="G833" s="6">
        <f>SQRT(SUM($F$2:F833)/A833)</f>
        <v>1344.1781942989726</v>
      </c>
      <c r="H833" s="5">
        <f t="shared" si="51"/>
        <v>1</v>
      </c>
      <c r="I833" s="5">
        <f t="shared" si="52"/>
        <v>1</v>
      </c>
    </row>
    <row r="834" spans="1:9">
      <c r="A834">
        <v>833</v>
      </c>
      <c r="B834">
        <v>15</v>
      </c>
      <c r="C834">
        <v>9000</v>
      </c>
      <c r="D834">
        <v>8916</v>
      </c>
      <c r="E834" s="5">
        <f t="shared" si="49"/>
        <v>84</v>
      </c>
      <c r="F834" s="5">
        <f t="shared" si="50"/>
        <v>7056</v>
      </c>
      <c r="G834" s="6">
        <f>SQRT(SUM($F$2:F834)/A834)</f>
        <v>1343.374275091343</v>
      </c>
      <c r="H834" s="5">
        <f t="shared" si="51"/>
        <v>1</v>
      </c>
      <c r="I834" s="5">
        <f t="shared" si="52"/>
        <v>1</v>
      </c>
    </row>
    <row r="835" spans="1:9">
      <c r="A835">
        <v>834</v>
      </c>
      <c r="B835">
        <v>15</v>
      </c>
      <c r="C835">
        <v>9000</v>
      </c>
      <c r="D835">
        <v>7652</v>
      </c>
      <c r="E835" s="5">
        <f t="shared" ref="E835:E898" si="53">ABS(C835-D835)</f>
        <v>1348</v>
      </c>
      <c r="F835" s="5">
        <f t="shared" ref="F835:F898" si="54">POWER(E835,2)</f>
        <v>1817104</v>
      </c>
      <c r="G835" s="6">
        <f>SQRT(SUM($F$2:F835)/A835)</f>
        <v>1343.3798310617876</v>
      </c>
      <c r="H835" s="5">
        <f t="shared" ref="H835:H898" si="55">IF(ABS(E835)/C835&gt;0.2,0,1)</f>
        <v>1</v>
      </c>
      <c r="I835" s="5">
        <f t="shared" ref="I835:I898" si="56">IF(ABS(E835)/C835&gt;0.1,0,1)</f>
        <v>0</v>
      </c>
    </row>
    <row r="836" spans="1:9">
      <c r="A836">
        <v>835</v>
      </c>
      <c r="B836">
        <v>16</v>
      </c>
      <c r="C836">
        <v>9000</v>
      </c>
      <c r="D836">
        <v>9269</v>
      </c>
      <c r="E836" s="5">
        <f t="shared" si="53"/>
        <v>269</v>
      </c>
      <c r="F836" s="5">
        <f t="shared" si="54"/>
        <v>72361</v>
      </c>
      <c r="G836" s="6">
        <f>SQRT(SUM($F$2:F836)/A836)</f>
        <v>1342.6074443785119</v>
      </c>
      <c r="H836" s="5">
        <f t="shared" si="55"/>
        <v>1</v>
      </c>
      <c r="I836" s="5">
        <f t="shared" si="56"/>
        <v>1</v>
      </c>
    </row>
    <row r="837" spans="1:9">
      <c r="A837">
        <v>836</v>
      </c>
      <c r="B837">
        <v>15</v>
      </c>
      <c r="C837">
        <v>9000</v>
      </c>
      <c r="D837">
        <v>8492</v>
      </c>
      <c r="E837" s="5">
        <f t="shared" si="53"/>
        <v>508</v>
      </c>
      <c r="F837" s="5">
        <f t="shared" si="54"/>
        <v>258064</v>
      </c>
      <c r="G837" s="6">
        <f>SQRT(SUM($F$2:F837)/A837)</f>
        <v>1341.9192318766368</v>
      </c>
      <c r="H837" s="5">
        <f t="shared" si="55"/>
        <v>1</v>
      </c>
      <c r="I837" s="5">
        <f t="shared" si="56"/>
        <v>1</v>
      </c>
    </row>
    <row r="838" spans="1:9">
      <c r="A838">
        <v>837</v>
      </c>
      <c r="B838">
        <v>16</v>
      </c>
      <c r="C838">
        <v>9000</v>
      </c>
      <c r="D838">
        <v>8928</v>
      </c>
      <c r="E838" s="5">
        <f t="shared" si="53"/>
        <v>72</v>
      </c>
      <c r="F838" s="5">
        <f t="shared" si="54"/>
        <v>5184</v>
      </c>
      <c r="G838" s="6">
        <f>SQRT(SUM($F$2:F838)/A838)</f>
        <v>1341.1196770059594</v>
      </c>
      <c r="H838" s="5">
        <f t="shared" si="55"/>
        <v>1</v>
      </c>
      <c r="I838" s="5">
        <f t="shared" si="56"/>
        <v>1</v>
      </c>
    </row>
    <row r="839" spans="1:9">
      <c r="A839">
        <v>838</v>
      </c>
      <c r="B839">
        <v>15</v>
      </c>
      <c r="C839">
        <v>9000</v>
      </c>
      <c r="D839">
        <v>9010</v>
      </c>
      <c r="E839" s="5">
        <f t="shared" si="53"/>
        <v>10</v>
      </c>
      <c r="F839" s="5">
        <f t="shared" si="54"/>
        <v>100</v>
      </c>
      <c r="G839" s="6">
        <f>SQRT(SUM($F$2:F839)/A839)</f>
        <v>1340.3192919211237</v>
      </c>
      <c r="H839" s="5">
        <f t="shared" si="55"/>
        <v>1</v>
      </c>
      <c r="I839" s="5">
        <f t="shared" si="56"/>
        <v>1</v>
      </c>
    </row>
    <row r="840" spans="1:9">
      <c r="A840">
        <v>839</v>
      </c>
      <c r="B840">
        <v>15</v>
      </c>
      <c r="C840">
        <v>9000</v>
      </c>
      <c r="D840">
        <v>7830</v>
      </c>
      <c r="E840" s="5">
        <f t="shared" si="53"/>
        <v>1170</v>
      </c>
      <c r="F840" s="5">
        <f t="shared" si="54"/>
        <v>1368900</v>
      </c>
      <c r="G840" s="6">
        <f>SQRT(SUM($F$2:F840)/A840)</f>
        <v>1340.1291738568223</v>
      </c>
      <c r="H840" s="5">
        <f t="shared" si="55"/>
        <v>1</v>
      </c>
      <c r="I840" s="5">
        <f t="shared" si="56"/>
        <v>0</v>
      </c>
    </row>
    <row r="841" spans="1:9">
      <c r="A841">
        <v>840</v>
      </c>
      <c r="B841">
        <v>17</v>
      </c>
      <c r="C841">
        <v>9000</v>
      </c>
      <c r="D841">
        <v>9090</v>
      </c>
      <c r="E841" s="5">
        <f t="shared" si="53"/>
        <v>90</v>
      </c>
      <c r="F841" s="5">
        <f t="shared" si="54"/>
        <v>8100</v>
      </c>
      <c r="G841" s="6">
        <f>SQRT(SUM($F$2:F841)/A841)</f>
        <v>1339.3348402418696</v>
      </c>
      <c r="H841" s="5">
        <f t="shared" si="55"/>
        <v>1</v>
      </c>
      <c r="I841" s="5">
        <f t="shared" si="56"/>
        <v>1</v>
      </c>
    </row>
    <row r="842" spans="1:9">
      <c r="A842">
        <v>841</v>
      </c>
      <c r="B842">
        <v>15</v>
      </c>
      <c r="C842">
        <v>9000</v>
      </c>
      <c r="D842">
        <v>7658</v>
      </c>
      <c r="E842" s="5">
        <f t="shared" si="53"/>
        <v>1342</v>
      </c>
      <c r="F842" s="5">
        <f t="shared" si="54"/>
        <v>1800964</v>
      </c>
      <c r="G842" s="6">
        <f>SQRT(SUM($F$2:F842)/A842)</f>
        <v>1339.3380124277398</v>
      </c>
      <c r="H842" s="5">
        <f t="shared" si="55"/>
        <v>1</v>
      </c>
      <c r="I842" s="5">
        <f t="shared" si="56"/>
        <v>0</v>
      </c>
    </row>
    <row r="843" spans="1:9">
      <c r="A843">
        <v>842</v>
      </c>
      <c r="B843">
        <v>17</v>
      </c>
      <c r="C843">
        <v>9000</v>
      </c>
      <c r="D843">
        <v>9682</v>
      </c>
      <c r="E843" s="5">
        <f t="shared" si="53"/>
        <v>682</v>
      </c>
      <c r="F843" s="5">
        <f t="shared" si="54"/>
        <v>465124</v>
      </c>
      <c r="G843" s="6">
        <f>SQRT(SUM($F$2:F843)/A843)</f>
        <v>1338.7487741488451</v>
      </c>
      <c r="H843" s="5">
        <f t="shared" si="55"/>
        <v>1</v>
      </c>
      <c r="I843" s="5">
        <f t="shared" si="56"/>
        <v>1</v>
      </c>
    </row>
    <row r="844" spans="1:9">
      <c r="A844">
        <v>843</v>
      </c>
      <c r="B844">
        <v>15</v>
      </c>
      <c r="C844">
        <v>9000</v>
      </c>
      <c r="D844">
        <v>8302</v>
      </c>
      <c r="E844" s="5">
        <f t="shared" si="53"/>
        <v>698</v>
      </c>
      <c r="F844" s="5">
        <f t="shared" si="54"/>
        <v>487204</v>
      </c>
      <c r="G844" s="6">
        <f>SQRT(SUM($F$2:F844)/A844)</f>
        <v>1338.170461881961</v>
      </c>
      <c r="H844" s="5">
        <f t="shared" si="55"/>
        <v>1</v>
      </c>
      <c r="I844" s="5">
        <f t="shared" si="56"/>
        <v>1</v>
      </c>
    </row>
    <row r="845" spans="1:9">
      <c r="A845">
        <v>844</v>
      </c>
      <c r="B845">
        <v>16</v>
      </c>
      <c r="C845">
        <v>9000</v>
      </c>
      <c r="D845">
        <v>8955</v>
      </c>
      <c r="E845" s="5">
        <f t="shared" si="53"/>
        <v>45</v>
      </c>
      <c r="F845" s="5">
        <f t="shared" si="54"/>
        <v>2025</v>
      </c>
      <c r="G845" s="6">
        <f>SQRT(SUM($F$2:F845)/A845)</f>
        <v>1337.378368921364</v>
      </c>
      <c r="H845" s="5">
        <f t="shared" si="55"/>
        <v>1</v>
      </c>
      <c r="I845" s="5">
        <f t="shared" si="56"/>
        <v>1</v>
      </c>
    </row>
    <row r="846" spans="1:9">
      <c r="A846">
        <v>845</v>
      </c>
      <c r="B846">
        <v>16</v>
      </c>
      <c r="C846">
        <v>9000</v>
      </c>
      <c r="D846">
        <v>9072</v>
      </c>
      <c r="E846" s="5">
        <f t="shared" si="53"/>
        <v>72</v>
      </c>
      <c r="F846" s="5">
        <f t="shared" si="54"/>
        <v>5184</v>
      </c>
      <c r="G846" s="6">
        <f>SQRT(SUM($F$2:F846)/A846)</f>
        <v>1336.589081498523</v>
      </c>
      <c r="H846" s="5">
        <f t="shared" si="55"/>
        <v>1</v>
      </c>
      <c r="I846" s="5">
        <f t="shared" si="56"/>
        <v>1</v>
      </c>
    </row>
    <row r="847" spans="1:9">
      <c r="A847">
        <v>846</v>
      </c>
      <c r="B847">
        <v>16</v>
      </c>
      <c r="C847">
        <v>9000</v>
      </c>
      <c r="D847">
        <v>9430</v>
      </c>
      <c r="E847" s="5">
        <f t="shared" si="53"/>
        <v>430</v>
      </c>
      <c r="F847" s="5">
        <f t="shared" si="54"/>
        <v>184900</v>
      </c>
      <c r="G847" s="6">
        <f>SQRT(SUM($F$2:F847)/A847)</f>
        <v>1335.8807070967753</v>
      </c>
      <c r="H847" s="5">
        <f t="shared" si="55"/>
        <v>1</v>
      </c>
      <c r="I847" s="5">
        <f t="shared" si="56"/>
        <v>1</v>
      </c>
    </row>
    <row r="848" spans="1:9">
      <c r="A848">
        <v>847</v>
      </c>
      <c r="B848">
        <v>15</v>
      </c>
      <c r="C848">
        <v>9000</v>
      </c>
      <c r="D848">
        <v>8516</v>
      </c>
      <c r="E848" s="5">
        <f t="shared" si="53"/>
        <v>484</v>
      </c>
      <c r="F848" s="5">
        <f t="shared" si="54"/>
        <v>234256</v>
      </c>
      <c r="G848" s="6">
        <f>SQRT(SUM($F$2:F848)/A848)</f>
        <v>1335.1954523978488</v>
      </c>
      <c r="H848" s="5">
        <f t="shared" si="55"/>
        <v>1</v>
      </c>
      <c r="I848" s="5">
        <f t="shared" si="56"/>
        <v>1</v>
      </c>
    </row>
    <row r="849" spans="1:9">
      <c r="A849">
        <v>848</v>
      </c>
      <c r="B849">
        <v>16</v>
      </c>
      <c r="C849">
        <v>9000</v>
      </c>
      <c r="D849">
        <v>8664</v>
      </c>
      <c r="E849" s="5">
        <f t="shared" si="53"/>
        <v>336</v>
      </c>
      <c r="F849" s="5">
        <f t="shared" si="54"/>
        <v>112896</v>
      </c>
      <c r="G849" s="6">
        <f>SQRT(SUM($F$2:F849)/A849)</f>
        <v>1334.4578420884343</v>
      </c>
      <c r="H849" s="5">
        <f t="shared" si="55"/>
        <v>1</v>
      </c>
      <c r="I849" s="5">
        <f t="shared" si="56"/>
        <v>1</v>
      </c>
    </row>
    <row r="850" spans="1:9">
      <c r="A850">
        <v>849</v>
      </c>
      <c r="B850">
        <v>16</v>
      </c>
      <c r="C850">
        <v>9000</v>
      </c>
      <c r="D850">
        <v>8702</v>
      </c>
      <c r="E850" s="5">
        <f t="shared" si="53"/>
        <v>298</v>
      </c>
      <c r="F850" s="5">
        <f t="shared" si="54"/>
        <v>88804</v>
      </c>
      <c r="G850" s="6">
        <f>SQRT(SUM($F$2:F850)/A850)</f>
        <v>1333.7109245967406</v>
      </c>
      <c r="H850" s="5">
        <f t="shared" si="55"/>
        <v>1</v>
      </c>
      <c r="I850" s="5">
        <f t="shared" si="56"/>
        <v>1</v>
      </c>
    </row>
    <row r="851" spans="1:9">
      <c r="A851">
        <v>850</v>
      </c>
      <c r="B851">
        <v>16</v>
      </c>
      <c r="C851">
        <v>9000</v>
      </c>
      <c r="D851">
        <v>8944</v>
      </c>
      <c r="E851" s="5">
        <f t="shared" si="53"/>
        <v>56</v>
      </c>
      <c r="F851" s="5">
        <f t="shared" si="54"/>
        <v>3136</v>
      </c>
      <c r="G851" s="6">
        <f>SQRT(SUM($F$2:F851)/A851)</f>
        <v>1332.9275418284019</v>
      </c>
      <c r="H851" s="5">
        <f t="shared" si="55"/>
        <v>1</v>
      </c>
      <c r="I851" s="5">
        <f t="shared" si="56"/>
        <v>1</v>
      </c>
    </row>
    <row r="852" spans="1:9">
      <c r="A852">
        <v>851</v>
      </c>
      <c r="B852">
        <v>16</v>
      </c>
      <c r="C852">
        <v>9000</v>
      </c>
      <c r="D852">
        <v>8987</v>
      </c>
      <c r="E852" s="5">
        <f t="shared" si="53"/>
        <v>13</v>
      </c>
      <c r="F852" s="5">
        <f t="shared" si="54"/>
        <v>169</v>
      </c>
      <c r="G852" s="6">
        <f>SQRT(SUM($F$2:F852)/A852)</f>
        <v>1332.1442324948198</v>
      </c>
      <c r="H852" s="5">
        <f t="shared" si="55"/>
        <v>1</v>
      </c>
      <c r="I852" s="5">
        <f t="shared" si="56"/>
        <v>1</v>
      </c>
    </row>
    <row r="853" spans="1:9">
      <c r="A853">
        <v>852</v>
      </c>
      <c r="B853">
        <v>16</v>
      </c>
      <c r="C853">
        <v>9000</v>
      </c>
      <c r="D853">
        <v>8678</v>
      </c>
      <c r="E853" s="5">
        <f t="shared" si="53"/>
        <v>322</v>
      </c>
      <c r="F853" s="5">
        <f t="shared" si="54"/>
        <v>103684</v>
      </c>
      <c r="G853" s="6">
        <f>SQRT(SUM($F$2:F853)/A853)</f>
        <v>1331.407930524972</v>
      </c>
      <c r="H853" s="5">
        <f t="shared" si="55"/>
        <v>1</v>
      </c>
      <c r="I853" s="5">
        <f t="shared" si="56"/>
        <v>1</v>
      </c>
    </row>
    <row r="854" spans="1:9">
      <c r="A854">
        <v>853</v>
      </c>
      <c r="B854">
        <v>16</v>
      </c>
      <c r="C854">
        <v>9000</v>
      </c>
      <c r="D854">
        <v>8700</v>
      </c>
      <c r="E854" s="5">
        <f t="shared" si="53"/>
        <v>300</v>
      </c>
      <c r="F854" s="5">
        <f t="shared" si="54"/>
        <v>90000</v>
      </c>
      <c r="G854" s="6">
        <f>SQRT(SUM($F$2:F854)/A854)</f>
        <v>1330.6669210832522</v>
      </c>
      <c r="H854" s="5">
        <f t="shared" si="55"/>
        <v>1</v>
      </c>
      <c r="I854" s="5">
        <f t="shared" si="56"/>
        <v>1</v>
      </c>
    </row>
    <row r="855" spans="1:9">
      <c r="A855">
        <v>854</v>
      </c>
      <c r="B855">
        <v>16</v>
      </c>
      <c r="C855">
        <v>9000</v>
      </c>
      <c r="D855">
        <v>8636</v>
      </c>
      <c r="E855" s="5">
        <f t="shared" si="53"/>
        <v>364</v>
      </c>
      <c r="F855" s="5">
        <f t="shared" si="54"/>
        <v>132496</v>
      </c>
      <c r="G855" s="6">
        <f>SQRT(SUM($F$2:F855)/A855)</f>
        <v>1329.9459436814543</v>
      </c>
      <c r="H855" s="5">
        <f t="shared" si="55"/>
        <v>1</v>
      </c>
      <c r="I855" s="5">
        <f t="shared" si="56"/>
        <v>1</v>
      </c>
    </row>
    <row r="856" spans="1:9">
      <c r="A856">
        <v>855</v>
      </c>
      <c r="B856">
        <v>16</v>
      </c>
      <c r="C856">
        <v>9000</v>
      </c>
      <c r="D856">
        <v>9444</v>
      </c>
      <c r="E856" s="5">
        <f t="shared" si="53"/>
        <v>444</v>
      </c>
      <c r="F856" s="5">
        <f t="shared" si="54"/>
        <v>197136</v>
      </c>
      <c r="G856" s="6">
        <f>SQRT(SUM($F$2:F856)/A856)</f>
        <v>1329.2547012588345</v>
      </c>
      <c r="H856" s="5">
        <f t="shared" si="55"/>
        <v>1</v>
      </c>
      <c r="I856" s="5">
        <f t="shared" si="56"/>
        <v>1</v>
      </c>
    </row>
    <row r="857" spans="1:9">
      <c r="A857">
        <v>856</v>
      </c>
      <c r="B857">
        <v>16</v>
      </c>
      <c r="C857">
        <v>9000</v>
      </c>
      <c r="D857">
        <v>9291</v>
      </c>
      <c r="E857" s="5">
        <f t="shared" si="53"/>
        <v>291</v>
      </c>
      <c r="F857" s="5">
        <f t="shared" si="54"/>
        <v>84681</v>
      </c>
      <c r="G857" s="6">
        <f>SQRT(SUM($F$2:F857)/A857)</f>
        <v>1328.5152730049724</v>
      </c>
      <c r="H857" s="5">
        <f t="shared" si="55"/>
        <v>1</v>
      </c>
      <c r="I857" s="5">
        <f t="shared" si="56"/>
        <v>1</v>
      </c>
    </row>
    <row r="858" spans="1:9">
      <c r="A858">
        <v>857</v>
      </c>
      <c r="B858">
        <v>16</v>
      </c>
      <c r="C858">
        <v>9000</v>
      </c>
      <c r="D858">
        <v>8520</v>
      </c>
      <c r="E858" s="5">
        <f t="shared" si="53"/>
        <v>480</v>
      </c>
      <c r="F858" s="5">
        <f t="shared" si="54"/>
        <v>230400</v>
      </c>
      <c r="G858" s="6">
        <f>SQRT(SUM($F$2:F858)/A858)</f>
        <v>1327.8411879952948</v>
      </c>
      <c r="H858" s="5">
        <f t="shared" si="55"/>
        <v>1</v>
      </c>
      <c r="I858" s="5">
        <f t="shared" si="56"/>
        <v>1</v>
      </c>
    </row>
    <row r="859" spans="1:9">
      <c r="A859">
        <v>858</v>
      </c>
      <c r="B859">
        <v>17</v>
      </c>
      <c r="C859">
        <v>9000</v>
      </c>
      <c r="D859">
        <v>9277</v>
      </c>
      <c r="E859" s="5">
        <f t="shared" si="53"/>
        <v>277</v>
      </c>
      <c r="F859" s="5">
        <f t="shared" si="54"/>
        <v>76729</v>
      </c>
      <c r="G859" s="6">
        <f>SQRT(SUM($F$2:F859)/A859)</f>
        <v>1327.1008554939149</v>
      </c>
      <c r="H859" s="5">
        <f t="shared" si="55"/>
        <v>1</v>
      </c>
      <c r="I859" s="5">
        <f t="shared" si="56"/>
        <v>1</v>
      </c>
    </row>
    <row r="860" spans="1:9">
      <c r="A860">
        <v>859</v>
      </c>
      <c r="B860">
        <v>16</v>
      </c>
      <c r="C860">
        <v>9000</v>
      </c>
      <c r="D860">
        <v>8375</v>
      </c>
      <c r="E860" s="5">
        <f t="shared" si="53"/>
        <v>625</v>
      </c>
      <c r="F860" s="5">
        <f t="shared" si="54"/>
        <v>390625</v>
      </c>
      <c r="G860" s="6">
        <f>SQRT(SUM($F$2:F860)/A860)</f>
        <v>1326.4995806139682</v>
      </c>
      <c r="H860" s="5">
        <f t="shared" si="55"/>
        <v>1</v>
      </c>
      <c r="I860" s="5">
        <f t="shared" si="56"/>
        <v>1</v>
      </c>
    </row>
    <row r="861" spans="1:9">
      <c r="A861">
        <v>860</v>
      </c>
      <c r="B861">
        <v>17</v>
      </c>
      <c r="C861">
        <v>9000</v>
      </c>
      <c r="D861">
        <v>8141</v>
      </c>
      <c r="E861" s="5">
        <f t="shared" si="53"/>
        <v>859</v>
      </c>
      <c r="F861" s="5">
        <f t="shared" si="54"/>
        <v>737881</v>
      </c>
      <c r="G861" s="6">
        <f>SQRT(SUM($F$2:F861)/A861)</f>
        <v>1326.0516923173373</v>
      </c>
      <c r="H861" s="5">
        <f t="shared" si="55"/>
        <v>1</v>
      </c>
      <c r="I861" s="5">
        <f t="shared" si="56"/>
        <v>1</v>
      </c>
    </row>
    <row r="862" spans="1:9">
      <c r="A862">
        <v>861</v>
      </c>
      <c r="B862">
        <v>17</v>
      </c>
      <c r="C862">
        <v>9000</v>
      </c>
      <c r="D862">
        <v>5971</v>
      </c>
      <c r="E862" s="5">
        <f t="shared" si="53"/>
        <v>3029</v>
      </c>
      <c r="F862" s="5">
        <f t="shared" si="54"/>
        <v>9174841</v>
      </c>
      <c r="G862" s="6">
        <f>SQRT(SUM($F$2:F862)/A862)</f>
        <v>1329.2956135137333</v>
      </c>
      <c r="H862" s="5">
        <f t="shared" si="55"/>
        <v>0</v>
      </c>
      <c r="I862" s="5">
        <f t="shared" si="56"/>
        <v>0</v>
      </c>
    </row>
    <row r="863" spans="1:9">
      <c r="A863">
        <v>862</v>
      </c>
      <c r="B863">
        <v>20</v>
      </c>
      <c r="C863">
        <v>9000</v>
      </c>
      <c r="D863">
        <v>6238</v>
      </c>
      <c r="E863" s="5">
        <f t="shared" si="53"/>
        <v>2762</v>
      </c>
      <c r="F863" s="5">
        <f t="shared" si="54"/>
        <v>7628644</v>
      </c>
      <c r="G863" s="6">
        <f>SQRT(SUM($F$2:F863)/A863)</f>
        <v>1331.8509105856565</v>
      </c>
      <c r="H863" s="5">
        <f t="shared" si="55"/>
        <v>0</v>
      </c>
      <c r="I863" s="5">
        <f t="shared" si="56"/>
        <v>0</v>
      </c>
    </row>
    <row r="864" spans="1:9">
      <c r="A864">
        <v>863</v>
      </c>
      <c r="B864">
        <v>20</v>
      </c>
      <c r="C864">
        <v>9000</v>
      </c>
      <c r="D864">
        <v>9810</v>
      </c>
      <c r="E864" s="5">
        <f t="shared" si="53"/>
        <v>810</v>
      </c>
      <c r="F864" s="5">
        <f t="shared" si="54"/>
        <v>656100</v>
      </c>
      <c r="G864" s="6">
        <f>SQRT(SUM($F$2:F864)/A864)</f>
        <v>1331.3645945651572</v>
      </c>
      <c r="H864" s="5">
        <f t="shared" si="55"/>
        <v>1</v>
      </c>
      <c r="I864" s="5">
        <f t="shared" si="56"/>
        <v>1</v>
      </c>
    </row>
    <row r="865" spans="1:9">
      <c r="A865">
        <v>864</v>
      </c>
      <c r="B865">
        <v>17</v>
      </c>
      <c r="C865">
        <v>9000</v>
      </c>
      <c r="D865">
        <v>8392</v>
      </c>
      <c r="E865" s="5">
        <f t="shared" si="53"/>
        <v>608</v>
      </c>
      <c r="F865" s="5">
        <f t="shared" si="54"/>
        <v>369664</v>
      </c>
      <c r="G865" s="6">
        <f>SQRT(SUM($F$2:F865)/A865)</f>
        <v>1330.7546709341143</v>
      </c>
      <c r="H865" s="5">
        <f t="shared" si="55"/>
        <v>1</v>
      </c>
      <c r="I865" s="5">
        <f t="shared" si="56"/>
        <v>1</v>
      </c>
    </row>
    <row r="866" spans="1:9">
      <c r="A866">
        <v>865</v>
      </c>
      <c r="B866">
        <v>18</v>
      </c>
      <c r="C866">
        <v>9000</v>
      </c>
      <c r="D866">
        <v>9616</v>
      </c>
      <c r="E866" s="5">
        <f t="shared" si="53"/>
        <v>616</v>
      </c>
      <c r="F866" s="5">
        <f t="shared" si="54"/>
        <v>379456</v>
      </c>
      <c r="G866" s="6">
        <f>SQRT(SUM($F$2:F866)/A866)</f>
        <v>1330.150134079139</v>
      </c>
      <c r="H866" s="5">
        <f t="shared" si="55"/>
        <v>1</v>
      </c>
      <c r="I866" s="5">
        <f t="shared" si="56"/>
        <v>1</v>
      </c>
    </row>
    <row r="867" spans="1:9">
      <c r="A867">
        <v>866</v>
      </c>
      <c r="B867">
        <v>17</v>
      </c>
      <c r="C867">
        <v>9000</v>
      </c>
      <c r="D867">
        <v>8254</v>
      </c>
      <c r="E867" s="5">
        <f t="shared" si="53"/>
        <v>746</v>
      </c>
      <c r="F867" s="5">
        <f t="shared" si="54"/>
        <v>556516</v>
      </c>
      <c r="G867" s="6">
        <f>SQRT(SUM($F$2:F867)/A867)</f>
        <v>1329.623607074426</v>
      </c>
      <c r="H867" s="5">
        <f t="shared" si="55"/>
        <v>1</v>
      </c>
      <c r="I867" s="5">
        <f t="shared" si="56"/>
        <v>1</v>
      </c>
    </row>
    <row r="868" spans="1:9">
      <c r="A868">
        <v>867</v>
      </c>
      <c r="B868">
        <v>18</v>
      </c>
      <c r="C868">
        <v>9000</v>
      </c>
      <c r="D868">
        <v>9464</v>
      </c>
      <c r="E868" s="5">
        <f t="shared" si="53"/>
        <v>464</v>
      </c>
      <c r="F868" s="5">
        <f t="shared" si="54"/>
        <v>215296</v>
      </c>
      <c r="G868" s="6">
        <f>SQRT(SUM($F$2:F868)/A868)</f>
        <v>1328.9500217551272</v>
      </c>
      <c r="H868" s="5">
        <f t="shared" si="55"/>
        <v>1</v>
      </c>
      <c r="I868" s="5">
        <f t="shared" si="56"/>
        <v>1</v>
      </c>
    </row>
    <row r="869" spans="1:9">
      <c r="A869">
        <v>868</v>
      </c>
      <c r="B869">
        <v>17</v>
      </c>
      <c r="C869">
        <v>9000</v>
      </c>
      <c r="D869">
        <v>9878</v>
      </c>
      <c r="E869" s="5">
        <f t="shared" si="53"/>
        <v>878</v>
      </c>
      <c r="F869" s="5">
        <f t="shared" si="54"/>
        <v>770884</v>
      </c>
      <c r="G869" s="6">
        <f>SQRT(SUM($F$2:F869)/A869)</f>
        <v>1328.5185692001739</v>
      </c>
      <c r="H869" s="5">
        <f t="shared" si="55"/>
        <v>1</v>
      </c>
      <c r="I869" s="5">
        <f t="shared" si="56"/>
        <v>1</v>
      </c>
    </row>
    <row r="870" spans="1:9">
      <c r="A870">
        <v>869</v>
      </c>
      <c r="B870">
        <v>17</v>
      </c>
      <c r="C870">
        <v>9000</v>
      </c>
      <c r="D870">
        <v>9174</v>
      </c>
      <c r="E870" s="5">
        <f t="shared" si="53"/>
        <v>174</v>
      </c>
      <c r="F870" s="5">
        <f t="shared" si="54"/>
        <v>30276</v>
      </c>
      <c r="G870" s="6">
        <f>SQRT(SUM($F$2:F870)/A870)</f>
        <v>1327.7670739861699</v>
      </c>
      <c r="H870" s="5">
        <f t="shared" si="55"/>
        <v>1</v>
      </c>
      <c r="I870" s="5">
        <f t="shared" si="56"/>
        <v>1</v>
      </c>
    </row>
    <row r="871" spans="1:9">
      <c r="A871">
        <v>870</v>
      </c>
      <c r="B871">
        <v>17</v>
      </c>
      <c r="C871">
        <v>9000</v>
      </c>
      <c r="D871">
        <v>9566</v>
      </c>
      <c r="E871" s="5">
        <f t="shared" si="53"/>
        <v>566</v>
      </c>
      <c r="F871" s="5">
        <f t="shared" si="54"/>
        <v>320356</v>
      </c>
      <c r="G871" s="6">
        <f>SQRT(SUM($F$2:F871)/A871)</f>
        <v>1327.1425059256005</v>
      </c>
      <c r="H871" s="5">
        <f t="shared" si="55"/>
        <v>1</v>
      </c>
      <c r="I871" s="5">
        <f t="shared" si="56"/>
        <v>1</v>
      </c>
    </row>
    <row r="872" spans="1:9">
      <c r="A872">
        <v>871</v>
      </c>
      <c r="B872">
        <v>17</v>
      </c>
      <c r="C872">
        <v>9000</v>
      </c>
      <c r="D872">
        <v>9563</v>
      </c>
      <c r="E872" s="5">
        <f t="shared" si="53"/>
        <v>563</v>
      </c>
      <c r="F872" s="5">
        <f t="shared" si="54"/>
        <v>316969</v>
      </c>
      <c r="G872" s="6">
        <f>SQRT(SUM($F$2:F872)/A872)</f>
        <v>1326.5176132211714</v>
      </c>
      <c r="H872" s="5">
        <f t="shared" si="55"/>
        <v>1</v>
      </c>
      <c r="I872" s="5">
        <f t="shared" si="56"/>
        <v>1</v>
      </c>
    </row>
    <row r="873" spans="1:9">
      <c r="A873">
        <v>872</v>
      </c>
      <c r="B873">
        <v>17</v>
      </c>
      <c r="C873">
        <v>9000</v>
      </c>
      <c r="D873">
        <v>10345</v>
      </c>
      <c r="E873" s="5">
        <f t="shared" si="53"/>
        <v>1345</v>
      </c>
      <c r="F873" s="5">
        <f t="shared" si="54"/>
        <v>1809025</v>
      </c>
      <c r="G873" s="6">
        <f>SQRT(SUM($F$2:F873)/A873)</f>
        <v>1326.538956105029</v>
      </c>
      <c r="H873" s="5">
        <f t="shared" si="55"/>
        <v>1</v>
      </c>
      <c r="I873" s="5">
        <f t="shared" si="56"/>
        <v>0</v>
      </c>
    </row>
    <row r="874" spans="1:9">
      <c r="A874">
        <v>873</v>
      </c>
      <c r="B874">
        <v>15</v>
      </c>
      <c r="C874">
        <v>9000</v>
      </c>
      <c r="D874">
        <v>8718</v>
      </c>
      <c r="E874" s="5">
        <f t="shared" si="53"/>
        <v>282</v>
      </c>
      <c r="F874" s="5">
        <f t="shared" si="54"/>
        <v>79524</v>
      </c>
      <c r="G874" s="6">
        <f>SQRT(SUM($F$2:F874)/A874)</f>
        <v>1325.8133335496739</v>
      </c>
      <c r="H874" s="5">
        <f t="shared" si="55"/>
        <v>1</v>
      </c>
      <c r="I874" s="5">
        <f t="shared" si="56"/>
        <v>1</v>
      </c>
    </row>
    <row r="875" spans="1:9">
      <c r="A875">
        <v>874</v>
      </c>
      <c r="B875">
        <v>17</v>
      </c>
      <c r="C875">
        <v>9000</v>
      </c>
      <c r="D875">
        <v>9126</v>
      </c>
      <c r="E875" s="5">
        <f t="shared" si="53"/>
        <v>126</v>
      </c>
      <c r="F875" s="5">
        <f t="shared" si="54"/>
        <v>15876</v>
      </c>
      <c r="G875" s="6">
        <f>SQRT(SUM($F$2:F875)/A875)</f>
        <v>1325.0614963493399</v>
      </c>
      <c r="H875" s="5">
        <f t="shared" si="55"/>
        <v>1</v>
      </c>
      <c r="I875" s="5">
        <f t="shared" si="56"/>
        <v>1</v>
      </c>
    </row>
    <row r="876" spans="1:9">
      <c r="A876">
        <v>875</v>
      </c>
      <c r="B876">
        <v>17</v>
      </c>
      <c r="C876">
        <v>9000</v>
      </c>
      <c r="D876">
        <v>9976</v>
      </c>
      <c r="E876" s="5">
        <f t="shared" si="53"/>
        <v>976</v>
      </c>
      <c r="F876" s="5">
        <f t="shared" si="54"/>
        <v>952576</v>
      </c>
      <c r="G876" s="6">
        <f>SQRT(SUM($F$2:F876)/A876)</f>
        <v>1324.7150684473354</v>
      </c>
      <c r="H876" s="5">
        <f t="shared" si="55"/>
        <v>1</v>
      </c>
      <c r="I876" s="5">
        <f t="shared" si="56"/>
        <v>0</v>
      </c>
    </row>
    <row r="877" spans="1:9">
      <c r="A877">
        <v>876</v>
      </c>
      <c r="B877">
        <v>16</v>
      </c>
      <c r="C877">
        <v>9000</v>
      </c>
      <c r="D877">
        <v>8821</v>
      </c>
      <c r="E877" s="5">
        <f t="shared" si="53"/>
        <v>179</v>
      </c>
      <c r="F877" s="5">
        <f t="shared" si="54"/>
        <v>32041</v>
      </c>
      <c r="G877" s="6">
        <f>SQRT(SUM($F$2:F877)/A877)</f>
        <v>1323.9725498609812</v>
      </c>
      <c r="H877" s="5">
        <f t="shared" si="55"/>
        <v>1</v>
      </c>
      <c r="I877" s="5">
        <f t="shared" si="56"/>
        <v>1</v>
      </c>
    </row>
    <row r="878" spans="1:9">
      <c r="A878">
        <v>877</v>
      </c>
      <c r="B878">
        <v>17</v>
      </c>
      <c r="C878">
        <v>9000</v>
      </c>
      <c r="D878">
        <v>9554</v>
      </c>
      <c r="E878" s="5">
        <f t="shared" si="53"/>
        <v>554</v>
      </c>
      <c r="F878" s="5">
        <f t="shared" si="54"/>
        <v>306916</v>
      </c>
      <c r="G878" s="6">
        <f>SQRT(SUM($F$2:F878)/A878)</f>
        <v>1323.3497362811515</v>
      </c>
      <c r="H878" s="5">
        <f t="shared" si="55"/>
        <v>1</v>
      </c>
      <c r="I878" s="5">
        <f t="shared" si="56"/>
        <v>1</v>
      </c>
    </row>
    <row r="879" spans="1:9">
      <c r="A879">
        <v>878</v>
      </c>
      <c r="B879">
        <v>16</v>
      </c>
      <c r="C879">
        <v>9000</v>
      </c>
      <c r="D879">
        <v>8266</v>
      </c>
      <c r="E879" s="5">
        <f t="shared" si="53"/>
        <v>734</v>
      </c>
      <c r="F879" s="5">
        <f t="shared" si="54"/>
        <v>538756</v>
      </c>
      <c r="G879" s="6">
        <f>SQRT(SUM($F$2:F879)/A879)</f>
        <v>1322.8278598128475</v>
      </c>
      <c r="H879" s="5">
        <f t="shared" si="55"/>
        <v>1</v>
      </c>
      <c r="I879" s="5">
        <f t="shared" si="56"/>
        <v>1</v>
      </c>
    </row>
    <row r="880" spans="1:9">
      <c r="A880">
        <v>879</v>
      </c>
      <c r="B880">
        <v>17</v>
      </c>
      <c r="C880">
        <v>9000</v>
      </c>
      <c r="D880">
        <v>8636</v>
      </c>
      <c r="E880" s="5">
        <f t="shared" si="53"/>
        <v>364</v>
      </c>
      <c r="F880" s="5">
        <f t="shared" si="54"/>
        <v>132496</v>
      </c>
      <c r="G880" s="6">
        <f>SQRT(SUM($F$2:F880)/A880)</f>
        <v>1322.1321895842814</v>
      </c>
      <c r="H880" s="5">
        <f t="shared" si="55"/>
        <v>1</v>
      </c>
      <c r="I880" s="5">
        <f t="shared" si="56"/>
        <v>1</v>
      </c>
    </row>
    <row r="881" spans="1:9">
      <c r="A881">
        <v>880</v>
      </c>
      <c r="B881">
        <v>17</v>
      </c>
      <c r="C881">
        <v>9000</v>
      </c>
      <c r="D881">
        <v>8976</v>
      </c>
      <c r="E881" s="5">
        <f t="shared" si="53"/>
        <v>24</v>
      </c>
      <c r="F881" s="5">
        <f t="shared" si="54"/>
        <v>576</v>
      </c>
      <c r="G881" s="6">
        <f>SQRT(SUM($F$2:F881)/A881)</f>
        <v>1321.3810122540185</v>
      </c>
      <c r="H881" s="5">
        <f t="shared" si="55"/>
        <v>1</v>
      </c>
      <c r="I881" s="5">
        <f t="shared" si="56"/>
        <v>1</v>
      </c>
    </row>
    <row r="882" spans="1:9">
      <c r="A882">
        <v>881</v>
      </c>
      <c r="B882">
        <v>17</v>
      </c>
      <c r="C882">
        <v>9000</v>
      </c>
      <c r="D882">
        <v>9161</v>
      </c>
      <c r="E882" s="5">
        <f t="shared" si="53"/>
        <v>161</v>
      </c>
      <c r="F882" s="5">
        <f t="shared" si="54"/>
        <v>25921</v>
      </c>
      <c r="G882" s="6">
        <f>SQRT(SUM($F$2:F882)/A882)</f>
        <v>1320.6420062757613</v>
      </c>
      <c r="H882" s="5">
        <f t="shared" si="55"/>
        <v>1</v>
      </c>
      <c r="I882" s="5">
        <f t="shared" si="56"/>
        <v>1</v>
      </c>
    </row>
    <row r="883" spans="1:9">
      <c r="A883">
        <v>882</v>
      </c>
      <c r="B883">
        <v>17</v>
      </c>
      <c r="C883">
        <v>9000</v>
      </c>
      <c r="D883">
        <v>9211</v>
      </c>
      <c r="E883" s="5">
        <f t="shared" si="53"/>
        <v>211</v>
      </c>
      <c r="F883" s="5">
        <f t="shared" si="54"/>
        <v>44521</v>
      </c>
      <c r="G883" s="6">
        <f>SQRT(SUM($F$2:F883)/A883)</f>
        <v>1319.9122522885741</v>
      </c>
      <c r="H883" s="5">
        <f t="shared" si="55"/>
        <v>1</v>
      </c>
      <c r="I883" s="5">
        <f t="shared" si="56"/>
        <v>1</v>
      </c>
    </row>
    <row r="884" spans="1:9">
      <c r="A884">
        <v>883</v>
      </c>
      <c r="B884">
        <v>16</v>
      </c>
      <c r="C884">
        <v>9000</v>
      </c>
      <c r="D884">
        <v>8818</v>
      </c>
      <c r="E884" s="5">
        <f t="shared" si="53"/>
        <v>182</v>
      </c>
      <c r="F884" s="5">
        <f t="shared" si="54"/>
        <v>33124</v>
      </c>
      <c r="G884" s="6">
        <f>SQRT(SUM($F$2:F884)/A884)</f>
        <v>1319.1788567787692</v>
      </c>
      <c r="H884" s="5">
        <f t="shared" si="55"/>
        <v>1</v>
      </c>
      <c r="I884" s="5">
        <f t="shared" si="56"/>
        <v>1</v>
      </c>
    </row>
    <row r="885" spans="1:9">
      <c r="A885">
        <v>884</v>
      </c>
      <c r="B885">
        <v>17</v>
      </c>
      <c r="C885">
        <v>9000</v>
      </c>
      <c r="D885">
        <v>8788</v>
      </c>
      <c r="E885" s="5">
        <f t="shared" si="53"/>
        <v>212</v>
      </c>
      <c r="F885" s="5">
        <f t="shared" si="54"/>
        <v>44944</v>
      </c>
      <c r="G885" s="6">
        <f>SQRT(SUM($F$2:F885)/A885)</f>
        <v>1318.4517847070802</v>
      </c>
      <c r="H885" s="5">
        <f t="shared" si="55"/>
        <v>1</v>
      </c>
      <c r="I885" s="5">
        <f t="shared" si="56"/>
        <v>1</v>
      </c>
    </row>
    <row r="886" spans="1:9">
      <c r="A886">
        <v>885</v>
      </c>
      <c r="B886">
        <v>17</v>
      </c>
      <c r="C886">
        <v>9000</v>
      </c>
      <c r="D886">
        <v>9804</v>
      </c>
      <c r="E886" s="5">
        <f t="shared" si="53"/>
        <v>804</v>
      </c>
      <c r="F886" s="5">
        <f t="shared" si="54"/>
        <v>646416</v>
      </c>
      <c r="G886" s="6">
        <f>SQRT(SUM($F$2:F886)/A886)</f>
        <v>1317.9838103306829</v>
      </c>
      <c r="H886" s="5">
        <f t="shared" si="55"/>
        <v>1</v>
      </c>
      <c r="I886" s="5">
        <f t="shared" si="56"/>
        <v>1</v>
      </c>
    </row>
    <row r="887" spans="1:9">
      <c r="A887">
        <v>886</v>
      </c>
      <c r="B887">
        <v>16</v>
      </c>
      <c r="C887">
        <v>9000</v>
      </c>
      <c r="D887">
        <v>8099</v>
      </c>
      <c r="E887" s="5">
        <f t="shared" si="53"/>
        <v>901</v>
      </c>
      <c r="F887" s="5">
        <f t="shared" si="54"/>
        <v>811801</v>
      </c>
      <c r="G887" s="6">
        <f>SQRT(SUM($F$2:F887)/A887)</f>
        <v>1317.5875643925858</v>
      </c>
      <c r="H887" s="5">
        <f t="shared" si="55"/>
        <v>1</v>
      </c>
      <c r="I887" s="5">
        <f t="shared" si="56"/>
        <v>0</v>
      </c>
    </row>
    <row r="888" spans="1:9">
      <c r="A888">
        <v>887</v>
      </c>
      <c r="B888">
        <v>18</v>
      </c>
      <c r="C888">
        <v>9000</v>
      </c>
      <c r="D888">
        <v>9684</v>
      </c>
      <c r="E888" s="5">
        <f t="shared" si="53"/>
        <v>684</v>
      </c>
      <c r="F888" s="5">
        <f t="shared" si="54"/>
        <v>467856</v>
      </c>
      <c r="G888" s="6">
        <f>SQRT(SUM($F$2:F888)/A888)</f>
        <v>1317.0448921836557</v>
      </c>
      <c r="H888" s="5">
        <f t="shared" si="55"/>
        <v>1</v>
      </c>
      <c r="I888" s="5">
        <f t="shared" si="56"/>
        <v>1</v>
      </c>
    </row>
    <row r="889" spans="1:9">
      <c r="A889">
        <v>888</v>
      </c>
      <c r="B889">
        <v>16</v>
      </c>
      <c r="C889">
        <v>9000</v>
      </c>
      <c r="D889">
        <v>9227</v>
      </c>
      <c r="E889" s="5">
        <f t="shared" si="53"/>
        <v>227</v>
      </c>
      <c r="F889" s="5">
        <f t="shared" si="54"/>
        <v>51529</v>
      </c>
      <c r="G889" s="6">
        <f>SQRT(SUM($F$2:F889)/A889)</f>
        <v>1316.3251458661873</v>
      </c>
      <c r="H889" s="5">
        <f t="shared" si="55"/>
        <v>1</v>
      </c>
      <c r="I889" s="5">
        <f t="shared" si="56"/>
        <v>1</v>
      </c>
    </row>
    <row r="890" spans="1:9">
      <c r="A890">
        <v>889</v>
      </c>
      <c r="B890">
        <v>16</v>
      </c>
      <c r="C890">
        <v>9000</v>
      </c>
      <c r="D890">
        <v>8677</v>
      </c>
      <c r="E890" s="5">
        <f t="shared" si="53"/>
        <v>323</v>
      </c>
      <c r="F890" s="5">
        <f t="shared" si="54"/>
        <v>104329</v>
      </c>
      <c r="G890" s="6">
        <f>SQRT(SUM($F$2:F890)/A890)</f>
        <v>1315.6291984641869</v>
      </c>
      <c r="H890" s="5">
        <f t="shared" si="55"/>
        <v>1</v>
      </c>
      <c r="I890" s="5">
        <f t="shared" si="56"/>
        <v>1</v>
      </c>
    </row>
    <row r="891" spans="1:9">
      <c r="A891">
        <v>890</v>
      </c>
      <c r="B891">
        <v>17</v>
      </c>
      <c r="C891">
        <v>9000</v>
      </c>
      <c r="D891">
        <v>8850</v>
      </c>
      <c r="E891" s="5">
        <f t="shared" si="53"/>
        <v>150</v>
      </c>
      <c r="F891" s="5">
        <f t="shared" si="54"/>
        <v>22500</v>
      </c>
      <c r="G891" s="6">
        <f>SQRT(SUM($F$2:F891)/A891)</f>
        <v>1314.8994864819751</v>
      </c>
      <c r="H891" s="5">
        <f t="shared" si="55"/>
        <v>1</v>
      </c>
      <c r="I891" s="5">
        <f t="shared" si="56"/>
        <v>1</v>
      </c>
    </row>
    <row r="892" spans="1:9">
      <c r="A892">
        <v>891</v>
      </c>
      <c r="B892">
        <v>17</v>
      </c>
      <c r="C892">
        <v>9000</v>
      </c>
      <c r="D892">
        <v>9169</v>
      </c>
      <c r="E892" s="5">
        <f t="shared" si="53"/>
        <v>169</v>
      </c>
      <c r="F892" s="5">
        <f t="shared" si="54"/>
        <v>28561</v>
      </c>
      <c r="G892" s="6">
        <f>SQRT(SUM($F$2:F892)/A892)</f>
        <v>1314.1735967611899</v>
      </c>
      <c r="H892" s="5">
        <f t="shared" si="55"/>
        <v>1</v>
      </c>
      <c r="I892" s="5">
        <f t="shared" si="56"/>
        <v>1</v>
      </c>
    </row>
    <row r="893" spans="1:9">
      <c r="A893">
        <v>892</v>
      </c>
      <c r="B893">
        <v>16</v>
      </c>
      <c r="C893">
        <v>9000</v>
      </c>
      <c r="D893">
        <v>8746</v>
      </c>
      <c r="E893" s="5">
        <f t="shared" si="53"/>
        <v>254</v>
      </c>
      <c r="F893" s="5">
        <f t="shared" si="54"/>
        <v>64516</v>
      </c>
      <c r="G893" s="6">
        <f>SQRT(SUM($F$2:F893)/A893)</f>
        <v>1313.4642791321178</v>
      </c>
      <c r="H893" s="5">
        <f t="shared" si="55"/>
        <v>1</v>
      </c>
      <c r="I893" s="5">
        <f t="shared" si="56"/>
        <v>1</v>
      </c>
    </row>
    <row r="894" spans="1:9">
      <c r="A894">
        <v>893</v>
      </c>
      <c r="B894">
        <v>17</v>
      </c>
      <c r="C894">
        <v>9000</v>
      </c>
      <c r="D894">
        <v>9775</v>
      </c>
      <c r="E894" s="5">
        <f t="shared" si="53"/>
        <v>775</v>
      </c>
      <c r="F894" s="5">
        <f t="shared" si="54"/>
        <v>600625</v>
      </c>
      <c r="G894" s="6">
        <f>SQRT(SUM($F$2:F894)/A894)</f>
        <v>1312.9848068517458</v>
      </c>
      <c r="H894" s="5">
        <f t="shared" si="55"/>
        <v>1</v>
      </c>
      <c r="I894" s="5">
        <f t="shared" si="56"/>
        <v>1</v>
      </c>
    </row>
    <row r="895" spans="1:9">
      <c r="A895">
        <v>894</v>
      </c>
      <c r="B895">
        <v>16</v>
      </c>
      <c r="C895">
        <v>9000</v>
      </c>
      <c r="D895">
        <v>8821</v>
      </c>
      <c r="E895" s="5">
        <f t="shared" si="53"/>
        <v>179</v>
      </c>
      <c r="F895" s="5">
        <f t="shared" si="54"/>
        <v>32041</v>
      </c>
      <c r="G895" s="6">
        <f>SQRT(SUM($F$2:F895)/A895)</f>
        <v>1312.263925717024</v>
      </c>
      <c r="H895" s="5">
        <f t="shared" si="55"/>
        <v>1</v>
      </c>
      <c r="I895" s="5">
        <f t="shared" si="56"/>
        <v>1</v>
      </c>
    </row>
    <row r="896" spans="1:9">
      <c r="A896">
        <v>895</v>
      </c>
      <c r="B896">
        <v>17</v>
      </c>
      <c r="C896">
        <v>9000</v>
      </c>
      <c r="D896">
        <v>9356</v>
      </c>
      <c r="E896" s="5">
        <f t="shared" si="53"/>
        <v>356</v>
      </c>
      <c r="F896" s="5">
        <f t="shared" si="54"/>
        <v>126736</v>
      </c>
      <c r="G896" s="6">
        <f>SQRT(SUM($F$2:F896)/A896)</f>
        <v>1311.5845958058928</v>
      </c>
      <c r="H896" s="5">
        <f t="shared" si="55"/>
        <v>1</v>
      </c>
      <c r="I896" s="5">
        <f t="shared" si="56"/>
        <v>1</v>
      </c>
    </row>
    <row r="897" spans="1:9">
      <c r="A897">
        <v>896</v>
      </c>
      <c r="B897">
        <v>16</v>
      </c>
      <c r="C897">
        <v>9000</v>
      </c>
      <c r="D897">
        <v>9728</v>
      </c>
      <c r="E897" s="5">
        <f t="shared" si="53"/>
        <v>728</v>
      </c>
      <c r="F897" s="5">
        <f t="shared" si="54"/>
        <v>529984</v>
      </c>
      <c r="G897" s="6">
        <f>SQRT(SUM($F$2:F897)/A897)</f>
        <v>1311.0780775554249</v>
      </c>
      <c r="H897" s="5">
        <f t="shared" si="55"/>
        <v>1</v>
      </c>
      <c r="I897" s="5">
        <f t="shared" si="56"/>
        <v>1</v>
      </c>
    </row>
    <row r="898" spans="1:9">
      <c r="A898">
        <v>897</v>
      </c>
      <c r="B898">
        <v>16</v>
      </c>
      <c r="C898">
        <v>9000</v>
      </c>
      <c r="D898">
        <v>9004</v>
      </c>
      <c r="E898" s="5">
        <f t="shared" si="53"/>
        <v>4</v>
      </c>
      <c r="F898" s="5">
        <f t="shared" si="54"/>
        <v>16</v>
      </c>
      <c r="G898" s="6">
        <f>SQRT(SUM($F$2:F898)/A898)</f>
        <v>1310.3470678133676</v>
      </c>
      <c r="H898" s="5">
        <f t="shared" si="55"/>
        <v>1</v>
      </c>
      <c r="I898" s="5">
        <f t="shared" si="56"/>
        <v>1</v>
      </c>
    </row>
    <row r="899" spans="1:9">
      <c r="A899">
        <v>898</v>
      </c>
      <c r="B899">
        <v>16</v>
      </c>
      <c r="C899">
        <v>9000</v>
      </c>
      <c r="D899">
        <v>7745</v>
      </c>
      <c r="E899" s="5">
        <f t="shared" ref="E899:E962" si="57">ABS(C899-D899)</f>
        <v>1255</v>
      </c>
      <c r="F899" s="5">
        <f t="shared" ref="F899:F962" si="58">POWER(E899,2)</f>
        <v>1575025</v>
      </c>
      <c r="G899" s="6">
        <f>SQRT(SUM($F$2:F899)/A899)</f>
        <v>1310.2867343755806</v>
      </c>
      <c r="H899" s="5">
        <f t="shared" ref="H899:H962" si="59">IF(ABS(E899)/C899&gt;0.2,0,1)</f>
        <v>1</v>
      </c>
      <c r="I899" s="5">
        <f t="shared" ref="I899:I962" si="60">IF(ABS(E899)/C899&gt;0.1,0,1)</f>
        <v>0</v>
      </c>
    </row>
    <row r="900" spans="1:9">
      <c r="A900">
        <v>899</v>
      </c>
      <c r="B900">
        <v>18</v>
      </c>
      <c r="C900">
        <v>9000</v>
      </c>
      <c r="D900">
        <v>10419</v>
      </c>
      <c r="E900" s="5">
        <f t="shared" si="57"/>
        <v>1419</v>
      </c>
      <c r="F900" s="5">
        <f t="shared" si="58"/>
        <v>2013561</v>
      </c>
      <c r="G900" s="6">
        <f>SQRT(SUM($F$2:F900)/A900)</f>
        <v>1310.4126717990666</v>
      </c>
      <c r="H900" s="5">
        <f t="shared" si="59"/>
        <v>1</v>
      </c>
      <c r="I900" s="5">
        <f t="shared" si="60"/>
        <v>0</v>
      </c>
    </row>
    <row r="901" spans="1:9">
      <c r="A901">
        <v>900</v>
      </c>
      <c r="B901">
        <v>15</v>
      </c>
      <c r="C901">
        <v>9000</v>
      </c>
      <c r="D901">
        <v>8074</v>
      </c>
      <c r="E901" s="5">
        <f t="shared" si="57"/>
        <v>926</v>
      </c>
      <c r="F901" s="5">
        <f t="shared" si="58"/>
        <v>857476</v>
      </c>
      <c r="G901" s="6">
        <f>SQRT(SUM($F$2:F901)/A901)</f>
        <v>1310.0481450016339</v>
      </c>
      <c r="H901" s="5">
        <f t="shared" si="59"/>
        <v>1</v>
      </c>
      <c r="I901" s="5">
        <f t="shared" si="60"/>
        <v>0</v>
      </c>
    </row>
    <row r="902" spans="1:9">
      <c r="A902">
        <v>901</v>
      </c>
      <c r="B902">
        <v>17</v>
      </c>
      <c r="C902">
        <v>5000</v>
      </c>
      <c r="D902">
        <v>8535</v>
      </c>
      <c r="E902" s="5">
        <f t="shared" si="57"/>
        <v>3535</v>
      </c>
      <c r="F902" s="5">
        <f t="shared" si="58"/>
        <v>12496225</v>
      </c>
      <c r="G902" s="6">
        <f>SQRT(SUM($F$2:F902)/A902)</f>
        <v>1314.606642635456</v>
      </c>
      <c r="H902" s="5">
        <f t="shared" si="59"/>
        <v>0</v>
      </c>
      <c r="I902" s="5">
        <f t="shared" si="60"/>
        <v>0</v>
      </c>
    </row>
    <row r="903" spans="1:9">
      <c r="A903">
        <v>902</v>
      </c>
      <c r="B903">
        <v>12</v>
      </c>
      <c r="C903">
        <v>5000</v>
      </c>
      <c r="D903">
        <v>5924</v>
      </c>
      <c r="E903" s="5">
        <f t="shared" si="57"/>
        <v>924</v>
      </c>
      <c r="F903" s="5">
        <f t="shared" si="58"/>
        <v>853776</v>
      </c>
      <c r="G903" s="6">
        <f>SQRT(SUM($F$2:F903)/A903)</f>
        <v>1314.2378807952057</v>
      </c>
      <c r="H903" s="5">
        <f t="shared" si="59"/>
        <v>1</v>
      </c>
      <c r="I903" s="5">
        <f t="shared" si="60"/>
        <v>0</v>
      </c>
    </row>
    <row r="904" spans="1:9">
      <c r="A904">
        <v>903</v>
      </c>
      <c r="B904">
        <v>15</v>
      </c>
      <c r="C904">
        <v>5000</v>
      </c>
      <c r="D904">
        <v>7907</v>
      </c>
      <c r="E904" s="5">
        <f t="shared" si="57"/>
        <v>2907</v>
      </c>
      <c r="F904" s="5">
        <f t="shared" si="58"/>
        <v>8450649</v>
      </c>
      <c r="G904" s="6">
        <f>SQRT(SUM($F$2:F904)/A904)</f>
        <v>1317.0675243841431</v>
      </c>
      <c r="H904" s="5">
        <f t="shared" si="59"/>
        <v>0</v>
      </c>
      <c r="I904" s="5">
        <f t="shared" si="60"/>
        <v>0</v>
      </c>
    </row>
    <row r="905" spans="1:9">
      <c r="A905">
        <v>904</v>
      </c>
      <c r="B905">
        <v>12</v>
      </c>
      <c r="C905">
        <v>5000</v>
      </c>
      <c r="D905">
        <v>6047</v>
      </c>
      <c r="E905" s="5">
        <f t="shared" si="57"/>
        <v>1047</v>
      </c>
      <c r="F905" s="5">
        <f t="shared" si="58"/>
        <v>1096209</v>
      </c>
      <c r="G905" s="6">
        <f>SQRT(SUM($F$2:F905)/A905)</f>
        <v>1316.7993792102484</v>
      </c>
      <c r="H905" s="5">
        <f t="shared" si="59"/>
        <v>0</v>
      </c>
      <c r="I905" s="5">
        <f t="shared" si="60"/>
        <v>0</v>
      </c>
    </row>
    <row r="906" spans="1:9">
      <c r="A906">
        <v>905</v>
      </c>
      <c r="B906">
        <v>13</v>
      </c>
      <c r="C906">
        <v>5000</v>
      </c>
      <c r="D906">
        <v>6657</v>
      </c>
      <c r="E906" s="5">
        <f t="shared" si="57"/>
        <v>1657</v>
      </c>
      <c r="F906" s="5">
        <f t="shared" si="58"/>
        <v>2745649</v>
      </c>
      <c r="G906" s="6">
        <f>SQRT(SUM($F$2:F906)/A906)</f>
        <v>1317.223782361099</v>
      </c>
      <c r="H906" s="5">
        <f t="shared" si="59"/>
        <v>0</v>
      </c>
      <c r="I906" s="5">
        <f t="shared" si="60"/>
        <v>0</v>
      </c>
    </row>
    <row r="907" spans="1:9">
      <c r="A907">
        <v>906</v>
      </c>
      <c r="B907">
        <v>13</v>
      </c>
      <c r="C907">
        <v>5000</v>
      </c>
      <c r="D907">
        <v>6325</v>
      </c>
      <c r="E907" s="5">
        <f t="shared" si="57"/>
        <v>1325</v>
      </c>
      <c r="F907" s="5">
        <f t="shared" si="58"/>
        <v>1755625</v>
      </c>
      <c r="G907" s="6">
        <f>SQRT(SUM($F$2:F907)/A907)</f>
        <v>1317.2323906895388</v>
      </c>
      <c r="H907" s="5">
        <f t="shared" si="59"/>
        <v>0</v>
      </c>
      <c r="I907" s="5">
        <f t="shared" si="60"/>
        <v>0</v>
      </c>
    </row>
    <row r="908" spans="1:9">
      <c r="A908">
        <v>907</v>
      </c>
      <c r="B908">
        <v>13</v>
      </c>
      <c r="C908">
        <v>5000</v>
      </c>
      <c r="D908">
        <v>7654</v>
      </c>
      <c r="E908" s="5">
        <f t="shared" si="57"/>
        <v>2654</v>
      </c>
      <c r="F908" s="5">
        <f t="shared" si="58"/>
        <v>7043716</v>
      </c>
      <c r="G908" s="6">
        <f>SQRT(SUM($F$2:F908)/A908)</f>
        <v>1319.4522004040341</v>
      </c>
      <c r="H908" s="5">
        <f t="shared" si="59"/>
        <v>0</v>
      </c>
      <c r="I908" s="5">
        <f t="shared" si="60"/>
        <v>0</v>
      </c>
    </row>
    <row r="909" spans="1:9">
      <c r="A909">
        <v>908</v>
      </c>
      <c r="B909">
        <v>11</v>
      </c>
      <c r="C909">
        <v>5000</v>
      </c>
      <c r="D909">
        <v>5948</v>
      </c>
      <c r="E909" s="5">
        <f t="shared" si="57"/>
        <v>948</v>
      </c>
      <c r="F909" s="5">
        <f t="shared" si="58"/>
        <v>898704</v>
      </c>
      <c r="G909" s="6">
        <f>SQRT(SUM($F$2:F909)/A909)</f>
        <v>1319.1006485197065</v>
      </c>
      <c r="H909" s="5">
        <f t="shared" si="59"/>
        <v>1</v>
      </c>
      <c r="I909" s="5">
        <f t="shared" si="60"/>
        <v>0</v>
      </c>
    </row>
    <row r="910" spans="1:9">
      <c r="A910">
        <v>909</v>
      </c>
      <c r="B910">
        <v>12</v>
      </c>
      <c r="C910">
        <v>5000</v>
      </c>
      <c r="D910">
        <v>7056</v>
      </c>
      <c r="E910" s="5">
        <f t="shared" si="57"/>
        <v>2056</v>
      </c>
      <c r="F910" s="5">
        <f t="shared" si="58"/>
        <v>4227136</v>
      </c>
      <c r="G910" s="6">
        <f>SQRT(SUM($F$2:F910)/A910)</f>
        <v>1320.1373470065514</v>
      </c>
      <c r="H910" s="5">
        <f t="shared" si="59"/>
        <v>0</v>
      </c>
      <c r="I910" s="5">
        <f t="shared" si="60"/>
        <v>0</v>
      </c>
    </row>
    <row r="911" spans="1:9">
      <c r="A911">
        <v>910</v>
      </c>
      <c r="B911">
        <v>10</v>
      </c>
      <c r="C911">
        <v>5000</v>
      </c>
      <c r="D911">
        <v>5736</v>
      </c>
      <c r="E911" s="5">
        <f t="shared" si="57"/>
        <v>736</v>
      </c>
      <c r="F911" s="5">
        <f t="shared" si="58"/>
        <v>541696</v>
      </c>
      <c r="G911" s="6">
        <f>SQRT(SUM($F$2:F911)/A911)</f>
        <v>1319.6373598600721</v>
      </c>
      <c r="H911" s="5">
        <f t="shared" si="59"/>
        <v>1</v>
      </c>
      <c r="I911" s="5">
        <f t="shared" si="60"/>
        <v>0</v>
      </c>
    </row>
    <row r="912" spans="1:9">
      <c r="A912">
        <v>911</v>
      </c>
      <c r="B912">
        <v>12</v>
      </c>
      <c r="C912">
        <v>5000</v>
      </c>
      <c r="D912">
        <v>7132</v>
      </c>
      <c r="E912" s="5">
        <f t="shared" si="57"/>
        <v>2132</v>
      </c>
      <c r="F912" s="5">
        <f t="shared" si="58"/>
        <v>4545424</v>
      </c>
      <c r="G912" s="6">
        <f>SQRT(SUM($F$2:F912)/A912)</f>
        <v>1320.8030425758857</v>
      </c>
      <c r="H912" s="5">
        <f t="shared" si="59"/>
        <v>0</v>
      </c>
      <c r="I912" s="5">
        <f t="shared" si="60"/>
        <v>0</v>
      </c>
    </row>
    <row r="913" spans="1:9">
      <c r="A913">
        <v>912</v>
      </c>
      <c r="B913">
        <v>10</v>
      </c>
      <c r="C913">
        <v>5000</v>
      </c>
      <c r="D913">
        <v>6101</v>
      </c>
      <c r="E913" s="5">
        <f t="shared" si="57"/>
        <v>1101</v>
      </c>
      <c r="F913" s="5">
        <f t="shared" si="58"/>
        <v>1212201</v>
      </c>
      <c r="G913" s="6">
        <f>SQRT(SUM($F$2:F913)/A913)</f>
        <v>1320.5820661439609</v>
      </c>
      <c r="H913" s="5">
        <f t="shared" si="59"/>
        <v>0</v>
      </c>
      <c r="I913" s="5">
        <f t="shared" si="60"/>
        <v>0</v>
      </c>
    </row>
    <row r="914" spans="1:9">
      <c r="A914">
        <v>913</v>
      </c>
      <c r="B914">
        <v>10</v>
      </c>
      <c r="C914">
        <v>5000</v>
      </c>
      <c r="D914">
        <v>5259</v>
      </c>
      <c r="E914" s="5">
        <f t="shared" si="57"/>
        <v>259</v>
      </c>
      <c r="F914" s="5">
        <f t="shared" si="58"/>
        <v>67081</v>
      </c>
      <c r="G914" s="6">
        <f>SQRT(SUM($F$2:F914)/A914)</f>
        <v>1319.8864911035307</v>
      </c>
      <c r="H914" s="5">
        <f t="shared" si="59"/>
        <v>1</v>
      </c>
      <c r="I914" s="5">
        <f t="shared" si="60"/>
        <v>1</v>
      </c>
    </row>
    <row r="915" spans="1:9">
      <c r="A915">
        <v>914</v>
      </c>
      <c r="B915">
        <v>11</v>
      </c>
      <c r="C915">
        <v>5000</v>
      </c>
      <c r="D915">
        <v>6239</v>
      </c>
      <c r="E915" s="5">
        <f t="shared" si="57"/>
        <v>1239</v>
      </c>
      <c r="F915" s="5">
        <f t="shared" si="58"/>
        <v>1535121</v>
      </c>
      <c r="G915" s="6">
        <f>SQRT(SUM($F$2:F915)/A915)</f>
        <v>1319.8007027453718</v>
      </c>
      <c r="H915" s="5">
        <f t="shared" si="59"/>
        <v>0</v>
      </c>
      <c r="I915" s="5">
        <f t="shared" si="60"/>
        <v>0</v>
      </c>
    </row>
    <row r="916" spans="1:9">
      <c r="A916">
        <v>915</v>
      </c>
      <c r="B916">
        <v>10</v>
      </c>
      <c r="C916">
        <v>5000</v>
      </c>
      <c r="D916">
        <v>5489</v>
      </c>
      <c r="E916" s="5">
        <f t="shared" si="57"/>
        <v>489</v>
      </c>
      <c r="F916" s="5">
        <f t="shared" si="58"/>
        <v>239121</v>
      </c>
      <c r="G916" s="6">
        <f>SQRT(SUM($F$2:F916)/A916)</f>
        <v>1319.1783587053355</v>
      </c>
      <c r="H916" s="5">
        <f t="shared" si="59"/>
        <v>1</v>
      </c>
      <c r="I916" s="5">
        <f t="shared" si="60"/>
        <v>1</v>
      </c>
    </row>
    <row r="917" spans="1:9">
      <c r="A917">
        <v>916</v>
      </c>
      <c r="B917">
        <v>11</v>
      </c>
      <c r="C917">
        <v>5000</v>
      </c>
      <c r="D917">
        <v>6358</v>
      </c>
      <c r="E917" s="5">
        <f t="shared" si="57"/>
        <v>1358</v>
      </c>
      <c r="F917" s="5">
        <f t="shared" si="58"/>
        <v>1844164</v>
      </c>
      <c r="G917" s="6">
        <f>SQRT(SUM($F$2:F917)/A917)</f>
        <v>1319.2213633270633</v>
      </c>
      <c r="H917" s="5">
        <f t="shared" si="59"/>
        <v>0</v>
      </c>
      <c r="I917" s="5">
        <f t="shared" si="60"/>
        <v>0</v>
      </c>
    </row>
    <row r="918" spans="1:9">
      <c r="A918">
        <v>917</v>
      </c>
      <c r="B918">
        <v>9</v>
      </c>
      <c r="C918">
        <v>5000</v>
      </c>
      <c r="D918">
        <v>5204</v>
      </c>
      <c r="E918" s="5">
        <f t="shared" si="57"/>
        <v>204</v>
      </c>
      <c r="F918" s="5">
        <f t="shared" si="58"/>
        <v>41616</v>
      </c>
      <c r="G918" s="6">
        <f>SQRT(SUM($F$2:F918)/A918)</f>
        <v>1318.519063257897</v>
      </c>
      <c r="H918" s="5">
        <f t="shared" si="59"/>
        <v>1</v>
      </c>
      <c r="I918" s="5">
        <f t="shared" si="60"/>
        <v>1</v>
      </c>
    </row>
    <row r="919" spans="1:9">
      <c r="A919">
        <v>918</v>
      </c>
      <c r="B919">
        <v>11</v>
      </c>
      <c r="C919">
        <v>5000</v>
      </c>
      <c r="D919">
        <v>6444</v>
      </c>
      <c r="E919" s="5">
        <f t="shared" si="57"/>
        <v>1444</v>
      </c>
      <c r="F919" s="5">
        <f t="shared" si="58"/>
        <v>2085136</v>
      </c>
      <c r="G919" s="6">
        <f>SQRT(SUM($F$2:F919)/A919)</f>
        <v>1318.6622491946073</v>
      </c>
      <c r="H919" s="5">
        <f t="shared" si="59"/>
        <v>0</v>
      </c>
      <c r="I919" s="5">
        <f t="shared" si="60"/>
        <v>0</v>
      </c>
    </row>
    <row r="920" spans="1:9">
      <c r="A920">
        <v>919</v>
      </c>
      <c r="B920">
        <v>9</v>
      </c>
      <c r="C920">
        <v>5000</v>
      </c>
      <c r="D920">
        <v>5106</v>
      </c>
      <c r="E920" s="5">
        <f t="shared" si="57"/>
        <v>106</v>
      </c>
      <c r="F920" s="5">
        <f t="shared" si="58"/>
        <v>11236</v>
      </c>
      <c r="G920" s="6">
        <f>SQRT(SUM($F$2:F920)/A920)</f>
        <v>1317.9492482232667</v>
      </c>
      <c r="H920" s="5">
        <f t="shared" si="59"/>
        <v>1</v>
      </c>
      <c r="I920" s="5">
        <f t="shared" si="60"/>
        <v>1</v>
      </c>
    </row>
    <row r="921" spans="1:9">
      <c r="A921">
        <v>920</v>
      </c>
      <c r="B921">
        <v>10</v>
      </c>
      <c r="C921">
        <v>5000</v>
      </c>
      <c r="D921">
        <v>4041</v>
      </c>
      <c r="E921" s="5">
        <f t="shared" si="57"/>
        <v>959</v>
      </c>
      <c r="F921" s="5">
        <f t="shared" si="58"/>
        <v>919681</v>
      </c>
      <c r="G921" s="6">
        <f>SQRT(SUM($F$2:F921)/A921)</f>
        <v>1317.6121740877882</v>
      </c>
      <c r="H921" s="5">
        <f t="shared" si="59"/>
        <v>1</v>
      </c>
      <c r="I921" s="5">
        <f t="shared" si="60"/>
        <v>0</v>
      </c>
    </row>
    <row r="922" spans="1:9">
      <c r="A922">
        <v>921</v>
      </c>
      <c r="B922">
        <v>12</v>
      </c>
      <c r="C922">
        <v>5000</v>
      </c>
      <c r="D922">
        <v>2327</v>
      </c>
      <c r="E922" s="5">
        <f t="shared" si="57"/>
        <v>2673</v>
      </c>
      <c r="F922" s="5">
        <f t="shared" si="58"/>
        <v>7144929</v>
      </c>
      <c r="G922" s="6">
        <f>SQRT(SUM($F$2:F922)/A922)</f>
        <v>1319.8388605457606</v>
      </c>
      <c r="H922" s="5">
        <f t="shared" si="59"/>
        <v>0</v>
      </c>
      <c r="I922" s="5">
        <f t="shared" si="60"/>
        <v>0</v>
      </c>
    </row>
    <row r="923" spans="1:9">
      <c r="A923">
        <v>922</v>
      </c>
      <c r="B923">
        <v>14</v>
      </c>
      <c r="C923">
        <v>5000</v>
      </c>
      <c r="D923">
        <v>1719</v>
      </c>
      <c r="E923" s="5">
        <f t="shared" si="57"/>
        <v>3281</v>
      </c>
      <c r="F923" s="5">
        <f t="shared" si="58"/>
        <v>10764961</v>
      </c>
      <c r="G923" s="6">
        <f>SQRT(SUM($F$2:F923)/A923)</f>
        <v>1323.5410598441122</v>
      </c>
      <c r="H923" s="5">
        <f t="shared" si="59"/>
        <v>0</v>
      </c>
      <c r="I923" s="5">
        <f t="shared" si="60"/>
        <v>0</v>
      </c>
    </row>
    <row r="924" spans="1:9">
      <c r="A924">
        <v>923</v>
      </c>
      <c r="B924">
        <v>15</v>
      </c>
      <c r="C924">
        <v>5000</v>
      </c>
      <c r="D924">
        <v>4789</v>
      </c>
      <c r="E924" s="5">
        <f t="shared" si="57"/>
        <v>211</v>
      </c>
      <c r="F924" s="5">
        <f t="shared" si="58"/>
        <v>44521</v>
      </c>
      <c r="G924" s="6">
        <f>SQRT(SUM($F$2:F924)/A924)</f>
        <v>1322.8421194620134</v>
      </c>
      <c r="H924" s="5">
        <f t="shared" si="59"/>
        <v>1</v>
      </c>
      <c r="I924" s="5">
        <f t="shared" si="60"/>
        <v>1</v>
      </c>
    </row>
    <row r="925" spans="1:9">
      <c r="A925">
        <v>924</v>
      </c>
      <c r="B925">
        <v>12</v>
      </c>
      <c r="C925">
        <v>5000</v>
      </c>
      <c r="D925">
        <v>6426</v>
      </c>
      <c r="E925" s="5">
        <f t="shared" si="57"/>
        <v>1426</v>
      </c>
      <c r="F925" s="5">
        <f t="shared" si="58"/>
        <v>2033476</v>
      </c>
      <c r="G925" s="6">
        <f>SQRT(SUM($F$2:F925)/A925)</f>
        <v>1322.9581101665356</v>
      </c>
      <c r="H925" s="5">
        <f t="shared" si="59"/>
        <v>0</v>
      </c>
      <c r="I925" s="5">
        <f t="shared" si="60"/>
        <v>0</v>
      </c>
    </row>
    <row r="926" spans="1:9">
      <c r="A926">
        <v>925</v>
      </c>
      <c r="B926">
        <v>10</v>
      </c>
      <c r="C926">
        <v>5000</v>
      </c>
      <c r="D926">
        <v>5569</v>
      </c>
      <c r="E926" s="5">
        <f t="shared" si="57"/>
        <v>569</v>
      </c>
      <c r="F926" s="5">
        <f t="shared" si="58"/>
        <v>323761</v>
      </c>
      <c r="G926" s="6">
        <f>SQRT(SUM($F$2:F926)/A926)</f>
        <v>1322.3751530505272</v>
      </c>
      <c r="H926" s="5">
        <f t="shared" si="59"/>
        <v>1</v>
      </c>
      <c r="I926" s="5">
        <f t="shared" si="60"/>
        <v>0</v>
      </c>
    </row>
    <row r="927" spans="1:9">
      <c r="A927">
        <v>926</v>
      </c>
      <c r="B927">
        <v>11</v>
      </c>
      <c r="C927">
        <v>5000</v>
      </c>
      <c r="D927">
        <v>5119</v>
      </c>
      <c r="E927" s="5">
        <f t="shared" si="57"/>
        <v>119</v>
      </c>
      <c r="F927" s="5">
        <f t="shared" si="58"/>
        <v>14161</v>
      </c>
      <c r="G927" s="6">
        <f>SQRT(SUM($F$2:F927)/A927)</f>
        <v>1321.6667200949259</v>
      </c>
      <c r="H927" s="5">
        <f t="shared" si="59"/>
        <v>1</v>
      </c>
      <c r="I927" s="5">
        <f t="shared" si="60"/>
        <v>1</v>
      </c>
    </row>
    <row r="928" spans="1:9">
      <c r="A928">
        <v>927</v>
      </c>
      <c r="B928">
        <v>11</v>
      </c>
      <c r="C928">
        <v>5000</v>
      </c>
      <c r="D928">
        <v>5615</v>
      </c>
      <c r="E928" s="5">
        <f t="shared" si="57"/>
        <v>615</v>
      </c>
      <c r="F928" s="5">
        <f t="shared" si="58"/>
        <v>378225</v>
      </c>
      <c r="G928" s="6">
        <f>SQRT(SUM($F$2:F928)/A928)</f>
        <v>1321.1080831717709</v>
      </c>
      <c r="H928" s="5">
        <f t="shared" si="59"/>
        <v>1</v>
      </c>
      <c r="I928" s="5">
        <f t="shared" si="60"/>
        <v>0</v>
      </c>
    </row>
    <row r="929" spans="1:9">
      <c r="A929">
        <v>928</v>
      </c>
      <c r="B929">
        <v>11</v>
      </c>
      <c r="C929">
        <v>5000</v>
      </c>
      <c r="D929">
        <v>5996</v>
      </c>
      <c r="E929" s="5">
        <f t="shared" si="57"/>
        <v>996</v>
      </c>
      <c r="F929" s="5">
        <f t="shared" si="58"/>
        <v>992016</v>
      </c>
      <c r="G929" s="6">
        <f>SQRT(SUM($F$2:F929)/A929)</f>
        <v>1320.8008216021171</v>
      </c>
      <c r="H929" s="5">
        <f t="shared" si="59"/>
        <v>1</v>
      </c>
      <c r="I929" s="5">
        <f t="shared" si="60"/>
        <v>0</v>
      </c>
    </row>
    <row r="930" spans="1:9">
      <c r="A930">
        <v>929</v>
      </c>
      <c r="B930">
        <v>10</v>
      </c>
      <c r="C930">
        <v>5000</v>
      </c>
      <c r="D930">
        <v>5426</v>
      </c>
      <c r="E930" s="5">
        <f t="shared" si="57"/>
        <v>426</v>
      </c>
      <c r="F930" s="5">
        <f t="shared" si="58"/>
        <v>181476</v>
      </c>
      <c r="G930" s="6">
        <f>SQRT(SUM($F$2:F930)/A930)</f>
        <v>1320.1637452666503</v>
      </c>
      <c r="H930" s="5">
        <f t="shared" si="59"/>
        <v>1</v>
      </c>
      <c r="I930" s="5">
        <f t="shared" si="60"/>
        <v>1</v>
      </c>
    </row>
    <row r="931" spans="1:9">
      <c r="A931">
        <v>930</v>
      </c>
      <c r="B931">
        <v>11</v>
      </c>
      <c r="C931">
        <v>5000</v>
      </c>
      <c r="D931">
        <v>5420</v>
      </c>
      <c r="E931" s="5">
        <f t="shared" si="57"/>
        <v>420</v>
      </c>
      <c r="F931" s="5">
        <f t="shared" si="58"/>
        <v>176400</v>
      </c>
      <c r="G931" s="6">
        <f>SQRT(SUM($F$2:F931)/A931)</f>
        <v>1319.5256642046124</v>
      </c>
      <c r="H931" s="5">
        <f t="shared" si="59"/>
        <v>1</v>
      </c>
      <c r="I931" s="5">
        <f t="shared" si="60"/>
        <v>1</v>
      </c>
    </row>
    <row r="932" spans="1:9">
      <c r="A932">
        <v>931</v>
      </c>
      <c r="B932">
        <v>11</v>
      </c>
      <c r="C932">
        <v>5000</v>
      </c>
      <c r="D932">
        <v>6289</v>
      </c>
      <c r="E932" s="5">
        <f t="shared" si="57"/>
        <v>1289</v>
      </c>
      <c r="F932" s="5">
        <f t="shared" si="58"/>
        <v>1661521</v>
      </c>
      <c r="G932" s="6">
        <f>SQRT(SUM($F$2:F932)/A932)</f>
        <v>1319.4932550239525</v>
      </c>
      <c r="H932" s="5">
        <f t="shared" si="59"/>
        <v>0</v>
      </c>
      <c r="I932" s="5">
        <f t="shared" si="60"/>
        <v>0</v>
      </c>
    </row>
    <row r="933" spans="1:9">
      <c r="A933">
        <v>932</v>
      </c>
      <c r="B933">
        <v>9</v>
      </c>
      <c r="C933">
        <v>5000</v>
      </c>
      <c r="D933">
        <v>4250</v>
      </c>
      <c r="E933" s="5">
        <f t="shared" si="57"/>
        <v>750</v>
      </c>
      <c r="F933" s="5">
        <f t="shared" si="58"/>
        <v>562500</v>
      </c>
      <c r="G933" s="6">
        <f>SQRT(SUM($F$2:F933)/A933)</f>
        <v>1319.0139870633175</v>
      </c>
      <c r="H933" s="5">
        <f t="shared" si="59"/>
        <v>1</v>
      </c>
      <c r="I933" s="5">
        <f t="shared" si="60"/>
        <v>0</v>
      </c>
    </row>
    <row r="934" spans="1:9">
      <c r="A934">
        <v>933</v>
      </c>
      <c r="B934">
        <v>12</v>
      </c>
      <c r="C934">
        <v>5000</v>
      </c>
      <c r="D934">
        <v>6161</v>
      </c>
      <c r="E934" s="5">
        <f t="shared" si="57"/>
        <v>1161</v>
      </c>
      <c r="F934" s="5">
        <f t="shared" si="58"/>
        <v>1347921</v>
      </c>
      <c r="G934" s="6">
        <f>SQRT(SUM($F$2:F934)/A934)</f>
        <v>1318.8547607515877</v>
      </c>
      <c r="H934" s="5">
        <f t="shared" si="59"/>
        <v>0</v>
      </c>
      <c r="I934" s="5">
        <f t="shared" si="60"/>
        <v>0</v>
      </c>
    </row>
    <row r="935" spans="1:9">
      <c r="A935">
        <v>934</v>
      </c>
      <c r="B935">
        <v>9</v>
      </c>
      <c r="C935">
        <v>5000</v>
      </c>
      <c r="D935">
        <v>4536</v>
      </c>
      <c r="E935" s="5">
        <f t="shared" si="57"/>
        <v>464</v>
      </c>
      <c r="F935" s="5">
        <f t="shared" si="58"/>
        <v>215296</v>
      </c>
      <c r="G935" s="6">
        <f>SQRT(SUM($F$2:F935)/A935)</f>
        <v>1318.2359806356365</v>
      </c>
      <c r="H935" s="5">
        <f t="shared" si="59"/>
        <v>1</v>
      </c>
      <c r="I935" s="5">
        <f t="shared" si="60"/>
        <v>1</v>
      </c>
    </row>
    <row r="936" spans="1:9">
      <c r="A936">
        <v>935</v>
      </c>
      <c r="B936">
        <v>11</v>
      </c>
      <c r="C936">
        <v>5000</v>
      </c>
      <c r="D936">
        <v>5370</v>
      </c>
      <c r="E936" s="5">
        <f t="shared" si="57"/>
        <v>370</v>
      </c>
      <c r="F936" s="5">
        <f t="shared" si="58"/>
        <v>136900</v>
      </c>
      <c r="G936" s="6">
        <f>SQRT(SUM($F$2:F936)/A936)</f>
        <v>1317.5864168150038</v>
      </c>
      <c r="H936" s="5">
        <f t="shared" si="59"/>
        <v>1</v>
      </c>
      <c r="I936" s="5">
        <f t="shared" si="60"/>
        <v>1</v>
      </c>
    </row>
    <row r="937" spans="1:9">
      <c r="A937">
        <v>936</v>
      </c>
      <c r="B937">
        <v>10</v>
      </c>
      <c r="C937">
        <v>5000</v>
      </c>
      <c r="D937">
        <v>5536</v>
      </c>
      <c r="E937" s="5">
        <f t="shared" si="57"/>
        <v>536</v>
      </c>
      <c r="F937" s="5">
        <f t="shared" si="58"/>
        <v>287296</v>
      </c>
      <c r="G937" s="6">
        <f>SQRT(SUM($F$2:F937)/A937)</f>
        <v>1316.998925133737</v>
      </c>
      <c r="H937" s="5">
        <f t="shared" si="59"/>
        <v>1</v>
      </c>
      <c r="I937" s="5">
        <f t="shared" si="60"/>
        <v>0</v>
      </c>
    </row>
    <row r="938" spans="1:9">
      <c r="A938">
        <v>937</v>
      </c>
      <c r="B938">
        <v>10</v>
      </c>
      <c r="C938">
        <v>5000</v>
      </c>
      <c r="D938">
        <v>5356</v>
      </c>
      <c r="E938" s="5">
        <f t="shared" si="57"/>
        <v>356</v>
      </c>
      <c r="F938" s="5">
        <f t="shared" si="58"/>
        <v>126736</v>
      </c>
      <c r="G938" s="6">
        <f>SQRT(SUM($F$2:F938)/A938)</f>
        <v>1316.3473402452553</v>
      </c>
      <c r="H938" s="5">
        <f t="shared" si="59"/>
        <v>1</v>
      </c>
      <c r="I938" s="5">
        <f t="shared" si="60"/>
        <v>1</v>
      </c>
    </row>
    <row r="939" spans="1:9">
      <c r="A939">
        <v>938</v>
      </c>
      <c r="B939">
        <v>10</v>
      </c>
      <c r="C939">
        <v>5000</v>
      </c>
      <c r="D939">
        <v>5482</v>
      </c>
      <c r="E939" s="5">
        <f t="shared" si="57"/>
        <v>482</v>
      </c>
      <c r="F939" s="5">
        <f t="shared" si="58"/>
        <v>232324</v>
      </c>
      <c r="G939" s="6">
        <f>SQRT(SUM($F$2:F939)/A939)</f>
        <v>1315.7396008436262</v>
      </c>
      <c r="H939" s="5">
        <f t="shared" si="59"/>
        <v>1</v>
      </c>
      <c r="I939" s="5">
        <f t="shared" si="60"/>
        <v>1</v>
      </c>
    </row>
    <row r="940" spans="1:9">
      <c r="A940">
        <v>939</v>
      </c>
      <c r="B940">
        <v>10</v>
      </c>
      <c r="C940">
        <v>5000</v>
      </c>
      <c r="D940">
        <v>6078</v>
      </c>
      <c r="E940" s="5">
        <f t="shared" si="57"/>
        <v>1078</v>
      </c>
      <c r="F940" s="5">
        <f t="shared" si="58"/>
        <v>1162084</v>
      </c>
      <c r="G940" s="6">
        <f>SQRT(SUM($F$2:F940)/A940)</f>
        <v>1315.5092706277526</v>
      </c>
      <c r="H940" s="5">
        <f t="shared" si="59"/>
        <v>0</v>
      </c>
      <c r="I940" s="5">
        <f t="shared" si="60"/>
        <v>0</v>
      </c>
    </row>
    <row r="941" spans="1:9">
      <c r="A941">
        <v>940</v>
      </c>
      <c r="B941">
        <v>9</v>
      </c>
      <c r="C941">
        <v>5000</v>
      </c>
      <c r="D941">
        <v>5383</v>
      </c>
      <c r="E941" s="5">
        <f t="shared" si="57"/>
        <v>383</v>
      </c>
      <c r="F941" s="5">
        <f t="shared" si="58"/>
        <v>146689</v>
      </c>
      <c r="G941" s="6">
        <f>SQRT(SUM($F$2:F941)/A941)</f>
        <v>1314.8686881286956</v>
      </c>
      <c r="H941" s="5">
        <f t="shared" si="59"/>
        <v>1</v>
      </c>
      <c r="I941" s="5">
        <f t="shared" si="60"/>
        <v>1</v>
      </c>
    </row>
    <row r="942" spans="1:9">
      <c r="A942">
        <v>941</v>
      </c>
      <c r="B942">
        <v>10</v>
      </c>
      <c r="C942">
        <v>5000</v>
      </c>
      <c r="D942">
        <v>5620</v>
      </c>
      <c r="E942" s="5">
        <f t="shared" si="57"/>
        <v>620</v>
      </c>
      <c r="F942" s="5">
        <f t="shared" si="58"/>
        <v>384400</v>
      </c>
      <c r="G942" s="6">
        <f>SQRT(SUM($F$2:F942)/A942)</f>
        <v>1314.3252601541512</v>
      </c>
      <c r="H942" s="5">
        <f t="shared" si="59"/>
        <v>1</v>
      </c>
      <c r="I942" s="5">
        <f t="shared" si="60"/>
        <v>0</v>
      </c>
    </row>
    <row r="943" spans="1:9">
      <c r="A943">
        <v>942</v>
      </c>
      <c r="B943">
        <v>9</v>
      </c>
      <c r="C943">
        <v>5000</v>
      </c>
      <c r="D943">
        <v>4786</v>
      </c>
      <c r="E943" s="5">
        <f t="shared" si="57"/>
        <v>214</v>
      </c>
      <c r="F943" s="5">
        <f t="shared" si="58"/>
        <v>45796</v>
      </c>
      <c r="G943" s="6">
        <f>SQRT(SUM($F$2:F943)/A943)</f>
        <v>1313.6459542837044</v>
      </c>
      <c r="H943" s="5">
        <f t="shared" si="59"/>
        <v>1</v>
      </c>
      <c r="I943" s="5">
        <f t="shared" si="60"/>
        <v>1</v>
      </c>
    </row>
    <row r="944" spans="1:9">
      <c r="A944">
        <v>943</v>
      </c>
      <c r="B944">
        <v>10</v>
      </c>
      <c r="C944">
        <v>5000</v>
      </c>
      <c r="D944">
        <v>4499</v>
      </c>
      <c r="E944" s="5">
        <f t="shared" si="57"/>
        <v>501</v>
      </c>
      <c r="F944" s="5">
        <f t="shared" si="58"/>
        <v>251001</v>
      </c>
      <c r="G944" s="6">
        <f>SQRT(SUM($F$2:F944)/A944)</f>
        <v>1313.0506052070386</v>
      </c>
      <c r="H944" s="5">
        <f t="shared" si="59"/>
        <v>1</v>
      </c>
      <c r="I944" s="5">
        <f t="shared" si="60"/>
        <v>0</v>
      </c>
    </row>
    <row r="945" spans="1:9">
      <c r="A945">
        <v>944</v>
      </c>
      <c r="B945">
        <v>10</v>
      </c>
      <c r="C945">
        <v>5000</v>
      </c>
      <c r="D945">
        <v>6215</v>
      </c>
      <c r="E945" s="5">
        <f t="shared" si="57"/>
        <v>1215</v>
      </c>
      <c r="F945" s="5">
        <f t="shared" si="58"/>
        <v>1476225</v>
      </c>
      <c r="G945" s="6">
        <f>SQRT(SUM($F$2:F945)/A945)</f>
        <v>1312.9506123161511</v>
      </c>
      <c r="H945" s="5">
        <f t="shared" si="59"/>
        <v>0</v>
      </c>
      <c r="I945" s="5">
        <f t="shared" si="60"/>
        <v>0</v>
      </c>
    </row>
    <row r="946" spans="1:9">
      <c r="A946">
        <v>945</v>
      </c>
      <c r="B946">
        <v>9</v>
      </c>
      <c r="C946">
        <v>5000</v>
      </c>
      <c r="D946">
        <v>5279</v>
      </c>
      <c r="E946" s="5">
        <f t="shared" si="57"/>
        <v>279</v>
      </c>
      <c r="F946" s="5">
        <f t="shared" si="58"/>
        <v>77841</v>
      </c>
      <c r="G946" s="6">
        <f>SQRT(SUM($F$2:F946)/A946)</f>
        <v>1312.2871306339605</v>
      </c>
      <c r="H946" s="5">
        <f t="shared" si="59"/>
        <v>1</v>
      </c>
      <c r="I946" s="5">
        <f t="shared" si="60"/>
        <v>1</v>
      </c>
    </row>
    <row r="947" spans="1:9">
      <c r="A947">
        <v>946</v>
      </c>
      <c r="B947">
        <v>9</v>
      </c>
      <c r="C947">
        <v>5000</v>
      </c>
      <c r="D947">
        <v>5535</v>
      </c>
      <c r="E947" s="5">
        <f t="shared" si="57"/>
        <v>535</v>
      </c>
      <c r="F947" s="5">
        <f t="shared" si="58"/>
        <v>286225</v>
      </c>
      <c r="G947" s="6">
        <f>SQRT(SUM($F$2:F947)/A947)</f>
        <v>1311.7086862523447</v>
      </c>
      <c r="H947" s="5">
        <f t="shared" si="59"/>
        <v>1</v>
      </c>
      <c r="I947" s="5">
        <f t="shared" si="60"/>
        <v>0</v>
      </c>
    </row>
    <row r="948" spans="1:9">
      <c r="A948">
        <v>947</v>
      </c>
      <c r="B948">
        <v>9</v>
      </c>
      <c r="C948">
        <v>5000</v>
      </c>
      <c r="D948">
        <v>4897</v>
      </c>
      <c r="E948" s="5">
        <f t="shared" si="57"/>
        <v>103</v>
      </c>
      <c r="F948" s="5">
        <f t="shared" si="58"/>
        <v>10609</v>
      </c>
      <c r="G948" s="6">
        <f>SQRT(SUM($F$2:F948)/A948)</f>
        <v>1311.0202158379548</v>
      </c>
      <c r="H948" s="5">
        <f t="shared" si="59"/>
        <v>1</v>
      </c>
      <c r="I948" s="5">
        <f t="shared" si="60"/>
        <v>1</v>
      </c>
    </row>
    <row r="949" spans="1:9">
      <c r="A949">
        <v>948</v>
      </c>
      <c r="B949">
        <v>10</v>
      </c>
      <c r="C949">
        <v>5000</v>
      </c>
      <c r="D949">
        <v>6160</v>
      </c>
      <c r="E949" s="5">
        <f t="shared" si="57"/>
        <v>1160</v>
      </c>
      <c r="F949" s="5">
        <f t="shared" si="58"/>
        <v>1345600</v>
      </c>
      <c r="G949" s="6">
        <f>SQRT(SUM($F$2:F949)/A949)</f>
        <v>1310.8700785620206</v>
      </c>
      <c r="H949" s="5">
        <f t="shared" si="59"/>
        <v>0</v>
      </c>
      <c r="I949" s="5">
        <f t="shared" si="60"/>
        <v>0</v>
      </c>
    </row>
    <row r="950" spans="1:9">
      <c r="A950">
        <v>949</v>
      </c>
      <c r="B950">
        <v>8</v>
      </c>
      <c r="C950">
        <v>5000</v>
      </c>
      <c r="D950">
        <v>4893</v>
      </c>
      <c r="E950" s="5">
        <f t="shared" si="57"/>
        <v>107</v>
      </c>
      <c r="F950" s="5">
        <f t="shared" si="58"/>
        <v>11449</v>
      </c>
      <c r="G950" s="6">
        <f>SQRT(SUM($F$2:F950)/A950)</f>
        <v>1310.1838419412284</v>
      </c>
      <c r="H950" s="5">
        <f t="shared" si="59"/>
        <v>1</v>
      </c>
      <c r="I950" s="5">
        <f t="shared" si="60"/>
        <v>1</v>
      </c>
    </row>
    <row r="951" spans="1:9">
      <c r="A951">
        <v>950</v>
      </c>
      <c r="B951">
        <v>9</v>
      </c>
      <c r="C951">
        <v>5000</v>
      </c>
      <c r="D951">
        <v>5183</v>
      </c>
      <c r="E951" s="5">
        <f t="shared" si="57"/>
        <v>183</v>
      </c>
      <c r="F951" s="5">
        <f t="shared" si="58"/>
        <v>33489</v>
      </c>
      <c r="G951" s="6">
        <f>SQRT(SUM($F$2:F951)/A951)</f>
        <v>1309.5075498667027</v>
      </c>
      <c r="H951" s="5">
        <f t="shared" si="59"/>
        <v>1</v>
      </c>
      <c r="I951" s="5">
        <f t="shared" si="60"/>
        <v>1</v>
      </c>
    </row>
    <row r="952" spans="1:9">
      <c r="A952">
        <v>951</v>
      </c>
      <c r="B952">
        <v>9</v>
      </c>
      <c r="C952">
        <v>5000</v>
      </c>
      <c r="D952">
        <v>5382</v>
      </c>
      <c r="E952" s="5">
        <f t="shared" si="57"/>
        <v>382</v>
      </c>
      <c r="F952" s="5">
        <f t="shared" si="58"/>
        <v>145924</v>
      </c>
      <c r="G952" s="6">
        <f>SQRT(SUM($F$2:F952)/A952)</f>
        <v>1308.8774964587278</v>
      </c>
      <c r="H952" s="5">
        <f t="shared" si="59"/>
        <v>1</v>
      </c>
      <c r="I952" s="5">
        <f t="shared" si="60"/>
        <v>1</v>
      </c>
    </row>
    <row r="953" spans="1:9">
      <c r="A953">
        <v>952</v>
      </c>
      <c r="B953">
        <v>9</v>
      </c>
      <c r="C953">
        <v>5000</v>
      </c>
      <c r="D953">
        <v>5136</v>
      </c>
      <c r="E953" s="5">
        <f t="shared" si="57"/>
        <v>136</v>
      </c>
      <c r="F953" s="5">
        <f t="shared" si="58"/>
        <v>18496</v>
      </c>
      <c r="G953" s="6">
        <f>SQRT(SUM($F$2:F953)/A953)</f>
        <v>1308.1973059047593</v>
      </c>
      <c r="H953" s="5">
        <f t="shared" si="59"/>
        <v>1</v>
      </c>
      <c r="I953" s="5">
        <f t="shared" si="60"/>
        <v>1</v>
      </c>
    </row>
    <row r="954" spans="1:9">
      <c r="A954">
        <v>953</v>
      </c>
      <c r="B954">
        <v>9</v>
      </c>
      <c r="C954">
        <v>5000</v>
      </c>
      <c r="D954">
        <v>5104</v>
      </c>
      <c r="E954" s="5">
        <f t="shared" si="57"/>
        <v>104</v>
      </c>
      <c r="F954" s="5">
        <f t="shared" si="58"/>
        <v>10816</v>
      </c>
      <c r="G954" s="6">
        <f>SQRT(SUM($F$2:F954)/A954)</f>
        <v>1307.5151083857018</v>
      </c>
      <c r="H954" s="5">
        <f t="shared" si="59"/>
        <v>1</v>
      </c>
      <c r="I954" s="5">
        <f t="shared" si="60"/>
        <v>1</v>
      </c>
    </row>
    <row r="955" spans="1:9">
      <c r="A955">
        <v>954</v>
      </c>
      <c r="B955">
        <v>9</v>
      </c>
      <c r="C955">
        <v>5000</v>
      </c>
      <c r="D955">
        <v>5022</v>
      </c>
      <c r="E955" s="5">
        <f t="shared" si="57"/>
        <v>22</v>
      </c>
      <c r="F955" s="5">
        <f t="shared" si="58"/>
        <v>484</v>
      </c>
      <c r="G955" s="6">
        <f>SQRT(SUM($F$2:F955)/A955)</f>
        <v>1306.8298423655906</v>
      </c>
      <c r="H955" s="5">
        <f t="shared" si="59"/>
        <v>1</v>
      </c>
      <c r="I955" s="5">
        <f t="shared" si="60"/>
        <v>1</v>
      </c>
    </row>
    <row r="956" spans="1:9">
      <c r="A956">
        <v>955</v>
      </c>
      <c r="B956">
        <v>9</v>
      </c>
      <c r="C956">
        <v>5000</v>
      </c>
      <c r="D956">
        <v>5613</v>
      </c>
      <c r="E956" s="5">
        <f t="shared" si="57"/>
        <v>613</v>
      </c>
      <c r="F956" s="5">
        <f t="shared" si="58"/>
        <v>375769</v>
      </c>
      <c r="G956" s="6">
        <f>SQRT(SUM($F$2:F956)/A956)</f>
        <v>1306.2960750159568</v>
      </c>
      <c r="H956" s="5">
        <f t="shared" si="59"/>
        <v>1</v>
      </c>
      <c r="I956" s="5">
        <f t="shared" si="60"/>
        <v>0</v>
      </c>
    </row>
    <row r="957" spans="1:9">
      <c r="A957">
        <v>956</v>
      </c>
      <c r="B957">
        <v>8</v>
      </c>
      <c r="C957">
        <v>5000</v>
      </c>
      <c r="D957">
        <v>4322</v>
      </c>
      <c r="E957" s="5">
        <f t="shared" si="57"/>
        <v>678</v>
      </c>
      <c r="F957" s="5">
        <f t="shared" si="58"/>
        <v>459684</v>
      </c>
      <c r="G957" s="6">
        <f>SQRT(SUM($F$2:F957)/A957)</f>
        <v>1305.7968178464473</v>
      </c>
      <c r="H957" s="5">
        <f t="shared" si="59"/>
        <v>1</v>
      </c>
      <c r="I957" s="5">
        <f t="shared" si="60"/>
        <v>0</v>
      </c>
    </row>
    <row r="958" spans="1:9">
      <c r="A958">
        <v>957</v>
      </c>
      <c r="B958">
        <v>10</v>
      </c>
      <c r="C958">
        <v>5000</v>
      </c>
      <c r="D958">
        <v>6025</v>
      </c>
      <c r="E958" s="5">
        <f t="shared" si="57"/>
        <v>1025</v>
      </c>
      <c r="F958" s="5">
        <f t="shared" si="58"/>
        <v>1050625</v>
      </c>
      <c r="G958" s="6">
        <f>SQRT(SUM($F$2:F958)/A958)</f>
        <v>1305.5349256171853</v>
      </c>
      <c r="H958" s="5">
        <f t="shared" si="59"/>
        <v>0</v>
      </c>
      <c r="I958" s="5">
        <f t="shared" si="60"/>
        <v>0</v>
      </c>
    </row>
    <row r="959" spans="1:9">
      <c r="A959">
        <v>958</v>
      </c>
      <c r="B959">
        <v>8</v>
      </c>
      <c r="C959">
        <v>5000</v>
      </c>
      <c r="D959">
        <v>4930</v>
      </c>
      <c r="E959" s="5">
        <f t="shared" si="57"/>
        <v>70</v>
      </c>
      <c r="F959" s="5">
        <f t="shared" si="58"/>
        <v>4900</v>
      </c>
      <c r="G959" s="6">
        <f>SQRT(SUM($F$2:F959)/A959)</f>
        <v>1304.8553219700207</v>
      </c>
      <c r="H959" s="5">
        <f t="shared" si="59"/>
        <v>1</v>
      </c>
      <c r="I959" s="5">
        <f t="shared" si="60"/>
        <v>1</v>
      </c>
    </row>
    <row r="960" spans="1:9">
      <c r="A960">
        <v>959</v>
      </c>
      <c r="B960">
        <v>9</v>
      </c>
      <c r="C960">
        <v>5000</v>
      </c>
      <c r="D960">
        <v>5588</v>
      </c>
      <c r="E960" s="5">
        <f t="shared" si="57"/>
        <v>588</v>
      </c>
      <c r="F960" s="5">
        <f t="shared" si="58"/>
        <v>345744</v>
      </c>
      <c r="G960" s="6">
        <f>SQRT(SUM($F$2:F960)/A960)</f>
        <v>1304.3130361804888</v>
      </c>
      <c r="H960" s="5">
        <f t="shared" si="59"/>
        <v>1</v>
      </c>
      <c r="I960" s="5">
        <f t="shared" si="60"/>
        <v>0</v>
      </c>
    </row>
    <row r="961" spans="1:9">
      <c r="A961">
        <v>960</v>
      </c>
      <c r="B961">
        <v>8</v>
      </c>
      <c r="C961">
        <v>5000</v>
      </c>
      <c r="D961">
        <v>4894</v>
      </c>
      <c r="E961" s="5">
        <f t="shared" si="57"/>
        <v>106</v>
      </c>
      <c r="F961" s="5">
        <f t="shared" si="58"/>
        <v>11236</v>
      </c>
      <c r="G961" s="6">
        <f>SQRT(SUM($F$2:F961)/A961)</f>
        <v>1303.63801852099</v>
      </c>
      <c r="H961" s="5">
        <f t="shared" si="59"/>
        <v>1</v>
      </c>
      <c r="I961" s="5">
        <f t="shared" si="60"/>
        <v>1</v>
      </c>
    </row>
    <row r="962" spans="1:9">
      <c r="A962">
        <v>961</v>
      </c>
      <c r="B962">
        <v>9</v>
      </c>
      <c r="C962">
        <v>5000</v>
      </c>
      <c r="D962">
        <v>4892</v>
      </c>
      <c r="E962" s="5">
        <f t="shared" si="57"/>
        <v>108</v>
      </c>
      <c r="F962" s="5">
        <f t="shared" si="58"/>
        <v>11664</v>
      </c>
      <c r="G962" s="6">
        <f>SQRT(SUM($F$2:F962)/A962)</f>
        <v>1302.9642279803625</v>
      </c>
      <c r="H962" s="5">
        <f t="shared" si="59"/>
        <v>1</v>
      </c>
      <c r="I962" s="5">
        <f t="shared" si="60"/>
        <v>1</v>
      </c>
    </row>
    <row r="963" spans="1:9">
      <c r="A963">
        <v>962</v>
      </c>
      <c r="B963">
        <v>9</v>
      </c>
      <c r="C963">
        <v>5000</v>
      </c>
      <c r="D963">
        <v>5931</v>
      </c>
      <c r="E963" s="5">
        <f t="shared" ref="E963:E1001" si="61">ABS(C963-D963)</f>
        <v>931</v>
      </c>
      <c r="F963" s="5">
        <f t="shared" ref="F963:F1001" si="62">POWER(E963,2)</f>
        <v>866761</v>
      </c>
      <c r="G963" s="6">
        <f>SQRT(SUM($F$2:F963)/A963)</f>
        <v>1302.6327191651148</v>
      </c>
      <c r="H963" s="5">
        <f t="shared" ref="H963:H1001" si="63">IF(ABS(E963)/C963&gt;0.2,0,1)</f>
        <v>1</v>
      </c>
      <c r="I963" s="5">
        <f t="shared" ref="I963:I1001" si="64">IF(ABS(E963)/C963&gt;0.1,0,1)</f>
        <v>0</v>
      </c>
    </row>
    <row r="964" spans="1:9">
      <c r="A964">
        <v>963</v>
      </c>
      <c r="B964">
        <v>8</v>
      </c>
      <c r="C964">
        <v>5000</v>
      </c>
      <c r="D964">
        <v>5242</v>
      </c>
      <c r="E964" s="5">
        <f t="shared" si="61"/>
        <v>242</v>
      </c>
      <c r="F964" s="5">
        <f t="shared" si="62"/>
        <v>58564</v>
      </c>
      <c r="G964" s="6">
        <f>SQRT(SUM($F$2:F964)/A964)</f>
        <v>1301.9795572103126</v>
      </c>
      <c r="H964" s="5">
        <f t="shared" si="63"/>
        <v>1</v>
      </c>
      <c r="I964" s="5">
        <f t="shared" si="64"/>
        <v>1</v>
      </c>
    </row>
    <row r="965" spans="1:9">
      <c r="A965">
        <v>964</v>
      </c>
      <c r="B965">
        <v>8</v>
      </c>
      <c r="C965">
        <v>5000</v>
      </c>
      <c r="D965">
        <v>4773</v>
      </c>
      <c r="E965" s="5">
        <f t="shared" si="61"/>
        <v>227</v>
      </c>
      <c r="F965" s="5">
        <f t="shared" si="62"/>
        <v>51529</v>
      </c>
      <c r="G965" s="6">
        <f>SQRT(SUM($F$2:F965)/A965)</f>
        <v>1301.3246195934994</v>
      </c>
      <c r="H965" s="5">
        <f t="shared" si="63"/>
        <v>1</v>
      </c>
      <c r="I965" s="5">
        <f t="shared" si="64"/>
        <v>1</v>
      </c>
    </row>
    <row r="966" spans="1:9">
      <c r="A966">
        <v>965</v>
      </c>
      <c r="B966">
        <v>9</v>
      </c>
      <c r="C966">
        <v>5000</v>
      </c>
      <c r="D966">
        <v>5185</v>
      </c>
      <c r="E966" s="5">
        <f t="shared" si="61"/>
        <v>185</v>
      </c>
      <c r="F966" s="5">
        <f t="shared" si="62"/>
        <v>34225</v>
      </c>
      <c r="G966" s="6">
        <f>SQRT(SUM($F$2:F966)/A966)</f>
        <v>1300.6638173652364</v>
      </c>
      <c r="H966" s="5">
        <f t="shared" si="63"/>
        <v>1</v>
      </c>
      <c r="I966" s="5">
        <f t="shared" si="64"/>
        <v>1</v>
      </c>
    </row>
    <row r="967" spans="1:9">
      <c r="A967">
        <v>966</v>
      </c>
      <c r="B967">
        <v>8</v>
      </c>
      <c r="C967">
        <v>5000</v>
      </c>
      <c r="D967">
        <v>4911</v>
      </c>
      <c r="E967" s="5">
        <f t="shared" si="61"/>
        <v>89</v>
      </c>
      <c r="F967" s="5">
        <f t="shared" si="62"/>
        <v>7921</v>
      </c>
      <c r="G967" s="6">
        <f>SQRT(SUM($F$2:F967)/A967)</f>
        <v>1299.9935753942218</v>
      </c>
      <c r="H967" s="5">
        <f t="shared" si="63"/>
        <v>1</v>
      </c>
      <c r="I967" s="5">
        <f t="shared" si="64"/>
        <v>1</v>
      </c>
    </row>
    <row r="968" spans="1:9">
      <c r="A968">
        <v>967</v>
      </c>
      <c r="B968">
        <v>9</v>
      </c>
      <c r="C968">
        <v>5000</v>
      </c>
      <c r="D968">
        <v>5806</v>
      </c>
      <c r="E968" s="5">
        <f t="shared" si="61"/>
        <v>806</v>
      </c>
      <c r="F968" s="5">
        <f t="shared" si="62"/>
        <v>649636</v>
      </c>
      <c r="G968" s="6">
        <f>SQRT(SUM($F$2:F968)/A968)</f>
        <v>1299.5797188739043</v>
      </c>
      <c r="H968" s="5">
        <f t="shared" si="63"/>
        <v>1</v>
      </c>
      <c r="I968" s="5">
        <f t="shared" si="64"/>
        <v>0</v>
      </c>
    </row>
    <row r="969" spans="1:9">
      <c r="A969">
        <v>968</v>
      </c>
      <c r="B969">
        <v>8</v>
      </c>
      <c r="C969">
        <v>5000</v>
      </c>
      <c r="D969">
        <v>5036</v>
      </c>
      <c r="E969" s="5">
        <f t="shared" si="61"/>
        <v>36</v>
      </c>
      <c r="F969" s="5">
        <f t="shared" si="62"/>
        <v>1296</v>
      </c>
      <c r="G969" s="6">
        <f>SQRT(SUM($F$2:F969)/A969)</f>
        <v>1298.9087902753392</v>
      </c>
      <c r="H969" s="5">
        <f t="shared" si="63"/>
        <v>1</v>
      </c>
      <c r="I969" s="5">
        <f t="shared" si="64"/>
        <v>1</v>
      </c>
    </row>
    <row r="970" spans="1:9">
      <c r="A970">
        <v>969</v>
      </c>
      <c r="B970">
        <v>8</v>
      </c>
      <c r="C970">
        <v>5000</v>
      </c>
      <c r="D970">
        <v>5172</v>
      </c>
      <c r="E970" s="5">
        <f t="shared" si="61"/>
        <v>172</v>
      </c>
      <c r="F970" s="5">
        <f t="shared" si="62"/>
        <v>29584</v>
      </c>
      <c r="G970" s="6">
        <f>SQRT(SUM($F$2:F970)/A970)</f>
        <v>1298.2501440525657</v>
      </c>
      <c r="H970" s="5">
        <f t="shared" si="63"/>
        <v>1</v>
      </c>
      <c r="I970" s="5">
        <f t="shared" si="64"/>
        <v>1</v>
      </c>
    </row>
    <row r="971" spans="1:9">
      <c r="A971">
        <v>970</v>
      </c>
      <c r="B971">
        <v>8</v>
      </c>
      <c r="C971">
        <v>5000</v>
      </c>
      <c r="D971">
        <v>4908</v>
      </c>
      <c r="E971" s="5">
        <f t="shared" si="61"/>
        <v>92</v>
      </c>
      <c r="F971" s="5">
        <f t="shared" si="62"/>
        <v>8464</v>
      </c>
      <c r="G971" s="6">
        <f>SQRT(SUM($F$2:F971)/A971)</f>
        <v>1297.5841327032706</v>
      </c>
      <c r="H971" s="5">
        <f t="shared" si="63"/>
        <v>1</v>
      </c>
      <c r="I971" s="5">
        <f t="shared" si="64"/>
        <v>1</v>
      </c>
    </row>
    <row r="972" spans="1:9">
      <c r="A972">
        <v>971</v>
      </c>
      <c r="B972">
        <v>8</v>
      </c>
      <c r="C972">
        <v>5000</v>
      </c>
      <c r="D972">
        <v>4518</v>
      </c>
      <c r="E972" s="5">
        <f t="shared" si="61"/>
        <v>482</v>
      </c>
      <c r="F972" s="5">
        <f t="shared" si="62"/>
        <v>232324</v>
      </c>
      <c r="G972" s="6">
        <f>SQRT(SUM($F$2:F972)/A972)</f>
        <v>1297.0080312633722</v>
      </c>
      <c r="H972" s="5">
        <f t="shared" si="63"/>
        <v>1</v>
      </c>
      <c r="I972" s="5">
        <f t="shared" si="64"/>
        <v>1</v>
      </c>
    </row>
    <row r="973" spans="1:9">
      <c r="A973">
        <v>972</v>
      </c>
      <c r="B973">
        <v>9</v>
      </c>
      <c r="C973">
        <v>5000</v>
      </c>
      <c r="D973">
        <v>5717</v>
      </c>
      <c r="E973" s="5">
        <f t="shared" si="61"/>
        <v>717</v>
      </c>
      <c r="F973" s="5">
        <f t="shared" si="62"/>
        <v>514089</v>
      </c>
      <c r="G973" s="6">
        <f>SQRT(SUM($F$2:F973)/A973)</f>
        <v>1296.5446549120743</v>
      </c>
      <c r="H973" s="5">
        <f t="shared" si="63"/>
        <v>1</v>
      </c>
      <c r="I973" s="5">
        <f t="shared" si="64"/>
        <v>0</v>
      </c>
    </row>
    <row r="974" spans="1:9">
      <c r="A974">
        <v>973</v>
      </c>
      <c r="B974">
        <v>8</v>
      </c>
      <c r="C974">
        <v>5000</v>
      </c>
      <c r="D974">
        <v>4496</v>
      </c>
      <c r="E974" s="5">
        <f t="shared" si="61"/>
        <v>504</v>
      </c>
      <c r="F974" s="5">
        <f t="shared" si="62"/>
        <v>254016</v>
      </c>
      <c r="G974" s="6">
        <f>SQRT(SUM($F$2:F974)/A974)</f>
        <v>1295.9789472266423</v>
      </c>
      <c r="H974" s="5">
        <f t="shared" si="63"/>
        <v>1</v>
      </c>
      <c r="I974" s="5">
        <f t="shared" si="64"/>
        <v>0</v>
      </c>
    </row>
    <row r="975" spans="1:9">
      <c r="A975">
        <v>974</v>
      </c>
      <c r="B975">
        <v>9</v>
      </c>
      <c r="C975">
        <v>5000</v>
      </c>
      <c r="D975">
        <v>5391</v>
      </c>
      <c r="E975" s="5">
        <f t="shared" si="61"/>
        <v>391</v>
      </c>
      <c r="F975" s="5">
        <f t="shared" si="62"/>
        <v>152881</v>
      </c>
      <c r="G975" s="6">
        <f>SQRT(SUM($F$2:F975)/A975)</f>
        <v>1295.3740764530576</v>
      </c>
      <c r="H975" s="5">
        <f t="shared" si="63"/>
        <v>1</v>
      </c>
      <c r="I975" s="5">
        <f t="shared" si="64"/>
        <v>1</v>
      </c>
    </row>
    <row r="976" spans="1:9">
      <c r="A976">
        <v>975</v>
      </c>
      <c r="B976">
        <v>8</v>
      </c>
      <c r="C976">
        <v>5000</v>
      </c>
      <c r="D976">
        <v>4773</v>
      </c>
      <c r="E976" s="5">
        <f t="shared" si="61"/>
        <v>227</v>
      </c>
      <c r="F976" s="5">
        <f t="shared" si="62"/>
        <v>51529</v>
      </c>
      <c r="G976" s="6">
        <f>SQRT(SUM($F$2:F976)/A976)</f>
        <v>1294.7300215558257</v>
      </c>
      <c r="H976" s="5">
        <f t="shared" si="63"/>
        <v>1</v>
      </c>
      <c r="I976" s="5">
        <f t="shared" si="64"/>
        <v>1</v>
      </c>
    </row>
    <row r="977" spans="1:9">
      <c r="A977">
        <v>976</v>
      </c>
      <c r="B977">
        <v>9</v>
      </c>
      <c r="C977">
        <v>5000</v>
      </c>
      <c r="D977">
        <v>5319</v>
      </c>
      <c r="E977" s="5">
        <f t="shared" si="61"/>
        <v>319</v>
      </c>
      <c r="F977" s="5">
        <f t="shared" si="62"/>
        <v>101761</v>
      </c>
      <c r="G977" s="6">
        <f>SQRT(SUM($F$2:F977)/A977)</f>
        <v>1294.1068522660589</v>
      </c>
      <c r="H977" s="5">
        <f t="shared" si="63"/>
        <v>1</v>
      </c>
      <c r="I977" s="5">
        <f t="shared" si="64"/>
        <v>1</v>
      </c>
    </row>
    <row r="978" spans="1:9">
      <c r="A978">
        <v>977</v>
      </c>
      <c r="B978">
        <v>8</v>
      </c>
      <c r="C978">
        <v>5000</v>
      </c>
      <c r="D978">
        <v>5222</v>
      </c>
      <c r="E978" s="5">
        <f t="shared" si="61"/>
        <v>222</v>
      </c>
      <c r="F978" s="5">
        <f t="shared" si="62"/>
        <v>49284</v>
      </c>
      <c r="G978" s="6">
        <f>SQRT(SUM($F$2:F978)/A978)</f>
        <v>1293.4638965145061</v>
      </c>
      <c r="H978" s="5">
        <f t="shared" si="63"/>
        <v>1</v>
      </c>
      <c r="I978" s="5">
        <f t="shared" si="64"/>
        <v>1</v>
      </c>
    </row>
    <row r="979" spans="1:9">
      <c r="A979">
        <v>978</v>
      </c>
      <c r="B979">
        <v>8</v>
      </c>
      <c r="C979">
        <v>5000</v>
      </c>
      <c r="D979">
        <v>5466</v>
      </c>
      <c r="E979" s="5">
        <f t="shared" si="61"/>
        <v>466</v>
      </c>
      <c r="F979" s="5">
        <f t="shared" si="62"/>
        <v>217156</v>
      </c>
      <c r="G979" s="6">
        <f>SQRT(SUM($F$2:F979)/A979)</f>
        <v>1292.8883202306984</v>
      </c>
      <c r="H979" s="5">
        <f t="shared" si="63"/>
        <v>1</v>
      </c>
      <c r="I979" s="5">
        <f t="shared" si="64"/>
        <v>1</v>
      </c>
    </row>
    <row r="980" spans="1:9">
      <c r="A980">
        <v>979</v>
      </c>
      <c r="B980">
        <v>8</v>
      </c>
      <c r="C980">
        <v>5000</v>
      </c>
      <c r="D980">
        <v>5151</v>
      </c>
      <c r="E980" s="5">
        <f t="shared" si="61"/>
        <v>151</v>
      </c>
      <c r="F980" s="5">
        <f t="shared" si="62"/>
        <v>22801</v>
      </c>
      <c r="G980" s="6">
        <f>SQRT(SUM($F$2:F980)/A980)</f>
        <v>1292.2368524142496</v>
      </c>
      <c r="H980" s="5">
        <f t="shared" si="63"/>
        <v>1</v>
      </c>
      <c r="I980" s="5">
        <f t="shared" si="64"/>
        <v>1</v>
      </c>
    </row>
    <row r="981" spans="1:9">
      <c r="A981">
        <v>980</v>
      </c>
      <c r="B981">
        <v>8</v>
      </c>
      <c r="C981">
        <v>5000</v>
      </c>
      <c r="D981">
        <v>3729</v>
      </c>
      <c r="E981" s="5">
        <f t="shared" si="61"/>
        <v>1271</v>
      </c>
      <c r="F981" s="5">
        <f t="shared" si="62"/>
        <v>1615441</v>
      </c>
      <c r="G981" s="6">
        <f>SQRT(SUM($F$2:F981)/A981)</f>
        <v>1292.215360044406</v>
      </c>
      <c r="H981" s="5">
        <f t="shared" si="63"/>
        <v>0</v>
      </c>
      <c r="I981" s="5">
        <f t="shared" si="64"/>
        <v>0</v>
      </c>
    </row>
    <row r="982" spans="1:9">
      <c r="A982">
        <v>981</v>
      </c>
      <c r="B982">
        <v>10</v>
      </c>
      <c r="C982">
        <v>5000</v>
      </c>
      <c r="D982">
        <v>3169</v>
      </c>
      <c r="E982" s="5">
        <f t="shared" si="61"/>
        <v>1831</v>
      </c>
      <c r="F982" s="5">
        <f t="shared" si="62"/>
        <v>3352561</v>
      </c>
      <c r="G982" s="6">
        <f>SQRT(SUM($F$2:F982)/A982)</f>
        <v>1292.8789071299482</v>
      </c>
      <c r="H982" s="5">
        <f t="shared" si="63"/>
        <v>0</v>
      </c>
      <c r="I982" s="5">
        <f t="shared" si="64"/>
        <v>0</v>
      </c>
    </row>
    <row r="983" spans="1:9">
      <c r="A983">
        <v>982</v>
      </c>
      <c r="B983">
        <v>11</v>
      </c>
      <c r="C983">
        <v>5000</v>
      </c>
      <c r="D983">
        <v>2777</v>
      </c>
      <c r="E983" s="5">
        <f t="shared" si="61"/>
        <v>2223</v>
      </c>
      <c r="F983" s="5">
        <f t="shared" si="62"/>
        <v>4941729</v>
      </c>
      <c r="G983" s="6">
        <f>SQRT(SUM($F$2:F983)/A983)</f>
        <v>1294.1661423763642</v>
      </c>
      <c r="H983" s="5">
        <f t="shared" si="63"/>
        <v>0</v>
      </c>
      <c r="I983" s="5">
        <f t="shared" si="64"/>
        <v>0</v>
      </c>
    </row>
    <row r="984" spans="1:9">
      <c r="A984">
        <v>983</v>
      </c>
      <c r="B984">
        <v>11</v>
      </c>
      <c r="C984">
        <v>5000</v>
      </c>
      <c r="D984">
        <v>5559</v>
      </c>
      <c r="E984" s="5">
        <f t="shared" si="61"/>
        <v>559</v>
      </c>
      <c r="F984" s="5">
        <f t="shared" si="62"/>
        <v>312481</v>
      </c>
      <c r="G984" s="6">
        <f>SQRT(SUM($F$2:F984)/A984)</f>
        <v>1293.6305724532633</v>
      </c>
      <c r="H984" s="5">
        <f t="shared" si="63"/>
        <v>1</v>
      </c>
      <c r="I984" s="5">
        <f t="shared" si="64"/>
        <v>0</v>
      </c>
    </row>
    <row r="985" spans="1:9">
      <c r="A985">
        <v>984</v>
      </c>
      <c r="B985">
        <v>9</v>
      </c>
      <c r="C985">
        <v>5000</v>
      </c>
      <c r="D985">
        <v>4801</v>
      </c>
      <c r="E985" s="5">
        <f t="shared" si="61"/>
        <v>199</v>
      </c>
      <c r="F985" s="5">
        <f t="shared" si="62"/>
        <v>39601</v>
      </c>
      <c r="G985" s="6">
        <f>SQRT(SUM($F$2:F985)/A985)</f>
        <v>1292.9886355991757</v>
      </c>
      <c r="H985" s="5">
        <f t="shared" si="63"/>
        <v>1</v>
      </c>
      <c r="I985" s="5">
        <f t="shared" si="64"/>
        <v>1</v>
      </c>
    </row>
    <row r="986" spans="1:9">
      <c r="A986">
        <v>985</v>
      </c>
      <c r="B986">
        <v>9</v>
      </c>
      <c r="C986">
        <v>5000</v>
      </c>
      <c r="D986">
        <v>4136</v>
      </c>
      <c r="E986" s="5">
        <f t="shared" si="61"/>
        <v>864</v>
      </c>
      <c r="F986" s="5">
        <f t="shared" si="62"/>
        <v>746496</v>
      </c>
      <c r="G986" s="6">
        <f>SQRT(SUM($F$2:F986)/A986)</f>
        <v>1292.6253118960324</v>
      </c>
      <c r="H986" s="5">
        <f t="shared" si="63"/>
        <v>1</v>
      </c>
      <c r="I986" s="5">
        <f t="shared" si="64"/>
        <v>0</v>
      </c>
    </row>
    <row r="987" spans="1:9">
      <c r="A987">
        <v>986</v>
      </c>
      <c r="B987">
        <v>10</v>
      </c>
      <c r="C987">
        <v>5000</v>
      </c>
      <c r="D987">
        <v>5406</v>
      </c>
      <c r="E987" s="5">
        <f t="shared" si="61"/>
        <v>406</v>
      </c>
      <c r="F987" s="5">
        <f t="shared" si="62"/>
        <v>164836</v>
      </c>
      <c r="G987" s="6">
        <f>SQRT(SUM($F$2:F987)/A987)</f>
        <v>1292.0343527796301</v>
      </c>
      <c r="H987" s="5">
        <f t="shared" si="63"/>
        <v>1</v>
      </c>
      <c r="I987" s="5">
        <f t="shared" si="64"/>
        <v>1</v>
      </c>
    </row>
    <row r="988" spans="1:9">
      <c r="A988">
        <v>987</v>
      </c>
      <c r="B988">
        <v>9</v>
      </c>
      <c r="C988">
        <v>5000</v>
      </c>
      <c r="D988">
        <v>5226</v>
      </c>
      <c r="E988" s="5">
        <f t="shared" si="61"/>
        <v>226</v>
      </c>
      <c r="F988" s="5">
        <f t="shared" si="62"/>
        <v>51076</v>
      </c>
      <c r="G988" s="6">
        <f>SQRT(SUM($F$2:F988)/A988)</f>
        <v>1291.3996969586776</v>
      </c>
      <c r="H988" s="5">
        <f t="shared" si="63"/>
        <v>1</v>
      </c>
      <c r="I988" s="5">
        <f t="shared" si="64"/>
        <v>1</v>
      </c>
    </row>
    <row r="989" spans="1:9">
      <c r="A989">
        <v>988</v>
      </c>
      <c r="B989">
        <v>9</v>
      </c>
      <c r="C989">
        <v>5000</v>
      </c>
      <c r="D989">
        <v>4786</v>
      </c>
      <c r="E989" s="5">
        <f t="shared" si="61"/>
        <v>214</v>
      </c>
      <c r="F989" s="5">
        <f t="shared" si="62"/>
        <v>45796</v>
      </c>
      <c r="G989" s="6">
        <f>SQRT(SUM($F$2:F989)/A989)</f>
        <v>1290.7639446191333</v>
      </c>
      <c r="H989" s="5">
        <f t="shared" si="63"/>
        <v>1</v>
      </c>
      <c r="I989" s="5">
        <f t="shared" si="64"/>
        <v>1</v>
      </c>
    </row>
    <row r="990" spans="1:9">
      <c r="A990">
        <v>989</v>
      </c>
      <c r="B990">
        <v>10</v>
      </c>
      <c r="C990">
        <v>5000</v>
      </c>
      <c r="D990">
        <v>6145</v>
      </c>
      <c r="E990" s="5">
        <f t="shared" si="61"/>
        <v>1145</v>
      </c>
      <c r="F990" s="5">
        <f t="shared" si="62"/>
        <v>1311025</v>
      </c>
      <c r="G990" s="6">
        <f>SQRT(SUM($F$2:F990)/A990)</f>
        <v>1290.6248739340922</v>
      </c>
      <c r="H990" s="5">
        <f t="shared" si="63"/>
        <v>0</v>
      </c>
      <c r="I990" s="5">
        <f t="shared" si="64"/>
        <v>0</v>
      </c>
    </row>
    <row r="991" spans="1:9">
      <c r="A991">
        <v>990</v>
      </c>
      <c r="B991">
        <v>8</v>
      </c>
      <c r="C991">
        <v>5000</v>
      </c>
      <c r="D991">
        <v>4767</v>
      </c>
      <c r="E991" s="5">
        <f t="shared" si="61"/>
        <v>233</v>
      </c>
      <c r="F991" s="5">
        <f t="shared" si="62"/>
        <v>54289</v>
      </c>
      <c r="G991" s="6">
        <f>SQRT(SUM($F$2:F991)/A991)</f>
        <v>1289.9941335705619</v>
      </c>
      <c r="H991" s="5">
        <f t="shared" si="63"/>
        <v>1</v>
      </c>
      <c r="I991" s="5">
        <f t="shared" si="64"/>
        <v>1</v>
      </c>
    </row>
    <row r="992" spans="1:9">
      <c r="A992">
        <v>991</v>
      </c>
      <c r="B992">
        <v>9</v>
      </c>
      <c r="C992">
        <v>5000</v>
      </c>
      <c r="D992">
        <v>4966</v>
      </c>
      <c r="E992" s="5">
        <f t="shared" si="61"/>
        <v>34</v>
      </c>
      <c r="F992" s="5">
        <f t="shared" si="62"/>
        <v>1156</v>
      </c>
      <c r="G992" s="6">
        <f>SQRT(SUM($F$2:F992)/A992)</f>
        <v>1289.3435668980994</v>
      </c>
      <c r="H992" s="5">
        <f t="shared" si="63"/>
        <v>1</v>
      </c>
      <c r="I992" s="5">
        <f t="shared" si="64"/>
        <v>1</v>
      </c>
    </row>
    <row r="993" spans="1:9">
      <c r="A993">
        <v>992</v>
      </c>
      <c r="B993">
        <v>9</v>
      </c>
      <c r="C993">
        <v>5000</v>
      </c>
      <c r="D993">
        <v>5796</v>
      </c>
      <c r="E993" s="5">
        <f t="shared" si="61"/>
        <v>796</v>
      </c>
      <c r="F993" s="5">
        <f t="shared" si="62"/>
        <v>633616</v>
      </c>
      <c r="G993" s="6">
        <f>SQRT(SUM($F$2:F993)/A993)</f>
        <v>1288.9413275893289</v>
      </c>
      <c r="H993" s="5">
        <f t="shared" si="63"/>
        <v>1</v>
      </c>
      <c r="I993" s="5">
        <f t="shared" si="64"/>
        <v>0</v>
      </c>
    </row>
    <row r="994" spans="1:9">
      <c r="A994">
        <v>993</v>
      </c>
      <c r="B994">
        <v>8</v>
      </c>
      <c r="C994">
        <v>5000</v>
      </c>
      <c r="D994">
        <v>4486</v>
      </c>
      <c r="E994" s="5">
        <f t="shared" si="61"/>
        <v>514</v>
      </c>
      <c r="F994" s="5">
        <f t="shared" si="62"/>
        <v>264196</v>
      </c>
      <c r="G994" s="6">
        <f>SQRT(SUM($F$2:F994)/A994)</f>
        <v>1288.3954063335643</v>
      </c>
      <c r="H994" s="5">
        <f t="shared" si="63"/>
        <v>1</v>
      </c>
      <c r="I994" s="5">
        <f t="shared" si="64"/>
        <v>0</v>
      </c>
    </row>
    <row r="995" spans="1:9">
      <c r="A995">
        <v>994</v>
      </c>
      <c r="B995">
        <v>10</v>
      </c>
      <c r="C995">
        <v>5000</v>
      </c>
      <c r="D995">
        <v>6487</v>
      </c>
      <c r="E995" s="5">
        <f t="shared" si="61"/>
        <v>1487</v>
      </c>
      <c r="F995" s="5">
        <f t="shared" si="62"/>
        <v>2211169</v>
      </c>
      <c r="G995" s="6">
        <f>SQRT(SUM($F$2:F995)/A995)</f>
        <v>1288.6105915051432</v>
      </c>
      <c r="H995" s="5">
        <f t="shared" si="63"/>
        <v>0</v>
      </c>
      <c r="I995" s="5">
        <f t="shared" si="64"/>
        <v>0</v>
      </c>
    </row>
    <row r="996" spans="1:9">
      <c r="A996">
        <v>995</v>
      </c>
      <c r="B996">
        <v>7</v>
      </c>
      <c r="C996">
        <v>5000</v>
      </c>
      <c r="D996">
        <v>4479</v>
      </c>
      <c r="E996" s="5">
        <f t="shared" si="61"/>
        <v>521</v>
      </c>
      <c r="F996" s="5">
        <f t="shared" si="62"/>
        <v>271441</v>
      </c>
      <c r="G996" s="6">
        <f>SQRT(SUM($F$2:F996)/A996)</f>
        <v>1288.0687869830556</v>
      </c>
      <c r="H996" s="5">
        <f t="shared" si="63"/>
        <v>1</v>
      </c>
      <c r="I996" s="5">
        <f t="shared" si="64"/>
        <v>0</v>
      </c>
    </row>
    <row r="997" spans="1:9">
      <c r="A997">
        <v>996</v>
      </c>
      <c r="B997">
        <v>9</v>
      </c>
      <c r="C997">
        <v>5000</v>
      </c>
      <c r="D997">
        <v>6059</v>
      </c>
      <c r="E997" s="5">
        <f t="shared" si="61"/>
        <v>1059</v>
      </c>
      <c r="F997" s="5">
        <f t="shared" si="62"/>
        <v>1121481</v>
      </c>
      <c r="G997" s="6">
        <f>SQRT(SUM($F$2:F997)/A997)</f>
        <v>1287.8592316718507</v>
      </c>
      <c r="H997" s="5">
        <f t="shared" si="63"/>
        <v>0</v>
      </c>
      <c r="I997" s="5">
        <f t="shared" si="64"/>
        <v>0</v>
      </c>
    </row>
    <row r="998" spans="1:9">
      <c r="A998">
        <v>997</v>
      </c>
      <c r="B998">
        <v>8</v>
      </c>
      <c r="C998">
        <v>5000</v>
      </c>
      <c r="D998">
        <v>5118</v>
      </c>
      <c r="E998" s="5">
        <f t="shared" si="61"/>
        <v>118</v>
      </c>
      <c r="F998" s="5">
        <f t="shared" si="62"/>
        <v>13924</v>
      </c>
      <c r="G998" s="6">
        <f>SQRT(SUM($F$2:F998)/A998)</f>
        <v>1287.2186272670037</v>
      </c>
      <c r="H998" s="5">
        <f t="shared" si="63"/>
        <v>1</v>
      </c>
      <c r="I998" s="5">
        <f t="shared" si="64"/>
        <v>1</v>
      </c>
    </row>
    <row r="999" spans="1:9">
      <c r="A999">
        <v>998</v>
      </c>
      <c r="B999">
        <v>8</v>
      </c>
      <c r="C999">
        <v>5000</v>
      </c>
      <c r="D999">
        <v>5032</v>
      </c>
      <c r="E999" s="5">
        <f t="shared" si="61"/>
        <v>32</v>
      </c>
      <c r="F999" s="5">
        <f t="shared" si="62"/>
        <v>1024</v>
      </c>
      <c r="G999" s="6">
        <f>SQRT(SUM($F$2:F999)/A999)</f>
        <v>1286.5739652799882</v>
      </c>
      <c r="H999" s="5">
        <f t="shared" si="63"/>
        <v>1</v>
      </c>
      <c r="I999" s="5">
        <f t="shared" si="64"/>
        <v>1</v>
      </c>
    </row>
    <row r="1000" spans="1:9">
      <c r="A1000">
        <v>999</v>
      </c>
      <c r="B1000">
        <v>9</v>
      </c>
      <c r="C1000">
        <v>5000</v>
      </c>
      <c r="D1000">
        <v>5972</v>
      </c>
      <c r="E1000" s="5">
        <f t="shared" si="61"/>
        <v>972</v>
      </c>
      <c r="F1000" s="5">
        <f t="shared" si="62"/>
        <v>944784</v>
      </c>
      <c r="G1000" s="6">
        <f>SQRT(SUM($F$2:F1000)/A1000)</f>
        <v>1286.297542704785</v>
      </c>
      <c r="H1000" s="5">
        <f t="shared" si="63"/>
        <v>1</v>
      </c>
      <c r="I1000" s="5">
        <f t="shared" si="64"/>
        <v>0</v>
      </c>
    </row>
    <row r="1001" spans="1:9">
      <c r="A1001">
        <v>1000</v>
      </c>
      <c r="B1001">
        <v>7</v>
      </c>
      <c r="C1001">
        <v>5000</v>
      </c>
      <c r="D1001">
        <v>5260</v>
      </c>
      <c r="E1001" s="5">
        <f t="shared" si="61"/>
        <v>260</v>
      </c>
      <c r="F1001" s="5">
        <f t="shared" si="62"/>
        <v>67600</v>
      </c>
      <c r="G1001" s="6">
        <f>SQRT(SUM($F$2:F1001)/A1001)</f>
        <v>1285.6805229138379</v>
      </c>
      <c r="H1001" s="5">
        <f t="shared" si="63"/>
        <v>1</v>
      </c>
      <c r="I1001" s="5">
        <f t="shared" si="64"/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1"/>
  <sheetViews>
    <sheetView workbookViewId="0">
      <selection activeCell="A2" sqref="A2:D1001"/>
    </sheetView>
  </sheetViews>
  <sheetFormatPr defaultRowHeight="14.5"/>
  <sheetData>
    <row r="1" spans="1:9" ht="43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</row>
    <row r="2" spans="1:9">
      <c r="A2">
        <v>1</v>
      </c>
      <c r="B2">
        <v>1</v>
      </c>
      <c r="C2">
        <v>5000</v>
      </c>
      <c r="D2">
        <v>1355</v>
      </c>
      <c r="E2" s="5">
        <f>ABS(C2-D2)</f>
        <v>3645</v>
      </c>
      <c r="F2" s="5">
        <f>POWER(E2,2)</f>
        <v>13286025</v>
      </c>
      <c r="G2" s="6">
        <f>SQRT(SUM($F$2:F2)/A2)</f>
        <v>3645</v>
      </c>
      <c r="H2" s="5">
        <f t="shared" ref="H2" si="0">IF(ABS(E2)/C2&gt;0.2,0,1)</f>
        <v>0</v>
      </c>
      <c r="I2" s="5">
        <f>IF(ABS(E2)/C2&gt;0.1,0,1)</f>
        <v>0</v>
      </c>
    </row>
    <row r="3" spans="1:9">
      <c r="A3">
        <v>2</v>
      </c>
      <c r="B3">
        <v>5</v>
      </c>
      <c r="C3">
        <v>5000</v>
      </c>
      <c r="D3">
        <v>3581</v>
      </c>
      <c r="E3" s="5">
        <f t="shared" ref="E3:E66" si="1">ABS(C3-D3)</f>
        <v>1419</v>
      </c>
      <c r="F3" s="5">
        <f t="shared" ref="F3:F66" si="2">POWER(E3,2)</f>
        <v>2013561</v>
      </c>
      <c r="G3" s="6">
        <f>SQRT(SUM($F$2:F3)/A3)</f>
        <v>2765.8259164307506</v>
      </c>
      <c r="H3" s="5">
        <f t="shared" ref="H3:H66" si="3">IF(ABS(E3)/C3&gt;0.2,0,1)</f>
        <v>0</v>
      </c>
      <c r="I3" s="5">
        <f t="shared" ref="I3:I66" si="4">IF(ABS(E3)/C3&gt;0.1,0,1)</f>
        <v>0</v>
      </c>
    </row>
    <row r="4" spans="1:9">
      <c r="A4">
        <v>3</v>
      </c>
      <c r="B4">
        <v>3</v>
      </c>
      <c r="C4">
        <v>5000</v>
      </c>
      <c r="D4">
        <v>1962</v>
      </c>
      <c r="E4" s="5">
        <f t="shared" si="1"/>
        <v>3038</v>
      </c>
      <c r="F4" s="5">
        <f t="shared" si="2"/>
        <v>9229444</v>
      </c>
      <c r="G4" s="6">
        <f>SQRT(SUM($F$2:F4)/A4)</f>
        <v>2859.4305959986741</v>
      </c>
      <c r="H4" s="5">
        <f t="shared" si="3"/>
        <v>0</v>
      </c>
      <c r="I4" s="5">
        <f t="shared" si="4"/>
        <v>0</v>
      </c>
    </row>
    <row r="5" spans="1:9">
      <c r="A5">
        <v>4</v>
      </c>
      <c r="B5">
        <v>5</v>
      </c>
      <c r="C5">
        <v>5000</v>
      </c>
      <c r="D5">
        <v>3999</v>
      </c>
      <c r="E5" s="5">
        <f t="shared" si="1"/>
        <v>1001</v>
      </c>
      <c r="F5" s="5">
        <f t="shared" si="2"/>
        <v>1002001</v>
      </c>
      <c r="G5" s="6">
        <f>SQRT(SUM($F$2:F5)/A5)</f>
        <v>2526.4120309244886</v>
      </c>
      <c r="H5" s="5">
        <f t="shared" si="3"/>
        <v>0</v>
      </c>
      <c r="I5" s="5">
        <f t="shared" si="4"/>
        <v>0</v>
      </c>
    </row>
    <row r="6" spans="1:9">
      <c r="A6">
        <v>5</v>
      </c>
      <c r="B6">
        <v>4</v>
      </c>
      <c r="C6">
        <v>5000</v>
      </c>
      <c r="D6">
        <v>2970</v>
      </c>
      <c r="E6" s="5">
        <f t="shared" si="1"/>
        <v>2030</v>
      </c>
      <c r="F6" s="5">
        <f t="shared" si="2"/>
        <v>4120900</v>
      </c>
      <c r="G6" s="6">
        <f>SQRT(SUM($F$2:F6)/A6)</f>
        <v>2435.2384277519932</v>
      </c>
      <c r="H6" s="5">
        <f t="shared" si="3"/>
        <v>0</v>
      </c>
      <c r="I6" s="5">
        <f t="shared" si="4"/>
        <v>0</v>
      </c>
    </row>
    <row r="7" spans="1:9">
      <c r="A7">
        <v>6</v>
      </c>
      <c r="B7">
        <v>5</v>
      </c>
      <c r="C7">
        <v>5000</v>
      </c>
      <c r="D7">
        <v>3094</v>
      </c>
      <c r="E7" s="5">
        <f t="shared" si="1"/>
        <v>1906</v>
      </c>
      <c r="F7" s="5">
        <f t="shared" si="2"/>
        <v>3632836</v>
      </c>
      <c r="G7" s="6">
        <f>SQRT(SUM($F$2:F7)/A7)</f>
        <v>2355.3048988754445</v>
      </c>
      <c r="H7" s="5">
        <f t="shared" si="3"/>
        <v>0</v>
      </c>
      <c r="I7" s="5">
        <f t="shared" si="4"/>
        <v>0</v>
      </c>
    </row>
    <row r="8" spans="1:9">
      <c r="A8">
        <v>7</v>
      </c>
      <c r="B8">
        <v>6</v>
      </c>
      <c r="C8">
        <v>5000</v>
      </c>
      <c r="D8">
        <v>4772</v>
      </c>
      <c r="E8" s="5">
        <f t="shared" si="1"/>
        <v>228</v>
      </c>
      <c r="F8" s="5">
        <f t="shared" si="2"/>
        <v>51984</v>
      </c>
      <c r="G8" s="6">
        <f>SQRT(SUM($F$2:F8)/A8)</f>
        <v>2182.2907688940077</v>
      </c>
      <c r="H8" s="5">
        <f t="shared" si="3"/>
        <v>1</v>
      </c>
      <c r="I8" s="5">
        <f t="shared" si="4"/>
        <v>1</v>
      </c>
    </row>
    <row r="9" spans="1:9">
      <c r="A9">
        <v>8</v>
      </c>
      <c r="B9">
        <v>4</v>
      </c>
      <c r="C9">
        <v>5000</v>
      </c>
      <c r="D9">
        <v>3744</v>
      </c>
      <c r="E9" s="5">
        <f t="shared" si="1"/>
        <v>1256</v>
      </c>
      <c r="F9" s="5">
        <f t="shared" si="2"/>
        <v>1577536</v>
      </c>
      <c r="G9" s="6">
        <f>SQRT(SUM($F$2:F9)/A9)</f>
        <v>2089.0873306302924</v>
      </c>
      <c r="H9" s="5">
        <f t="shared" si="3"/>
        <v>0</v>
      </c>
      <c r="I9" s="5">
        <f t="shared" si="4"/>
        <v>0</v>
      </c>
    </row>
    <row r="10" spans="1:9">
      <c r="A10">
        <v>9</v>
      </c>
      <c r="B10">
        <v>5</v>
      </c>
      <c r="C10">
        <v>5000</v>
      </c>
      <c r="D10">
        <v>4079</v>
      </c>
      <c r="E10" s="5">
        <f t="shared" si="1"/>
        <v>921</v>
      </c>
      <c r="F10" s="5">
        <f t="shared" si="2"/>
        <v>848241</v>
      </c>
      <c r="G10" s="6">
        <f>SQRT(SUM($F$2:F10)/A10)</f>
        <v>1993.3926412581698</v>
      </c>
      <c r="H10" s="5">
        <f t="shared" si="3"/>
        <v>1</v>
      </c>
      <c r="I10" s="5">
        <f t="shared" si="4"/>
        <v>0</v>
      </c>
    </row>
    <row r="11" spans="1:9">
      <c r="A11">
        <v>10</v>
      </c>
      <c r="B11">
        <v>5</v>
      </c>
      <c r="C11">
        <v>5000</v>
      </c>
      <c r="D11">
        <v>4269</v>
      </c>
      <c r="E11" s="5">
        <f t="shared" si="1"/>
        <v>731</v>
      </c>
      <c r="F11" s="5">
        <f t="shared" si="2"/>
        <v>534361</v>
      </c>
      <c r="G11" s="6">
        <f>SQRT(SUM($F$2:F11)/A11)</f>
        <v>1905.1742439997449</v>
      </c>
      <c r="H11" s="5">
        <f t="shared" si="3"/>
        <v>1</v>
      </c>
      <c r="I11" s="5">
        <f t="shared" si="4"/>
        <v>0</v>
      </c>
    </row>
    <row r="12" spans="1:9">
      <c r="A12">
        <v>11</v>
      </c>
      <c r="B12">
        <v>5</v>
      </c>
      <c r="C12">
        <v>5000</v>
      </c>
      <c r="D12">
        <v>4128</v>
      </c>
      <c r="E12" s="5">
        <f t="shared" si="1"/>
        <v>872</v>
      </c>
      <c r="F12" s="5">
        <f t="shared" si="2"/>
        <v>760384</v>
      </c>
      <c r="G12" s="6">
        <f>SQRT(SUM($F$2:F12)/A12)</f>
        <v>1835.4408189860005</v>
      </c>
      <c r="H12" s="5">
        <f t="shared" si="3"/>
        <v>1</v>
      </c>
      <c r="I12" s="5">
        <f t="shared" si="4"/>
        <v>0</v>
      </c>
    </row>
    <row r="13" spans="1:9">
      <c r="A13">
        <v>12</v>
      </c>
      <c r="B13">
        <v>6</v>
      </c>
      <c r="C13">
        <v>5000</v>
      </c>
      <c r="D13">
        <v>4240</v>
      </c>
      <c r="E13" s="5">
        <f t="shared" si="1"/>
        <v>760</v>
      </c>
      <c r="F13" s="5">
        <f t="shared" si="2"/>
        <v>577600</v>
      </c>
      <c r="G13" s="6">
        <f>SQRT(SUM($F$2:F13)/A13)</f>
        <v>1770.943086794905</v>
      </c>
      <c r="H13" s="5">
        <f t="shared" si="3"/>
        <v>1</v>
      </c>
      <c r="I13" s="5">
        <f t="shared" si="4"/>
        <v>0</v>
      </c>
    </row>
    <row r="14" spans="1:9">
      <c r="A14">
        <v>13</v>
      </c>
      <c r="B14">
        <v>6</v>
      </c>
      <c r="C14">
        <v>5000</v>
      </c>
      <c r="D14">
        <v>5189</v>
      </c>
      <c r="E14" s="5">
        <f t="shared" si="1"/>
        <v>189</v>
      </c>
      <c r="F14" s="5">
        <f t="shared" si="2"/>
        <v>35721</v>
      </c>
      <c r="G14" s="6">
        <f>SQRT(SUM($F$2:F14)/A14)</f>
        <v>1702.2743609653528</v>
      </c>
      <c r="H14" s="5">
        <f t="shared" si="3"/>
        <v>1</v>
      </c>
      <c r="I14" s="5">
        <f t="shared" si="4"/>
        <v>1</v>
      </c>
    </row>
    <row r="15" spans="1:9">
      <c r="A15">
        <v>14</v>
      </c>
      <c r="B15">
        <v>5</v>
      </c>
      <c r="C15">
        <v>5000</v>
      </c>
      <c r="D15">
        <v>3908</v>
      </c>
      <c r="E15" s="5">
        <f t="shared" si="1"/>
        <v>1092</v>
      </c>
      <c r="F15" s="5">
        <f t="shared" si="2"/>
        <v>1192464</v>
      </c>
      <c r="G15" s="6">
        <f>SQRT(SUM($F$2:F15)/A15)</f>
        <v>1666.1130556735081</v>
      </c>
      <c r="H15" s="5">
        <f t="shared" si="3"/>
        <v>0</v>
      </c>
      <c r="I15" s="5">
        <f t="shared" si="4"/>
        <v>0</v>
      </c>
    </row>
    <row r="16" spans="1:9">
      <c r="A16">
        <v>15</v>
      </c>
      <c r="B16">
        <v>6</v>
      </c>
      <c r="C16">
        <v>5000</v>
      </c>
      <c r="D16">
        <v>3946</v>
      </c>
      <c r="E16" s="5">
        <f t="shared" si="1"/>
        <v>1054</v>
      </c>
      <c r="F16" s="5">
        <f t="shared" si="2"/>
        <v>1110916</v>
      </c>
      <c r="G16" s="6">
        <f>SQRT(SUM($F$2:F16)/A16)</f>
        <v>1632.4618219119245</v>
      </c>
      <c r="H16" s="5">
        <f t="shared" si="3"/>
        <v>0</v>
      </c>
      <c r="I16" s="5">
        <f t="shared" si="4"/>
        <v>0</v>
      </c>
    </row>
    <row r="17" spans="1:9">
      <c r="A17">
        <v>16</v>
      </c>
      <c r="B17">
        <v>7</v>
      </c>
      <c r="C17">
        <v>5000</v>
      </c>
      <c r="D17">
        <v>5208</v>
      </c>
      <c r="E17" s="5">
        <f t="shared" si="1"/>
        <v>208</v>
      </c>
      <c r="F17" s="5">
        <f t="shared" si="2"/>
        <v>43264</v>
      </c>
      <c r="G17" s="6">
        <f>SQRT(SUM($F$2:F17)/A17)</f>
        <v>1581.4794892757857</v>
      </c>
      <c r="H17" s="5">
        <f t="shared" si="3"/>
        <v>1</v>
      </c>
      <c r="I17" s="5">
        <f t="shared" si="4"/>
        <v>1</v>
      </c>
    </row>
    <row r="18" spans="1:9">
      <c r="A18">
        <v>17</v>
      </c>
      <c r="B18">
        <v>5</v>
      </c>
      <c r="C18">
        <v>5000</v>
      </c>
      <c r="D18">
        <v>3878</v>
      </c>
      <c r="E18" s="5">
        <f t="shared" si="1"/>
        <v>1122</v>
      </c>
      <c r="F18" s="5">
        <f t="shared" si="2"/>
        <v>1258884</v>
      </c>
      <c r="G18" s="6">
        <f>SQRT(SUM($F$2:F18)/A18)</f>
        <v>1558.2063972627593</v>
      </c>
      <c r="H18" s="5">
        <f t="shared" si="3"/>
        <v>0</v>
      </c>
      <c r="I18" s="5">
        <f t="shared" si="4"/>
        <v>0</v>
      </c>
    </row>
    <row r="19" spans="1:9">
      <c r="A19">
        <v>18</v>
      </c>
      <c r="B19">
        <v>7</v>
      </c>
      <c r="C19">
        <v>5000</v>
      </c>
      <c r="D19">
        <v>5262</v>
      </c>
      <c r="E19" s="5">
        <f t="shared" si="1"/>
        <v>262</v>
      </c>
      <c r="F19" s="5">
        <f t="shared" si="2"/>
        <v>68644</v>
      </c>
      <c r="G19" s="6">
        <f>SQRT(SUM($F$2:F19)/A19)</f>
        <v>1515.5630783456177</v>
      </c>
      <c r="H19" s="5">
        <f t="shared" si="3"/>
        <v>1</v>
      </c>
      <c r="I19" s="5">
        <f t="shared" si="4"/>
        <v>1</v>
      </c>
    </row>
    <row r="20" spans="1:9">
      <c r="A20">
        <v>19</v>
      </c>
      <c r="B20">
        <v>5</v>
      </c>
      <c r="C20">
        <v>5000</v>
      </c>
      <c r="D20">
        <v>4009</v>
      </c>
      <c r="E20" s="5">
        <f t="shared" si="1"/>
        <v>991</v>
      </c>
      <c r="F20" s="5">
        <f t="shared" si="2"/>
        <v>982081</v>
      </c>
      <c r="G20" s="6">
        <f>SQRT(SUM($F$2:F20)/A20)</f>
        <v>1492.5578010494883</v>
      </c>
      <c r="H20" s="5">
        <f t="shared" si="3"/>
        <v>1</v>
      </c>
      <c r="I20" s="5">
        <f t="shared" si="4"/>
        <v>0</v>
      </c>
    </row>
    <row r="21" spans="1:9">
      <c r="A21">
        <v>20</v>
      </c>
      <c r="B21">
        <v>7</v>
      </c>
      <c r="C21">
        <v>5000</v>
      </c>
      <c r="D21">
        <v>5169</v>
      </c>
      <c r="E21" s="5">
        <f t="shared" si="1"/>
        <v>169</v>
      </c>
      <c r="F21" s="5">
        <f t="shared" si="2"/>
        <v>28561</v>
      </c>
      <c r="G21" s="6">
        <f>SQRT(SUM($F$2:F21)/A21)</f>
        <v>1455.2561286591442</v>
      </c>
      <c r="H21" s="5">
        <f t="shared" si="3"/>
        <v>1</v>
      </c>
      <c r="I21" s="5">
        <f t="shared" si="4"/>
        <v>1</v>
      </c>
    </row>
    <row r="22" spans="1:9">
      <c r="A22">
        <v>21</v>
      </c>
      <c r="B22">
        <v>6</v>
      </c>
      <c r="C22">
        <v>5000</v>
      </c>
      <c r="D22">
        <v>4525</v>
      </c>
      <c r="E22" s="5">
        <f t="shared" si="1"/>
        <v>475</v>
      </c>
      <c r="F22" s="5">
        <f t="shared" si="2"/>
        <v>225625</v>
      </c>
      <c r="G22" s="6">
        <f>SQRT(SUM($F$2:F22)/A22)</f>
        <v>1423.9621617498262</v>
      </c>
      <c r="H22" s="5">
        <f t="shared" si="3"/>
        <v>1</v>
      </c>
      <c r="I22" s="5">
        <f t="shared" si="4"/>
        <v>1</v>
      </c>
    </row>
    <row r="23" spans="1:9">
      <c r="A23">
        <v>22</v>
      </c>
      <c r="B23">
        <v>7</v>
      </c>
      <c r="C23">
        <v>5000</v>
      </c>
      <c r="D23">
        <v>5588</v>
      </c>
      <c r="E23" s="5">
        <f t="shared" si="1"/>
        <v>588</v>
      </c>
      <c r="F23" s="5">
        <f t="shared" si="2"/>
        <v>345744</v>
      </c>
      <c r="G23" s="6">
        <f>SQRT(SUM($F$2:F23)/A23)</f>
        <v>1396.8597411206454</v>
      </c>
      <c r="H23" s="5">
        <f t="shared" si="3"/>
        <v>1</v>
      </c>
      <c r="I23" s="5">
        <f t="shared" si="4"/>
        <v>0</v>
      </c>
    </row>
    <row r="24" spans="1:9">
      <c r="A24">
        <v>23</v>
      </c>
      <c r="B24">
        <v>5</v>
      </c>
      <c r="C24">
        <v>5000</v>
      </c>
      <c r="D24">
        <v>4451</v>
      </c>
      <c r="E24" s="5">
        <f t="shared" si="1"/>
        <v>549</v>
      </c>
      <c r="F24" s="5">
        <f t="shared" si="2"/>
        <v>301401</v>
      </c>
      <c r="G24" s="6">
        <f>SQRT(SUM($F$2:F24)/A24)</f>
        <v>1370.9434707528972</v>
      </c>
      <c r="H24" s="5">
        <f t="shared" si="3"/>
        <v>1</v>
      </c>
      <c r="I24" s="5">
        <f t="shared" si="4"/>
        <v>0</v>
      </c>
    </row>
    <row r="25" spans="1:9">
      <c r="A25">
        <v>24</v>
      </c>
      <c r="B25">
        <v>7</v>
      </c>
      <c r="C25">
        <v>5000</v>
      </c>
      <c r="D25">
        <v>6063</v>
      </c>
      <c r="E25" s="5">
        <f t="shared" si="1"/>
        <v>1063</v>
      </c>
      <c r="F25" s="5">
        <f t="shared" si="2"/>
        <v>1129969</v>
      </c>
      <c r="G25" s="6">
        <f>SQRT(SUM($F$2:F25)/A25)</f>
        <v>1359.5058385310451</v>
      </c>
      <c r="H25" s="5">
        <f t="shared" si="3"/>
        <v>0</v>
      </c>
      <c r="I25" s="5">
        <f t="shared" si="4"/>
        <v>0</v>
      </c>
    </row>
    <row r="26" spans="1:9">
      <c r="A26">
        <v>25</v>
      </c>
      <c r="B26">
        <v>5</v>
      </c>
      <c r="C26">
        <v>5000</v>
      </c>
      <c r="D26">
        <v>4107</v>
      </c>
      <c r="E26" s="5">
        <f t="shared" si="1"/>
        <v>893</v>
      </c>
      <c r="F26" s="5">
        <f t="shared" si="2"/>
        <v>797449</v>
      </c>
      <c r="G26" s="6">
        <f>SQRT(SUM($F$2:F26)/A26)</f>
        <v>1343.9582731617825</v>
      </c>
      <c r="H26" s="5">
        <f t="shared" si="3"/>
        <v>1</v>
      </c>
      <c r="I26" s="5">
        <f t="shared" si="4"/>
        <v>0</v>
      </c>
    </row>
    <row r="27" spans="1:9">
      <c r="A27">
        <v>26</v>
      </c>
      <c r="B27">
        <v>7</v>
      </c>
      <c r="C27">
        <v>5000</v>
      </c>
      <c r="D27">
        <v>5453</v>
      </c>
      <c r="E27" s="5">
        <f t="shared" si="1"/>
        <v>453</v>
      </c>
      <c r="F27" s="5">
        <f t="shared" si="2"/>
        <v>205209</v>
      </c>
      <c r="G27" s="6">
        <f>SQRT(SUM($F$2:F27)/A27)</f>
        <v>1320.8506146244722</v>
      </c>
      <c r="H27" s="5">
        <f t="shared" si="3"/>
        <v>1</v>
      </c>
      <c r="I27" s="5">
        <f t="shared" si="4"/>
        <v>1</v>
      </c>
    </row>
    <row r="28" spans="1:9">
      <c r="A28">
        <v>27</v>
      </c>
      <c r="B28">
        <v>5</v>
      </c>
      <c r="C28">
        <v>5000</v>
      </c>
      <c r="D28">
        <v>2970</v>
      </c>
      <c r="E28" s="5">
        <f t="shared" si="1"/>
        <v>2030</v>
      </c>
      <c r="F28" s="5">
        <f t="shared" si="2"/>
        <v>4120900</v>
      </c>
      <c r="G28" s="6">
        <f>SQRT(SUM($F$2:F28)/A28)</f>
        <v>1353.7561600010324</v>
      </c>
      <c r="H28" s="5">
        <f t="shared" si="3"/>
        <v>0</v>
      </c>
      <c r="I28" s="5">
        <f t="shared" si="4"/>
        <v>0</v>
      </c>
    </row>
    <row r="29" spans="1:9">
      <c r="A29">
        <v>28</v>
      </c>
      <c r="B29">
        <v>8</v>
      </c>
      <c r="C29">
        <v>5000</v>
      </c>
      <c r="D29">
        <v>4838</v>
      </c>
      <c r="E29" s="5">
        <f t="shared" si="1"/>
        <v>162</v>
      </c>
      <c r="F29" s="5">
        <f t="shared" si="2"/>
        <v>26244</v>
      </c>
      <c r="G29" s="6">
        <f>SQRT(SUM($F$2:F29)/A29)</f>
        <v>1329.7146444686114</v>
      </c>
      <c r="H29" s="5">
        <f t="shared" si="3"/>
        <v>1</v>
      </c>
      <c r="I29" s="5">
        <f t="shared" si="4"/>
        <v>1</v>
      </c>
    </row>
    <row r="30" spans="1:9">
      <c r="A30">
        <v>29</v>
      </c>
      <c r="B30">
        <v>7</v>
      </c>
      <c r="C30">
        <v>5000</v>
      </c>
      <c r="D30">
        <v>2014</v>
      </c>
      <c r="E30" s="5">
        <f t="shared" si="1"/>
        <v>2986</v>
      </c>
      <c r="F30" s="5">
        <f t="shared" si="2"/>
        <v>8916196</v>
      </c>
      <c r="G30" s="6">
        <f>SQRT(SUM($F$2:F30)/A30)</f>
        <v>1419.3751053386741</v>
      </c>
      <c r="H30" s="5">
        <f t="shared" si="3"/>
        <v>0</v>
      </c>
      <c r="I30" s="5">
        <f t="shared" si="4"/>
        <v>0</v>
      </c>
    </row>
    <row r="31" spans="1:9">
      <c r="A31">
        <v>30</v>
      </c>
      <c r="B31">
        <v>10</v>
      </c>
      <c r="C31">
        <v>5000</v>
      </c>
      <c r="D31">
        <v>5603</v>
      </c>
      <c r="E31" s="5">
        <f t="shared" si="1"/>
        <v>603</v>
      </c>
      <c r="F31" s="5">
        <f t="shared" si="2"/>
        <v>363609</v>
      </c>
      <c r="G31" s="6">
        <f>SQRT(SUM($F$2:F31)/A31)</f>
        <v>1399.8542066943971</v>
      </c>
      <c r="H31" s="5">
        <f t="shared" si="3"/>
        <v>1</v>
      </c>
      <c r="I31" s="5">
        <f t="shared" si="4"/>
        <v>0</v>
      </c>
    </row>
    <row r="32" spans="1:9">
      <c r="A32">
        <v>31</v>
      </c>
      <c r="B32">
        <v>7</v>
      </c>
      <c r="C32">
        <v>5000</v>
      </c>
      <c r="D32">
        <v>4167</v>
      </c>
      <c r="E32" s="5">
        <f t="shared" si="1"/>
        <v>833</v>
      </c>
      <c r="F32" s="5">
        <f t="shared" si="2"/>
        <v>693889</v>
      </c>
      <c r="G32" s="6">
        <f>SQRT(SUM($F$2:F32)/A32)</f>
        <v>1385.1940937714667</v>
      </c>
      <c r="H32" s="5">
        <f t="shared" si="3"/>
        <v>1</v>
      </c>
      <c r="I32" s="5">
        <f t="shared" si="4"/>
        <v>0</v>
      </c>
    </row>
    <row r="33" spans="1:9">
      <c r="A33">
        <v>32</v>
      </c>
      <c r="B33">
        <v>8</v>
      </c>
      <c r="C33">
        <v>5000</v>
      </c>
      <c r="D33">
        <v>5660</v>
      </c>
      <c r="E33" s="5">
        <f t="shared" si="1"/>
        <v>660</v>
      </c>
      <c r="F33" s="5">
        <f t="shared" si="2"/>
        <v>435600</v>
      </c>
      <c r="G33" s="6">
        <f>SQRT(SUM($F$2:F33)/A33)</f>
        <v>1368.3617371696712</v>
      </c>
      <c r="H33" s="5">
        <f t="shared" si="3"/>
        <v>1</v>
      </c>
      <c r="I33" s="5">
        <f t="shared" si="4"/>
        <v>0</v>
      </c>
    </row>
    <row r="34" spans="1:9">
      <c r="A34">
        <v>33</v>
      </c>
      <c r="B34">
        <v>7</v>
      </c>
      <c r="C34">
        <v>5000</v>
      </c>
      <c r="D34">
        <v>4828</v>
      </c>
      <c r="E34" s="5">
        <f t="shared" si="1"/>
        <v>172</v>
      </c>
      <c r="F34" s="5">
        <f t="shared" si="2"/>
        <v>29584</v>
      </c>
      <c r="G34" s="6">
        <f>SQRT(SUM($F$2:F34)/A34)</f>
        <v>1347.802105337247</v>
      </c>
      <c r="H34" s="5">
        <f t="shared" si="3"/>
        <v>1</v>
      </c>
      <c r="I34" s="5">
        <f t="shared" si="4"/>
        <v>1</v>
      </c>
    </row>
    <row r="35" spans="1:9">
      <c r="A35">
        <v>34</v>
      </c>
      <c r="B35">
        <v>7</v>
      </c>
      <c r="C35">
        <v>5000</v>
      </c>
      <c r="D35">
        <v>5189</v>
      </c>
      <c r="E35" s="5">
        <f t="shared" si="1"/>
        <v>189</v>
      </c>
      <c r="F35" s="5">
        <f t="shared" si="2"/>
        <v>35721</v>
      </c>
      <c r="G35" s="6">
        <f>SQRT(SUM($F$2:F35)/A35)</f>
        <v>1328.2291173721853</v>
      </c>
      <c r="H35" s="5">
        <f t="shared" si="3"/>
        <v>1</v>
      </c>
      <c r="I35" s="5">
        <f t="shared" si="4"/>
        <v>1</v>
      </c>
    </row>
    <row r="36" spans="1:9">
      <c r="A36">
        <v>35</v>
      </c>
      <c r="B36">
        <v>7</v>
      </c>
      <c r="C36">
        <v>5000</v>
      </c>
      <c r="D36">
        <v>5404</v>
      </c>
      <c r="E36" s="5">
        <f t="shared" si="1"/>
        <v>404</v>
      </c>
      <c r="F36" s="5">
        <f t="shared" si="2"/>
        <v>163216</v>
      </c>
      <c r="G36" s="6">
        <f>SQRT(SUM($F$2:F36)/A36)</f>
        <v>1310.8967922761883</v>
      </c>
      <c r="H36" s="5">
        <f t="shared" si="3"/>
        <v>1</v>
      </c>
      <c r="I36" s="5">
        <f t="shared" si="4"/>
        <v>1</v>
      </c>
    </row>
    <row r="37" spans="1:9">
      <c r="A37">
        <v>36</v>
      </c>
      <c r="B37">
        <v>7</v>
      </c>
      <c r="C37">
        <v>5000</v>
      </c>
      <c r="D37">
        <v>5205</v>
      </c>
      <c r="E37" s="5">
        <f t="shared" si="1"/>
        <v>205</v>
      </c>
      <c r="F37" s="5">
        <f t="shared" si="2"/>
        <v>42025</v>
      </c>
      <c r="G37" s="6">
        <f>SQRT(SUM($F$2:F37)/A37)</f>
        <v>1293.0131583931302</v>
      </c>
      <c r="H37" s="5">
        <f t="shared" si="3"/>
        <v>1</v>
      </c>
      <c r="I37" s="5">
        <f t="shared" si="4"/>
        <v>1</v>
      </c>
    </row>
    <row r="38" spans="1:9">
      <c r="A38">
        <v>37</v>
      </c>
      <c r="B38">
        <v>7</v>
      </c>
      <c r="C38">
        <v>5000</v>
      </c>
      <c r="D38">
        <v>5771</v>
      </c>
      <c r="E38" s="5">
        <f t="shared" si="1"/>
        <v>771</v>
      </c>
      <c r="F38" s="5">
        <f t="shared" si="2"/>
        <v>594441</v>
      </c>
      <c r="G38" s="6">
        <f>SQRT(SUM($F$2:F38)/A38)</f>
        <v>1281.703153219564</v>
      </c>
      <c r="H38" s="5">
        <f t="shared" si="3"/>
        <v>1</v>
      </c>
      <c r="I38" s="5">
        <f t="shared" si="4"/>
        <v>0</v>
      </c>
    </row>
    <row r="39" spans="1:9">
      <c r="A39">
        <v>38</v>
      </c>
      <c r="B39">
        <v>6</v>
      </c>
      <c r="C39">
        <v>5000</v>
      </c>
      <c r="D39">
        <v>4407</v>
      </c>
      <c r="E39" s="5">
        <f t="shared" si="1"/>
        <v>593</v>
      </c>
      <c r="F39" s="5">
        <f t="shared" si="2"/>
        <v>351649</v>
      </c>
      <c r="G39" s="6">
        <f>SQRT(SUM($F$2:F39)/A39)</f>
        <v>1268.3793949263304</v>
      </c>
      <c r="H39" s="5">
        <f t="shared" si="3"/>
        <v>1</v>
      </c>
      <c r="I39" s="5">
        <f t="shared" si="4"/>
        <v>0</v>
      </c>
    </row>
    <row r="40" spans="1:9">
      <c r="A40">
        <v>39</v>
      </c>
      <c r="B40">
        <v>8</v>
      </c>
      <c r="C40">
        <v>5000</v>
      </c>
      <c r="D40">
        <v>6344</v>
      </c>
      <c r="E40" s="5">
        <f t="shared" si="1"/>
        <v>1344</v>
      </c>
      <c r="F40" s="5">
        <f t="shared" si="2"/>
        <v>1806336</v>
      </c>
      <c r="G40" s="6">
        <f>SQRT(SUM($F$2:F40)/A40)</f>
        <v>1270.3746166649689</v>
      </c>
      <c r="H40" s="5">
        <f t="shared" si="3"/>
        <v>0</v>
      </c>
      <c r="I40" s="5">
        <f t="shared" si="4"/>
        <v>0</v>
      </c>
    </row>
    <row r="41" spans="1:9">
      <c r="A41">
        <v>40</v>
      </c>
      <c r="B41">
        <v>5</v>
      </c>
      <c r="C41">
        <v>5000</v>
      </c>
      <c r="D41">
        <v>3871</v>
      </c>
      <c r="E41" s="5">
        <f t="shared" si="1"/>
        <v>1129</v>
      </c>
      <c r="F41" s="5">
        <f t="shared" si="2"/>
        <v>1274641</v>
      </c>
      <c r="G41" s="6">
        <f>SQRT(SUM($F$2:F41)/A41)</f>
        <v>1267.0325173412086</v>
      </c>
      <c r="H41" s="5">
        <f t="shared" si="3"/>
        <v>0</v>
      </c>
      <c r="I41" s="5">
        <f t="shared" si="4"/>
        <v>0</v>
      </c>
    </row>
    <row r="42" spans="1:9">
      <c r="A42">
        <v>41</v>
      </c>
      <c r="B42">
        <v>8</v>
      </c>
      <c r="C42">
        <v>5000</v>
      </c>
      <c r="D42">
        <v>5371</v>
      </c>
      <c r="E42" s="5">
        <f t="shared" si="1"/>
        <v>371</v>
      </c>
      <c r="F42" s="5">
        <f t="shared" si="2"/>
        <v>137641</v>
      </c>
      <c r="G42" s="6">
        <f>SQRT(SUM($F$2:F42)/A42)</f>
        <v>1252.8260444135792</v>
      </c>
      <c r="H42" s="5">
        <f t="shared" si="3"/>
        <v>1</v>
      </c>
      <c r="I42" s="5">
        <f t="shared" si="4"/>
        <v>1</v>
      </c>
    </row>
    <row r="43" spans="1:9">
      <c r="A43">
        <v>42</v>
      </c>
      <c r="B43">
        <v>6</v>
      </c>
      <c r="C43">
        <v>5000</v>
      </c>
      <c r="D43">
        <v>4591</v>
      </c>
      <c r="E43" s="5">
        <f t="shared" si="1"/>
        <v>409</v>
      </c>
      <c r="F43" s="5">
        <f t="shared" si="2"/>
        <v>167281</v>
      </c>
      <c r="G43" s="6">
        <f>SQRT(SUM($F$2:F43)/A43)</f>
        <v>1239.4293809960254</v>
      </c>
      <c r="H43" s="5">
        <f t="shared" si="3"/>
        <v>1</v>
      </c>
      <c r="I43" s="5">
        <f t="shared" si="4"/>
        <v>1</v>
      </c>
    </row>
    <row r="44" spans="1:9">
      <c r="A44">
        <v>43</v>
      </c>
      <c r="B44">
        <v>7</v>
      </c>
      <c r="C44">
        <v>5000</v>
      </c>
      <c r="D44">
        <v>5024</v>
      </c>
      <c r="E44" s="5">
        <f t="shared" si="1"/>
        <v>24</v>
      </c>
      <c r="F44" s="5">
        <f t="shared" si="2"/>
        <v>576</v>
      </c>
      <c r="G44" s="6">
        <f>SQRT(SUM($F$2:F44)/A44)</f>
        <v>1224.9381000022856</v>
      </c>
      <c r="H44" s="5">
        <f t="shared" si="3"/>
        <v>1</v>
      </c>
      <c r="I44" s="5">
        <f t="shared" si="4"/>
        <v>1</v>
      </c>
    </row>
    <row r="45" spans="1:9">
      <c r="A45">
        <v>44</v>
      </c>
      <c r="B45">
        <v>7</v>
      </c>
      <c r="C45">
        <v>5000</v>
      </c>
      <c r="D45">
        <v>4962</v>
      </c>
      <c r="E45" s="5">
        <f t="shared" si="1"/>
        <v>38</v>
      </c>
      <c r="F45" s="5">
        <f t="shared" si="2"/>
        <v>1444</v>
      </c>
      <c r="G45" s="6">
        <f>SQRT(SUM($F$2:F45)/A45)</f>
        <v>1210.9518983014973</v>
      </c>
      <c r="H45" s="5">
        <f t="shared" si="3"/>
        <v>1</v>
      </c>
      <c r="I45" s="5">
        <f t="shared" si="4"/>
        <v>1</v>
      </c>
    </row>
    <row r="46" spans="1:9">
      <c r="A46">
        <v>45</v>
      </c>
      <c r="B46">
        <v>7</v>
      </c>
      <c r="C46">
        <v>5000</v>
      </c>
      <c r="D46">
        <v>4315</v>
      </c>
      <c r="E46" s="5">
        <f t="shared" si="1"/>
        <v>685</v>
      </c>
      <c r="F46" s="5">
        <f t="shared" si="2"/>
        <v>469225</v>
      </c>
      <c r="G46" s="6">
        <f>SQRT(SUM($F$2:F46)/A46)</f>
        <v>1201.7674298946347</v>
      </c>
      <c r="H46" s="5">
        <f t="shared" si="3"/>
        <v>1</v>
      </c>
      <c r="I46" s="5">
        <f t="shared" si="4"/>
        <v>0</v>
      </c>
    </row>
    <row r="47" spans="1:9">
      <c r="A47">
        <v>46</v>
      </c>
      <c r="B47">
        <v>8</v>
      </c>
      <c r="C47">
        <v>5000</v>
      </c>
      <c r="D47">
        <v>5726</v>
      </c>
      <c r="E47" s="5">
        <f t="shared" si="1"/>
        <v>726</v>
      </c>
      <c r="F47" s="5">
        <f t="shared" si="2"/>
        <v>527076</v>
      </c>
      <c r="G47" s="6">
        <f>SQRT(SUM($F$2:F47)/A47)</f>
        <v>1193.4431280961821</v>
      </c>
      <c r="H47" s="5">
        <f t="shared" si="3"/>
        <v>1</v>
      </c>
      <c r="I47" s="5">
        <f t="shared" si="4"/>
        <v>0</v>
      </c>
    </row>
    <row r="48" spans="1:9">
      <c r="A48">
        <v>47</v>
      </c>
      <c r="B48">
        <v>6</v>
      </c>
      <c r="C48">
        <v>5000</v>
      </c>
      <c r="D48">
        <v>4501</v>
      </c>
      <c r="E48" s="5">
        <f t="shared" si="1"/>
        <v>499</v>
      </c>
      <c r="F48" s="5">
        <f t="shared" si="2"/>
        <v>249001</v>
      </c>
      <c r="G48" s="6">
        <f>SQRT(SUM($F$2:F48)/A48)</f>
        <v>1182.9201156460229</v>
      </c>
      <c r="H48" s="5">
        <f t="shared" si="3"/>
        <v>1</v>
      </c>
      <c r="I48" s="5">
        <f t="shared" si="4"/>
        <v>1</v>
      </c>
    </row>
    <row r="49" spans="1:9">
      <c r="A49">
        <v>48</v>
      </c>
      <c r="B49">
        <v>8</v>
      </c>
      <c r="C49">
        <v>5000</v>
      </c>
      <c r="D49">
        <v>4860</v>
      </c>
      <c r="E49" s="5">
        <f t="shared" si="1"/>
        <v>140</v>
      </c>
      <c r="F49" s="5">
        <f t="shared" si="2"/>
        <v>19600</v>
      </c>
      <c r="G49" s="6">
        <f>SQRT(SUM($F$2:F49)/A49)</f>
        <v>1170.7075851808597</v>
      </c>
      <c r="H49" s="5">
        <f t="shared" si="3"/>
        <v>1</v>
      </c>
      <c r="I49" s="5">
        <f t="shared" si="4"/>
        <v>1</v>
      </c>
    </row>
    <row r="50" spans="1:9">
      <c r="A50">
        <v>49</v>
      </c>
      <c r="B50">
        <v>7</v>
      </c>
      <c r="C50">
        <v>5000</v>
      </c>
      <c r="D50">
        <v>5602</v>
      </c>
      <c r="E50" s="5">
        <f t="shared" si="1"/>
        <v>602</v>
      </c>
      <c r="F50" s="5">
        <f t="shared" si="2"/>
        <v>362404</v>
      </c>
      <c r="G50" s="6">
        <f>SQRT(SUM($F$2:F50)/A50)</f>
        <v>1161.8871349170342</v>
      </c>
      <c r="H50" s="5">
        <f t="shared" si="3"/>
        <v>1</v>
      </c>
      <c r="I50" s="5">
        <f t="shared" si="4"/>
        <v>0</v>
      </c>
    </row>
    <row r="51" spans="1:9">
      <c r="A51">
        <v>50</v>
      </c>
      <c r="B51">
        <v>6</v>
      </c>
      <c r="C51">
        <v>5000</v>
      </c>
      <c r="D51">
        <v>4819</v>
      </c>
      <c r="E51" s="5">
        <f t="shared" si="1"/>
        <v>181</v>
      </c>
      <c r="F51" s="5">
        <f t="shared" si="2"/>
        <v>32761</v>
      </c>
      <c r="G51" s="6">
        <f>SQRT(SUM($F$2:F51)/A51)</f>
        <v>1150.494371998403</v>
      </c>
      <c r="H51" s="5">
        <f t="shared" si="3"/>
        <v>1</v>
      </c>
      <c r="I51" s="5">
        <f t="shared" si="4"/>
        <v>1</v>
      </c>
    </row>
    <row r="52" spans="1:9">
      <c r="A52">
        <v>51</v>
      </c>
      <c r="B52">
        <v>7</v>
      </c>
      <c r="C52">
        <v>5000</v>
      </c>
      <c r="D52">
        <v>5375</v>
      </c>
      <c r="E52" s="5">
        <f t="shared" si="1"/>
        <v>375</v>
      </c>
      <c r="F52" s="5">
        <f t="shared" si="2"/>
        <v>140625</v>
      </c>
      <c r="G52" s="6">
        <f>SQRT(SUM($F$2:F52)/A52)</f>
        <v>1140.3687913969572</v>
      </c>
      <c r="H52" s="5">
        <f t="shared" si="3"/>
        <v>1</v>
      </c>
      <c r="I52" s="5">
        <f t="shared" si="4"/>
        <v>1</v>
      </c>
    </row>
    <row r="53" spans="1:9">
      <c r="A53">
        <v>52</v>
      </c>
      <c r="B53">
        <v>7</v>
      </c>
      <c r="C53">
        <v>5000</v>
      </c>
      <c r="D53">
        <v>5169</v>
      </c>
      <c r="E53" s="5">
        <f t="shared" si="1"/>
        <v>169</v>
      </c>
      <c r="F53" s="5">
        <f t="shared" si="2"/>
        <v>28561</v>
      </c>
      <c r="G53" s="6">
        <f>SQRT(SUM($F$2:F53)/A53)</f>
        <v>1129.5936216179693</v>
      </c>
      <c r="H53" s="5">
        <f t="shared" si="3"/>
        <v>1</v>
      </c>
      <c r="I53" s="5">
        <f t="shared" si="4"/>
        <v>1</v>
      </c>
    </row>
    <row r="54" spans="1:9">
      <c r="A54">
        <v>53</v>
      </c>
      <c r="B54">
        <v>7</v>
      </c>
      <c r="C54">
        <v>5000</v>
      </c>
      <c r="D54">
        <v>5526</v>
      </c>
      <c r="E54" s="5">
        <f t="shared" si="1"/>
        <v>526</v>
      </c>
      <c r="F54" s="5">
        <f t="shared" si="2"/>
        <v>276676</v>
      </c>
      <c r="G54" s="6">
        <f>SQRT(SUM($F$2:F54)/A54)</f>
        <v>1121.2167161295367</v>
      </c>
      <c r="H54" s="5">
        <f t="shared" si="3"/>
        <v>1</v>
      </c>
      <c r="I54" s="5">
        <f t="shared" si="4"/>
        <v>0</v>
      </c>
    </row>
    <row r="55" spans="1:9">
      <c r="A55">
        <v>54</v>
      </c>
      <c r="B55">
        <v>6</v>
      </c>
      <c r="C55">
        <v>5000</v>
      </c>
      <c r="D55">
        <v>5049</v>
      </c>
      <c r="E55" s="5">
        <f t="shared" si="1"/>
        <v>49</v>
      </c>
      <c r="F55" s="5">
        <f t="shared" si="2"/>
        <v>2401</v>
      </c>
      <c r="G55" s="6">
        <f>SQRT(SUM($F$2:F55)/A55)</f>
        <v>1110.8065804897176</v>
      </c>
      <c r="H55" s="5">
        <f t="shared" si="3"/>
        <v>1</v>
      </c>
      <c r="I55" s="5">
        <f t="shared" si="4"/>
        <v>1</v>
      </c>
    </row>
    <row r="56" spans="1:9">
      <c r="A56">
        <v>55</v>
      </c>
      <c r="B56">
        <v>7</v>
      </c>
      <c r="C56">
        <v>5000</v>
      </c>
      <c r="D56">
        <v>5383</v>
      </c>
      <c r="E56" s="5">
        <f t="shared" si="1"/>
        <v>383</v>
      </c>
      <c r="F56" s="5">
        <f t="shared" si="2"/>
        <v>146689</v>
      </c>
      <c r="G56" s="6">
        <f>SQRT(SUM($F$2:F56)/A56)</f>
        <v>1101.8729261827543</v>
      </c>
      <c r="H56" s="5">
        <f t="shared" si="3"/>
        <v>1</v>
      </c>
      <c r="I56" s="5">
        <f t="shared" si="4"/>
        <v>1</v>
      </c>
    </row>
    <row r="57" spans="1:9">
      <c r="A57">
        <v>56</v>
      </c>
      <c r="B57">
        <v>6</v>
      </c>
      <c r="C57">
        <v>5000</v>
      </c>
      <c r="D57">
        <v>4926</v>
      </c>
      <c r="E57" s="5">
        <f t="shared" si="1"/>
        <v>74</v>
      </c>
      <c r="F57" s="5">
        <f t="shared" si="2"/>
        <v>5476</v>
      </c>
      <c r="G57" s="6">
        <f>SQRT(SUM($F$2:F57)/A57)</f>
        <v>1092.0352313128783</v>
      </c>
      <c r="H57" s="5">
        <f t="shared" si="3"/>
        <v>1</v>
      </c>
      <c r="I57" s="5">
        <f t="shared" si="4"/>
        <v>1</v>
      </c>
    </row>
    <row r="58" spans="1:9">
      <c r="A58">
        <v>57</v>
      </c>
      <c r="B58">
        <v>7</v>
      </c>
      <c r="C58">
        <v>5000</v>
      </c>
      <c r="D58">
        <v>5475</v>
      </c>
      <c r="E58" s="5">
        <f t="shared" si="1"/>
        <v>475</v>
      </c>
      <c r="F58" s="5">
        <f t="shared" si="2"/>
        <v>225625</v>
      </c>
      <c r="G58" s="6">
        <f>SQRT(SUM($F$2:F58)/A58)</f>
        <v>1084.2405216426519</v>
      </c>
      <c r="H58" s="5">
        <f t="shared" si="3"/>
        <v>1</v>
      </c>
      <c r="I58" s="5">
        <f t="shared" si="4"/>
        <v>1</v>
      </c>
    </row>
    <row r="59" spans="1:9">
      <c r="A59">
        <v>58</v>
      </c>
      <c r="B59">
        <v>6</v>
      </c>
      <c r="C59">
        <v>5000</v>
      </c>
      <c r="D59">
        <v>5448</v>
      </c>
      <c r="E59" s="5">
        <f t="shared" si="1"/>
        <v>448</v>
      </c>
      <c r="F59" s="5">
        <f t="shared" si="2"/>
        <v>200704</v>
      </c>
      <c r="G59" s="6">
        <f>SQRT(SUM($F$2:F59)/A59)</f>
        <v>1076.4614924964044</v>
      </c>
      <c r="H59" s="5">
        <f t="shared" si="3"/>
        <v>1</v>
      </c>
      <c r="I59" s="5">
        <f t="shared" si="4"/>
        <v>1</v>
      </c>
    </row>
    <row r="60" spans="1:9">
      <c r="A60">
        <v>59</v>
      </c>
      <c r="B60">
        <v>6</v>
      </c>
      <c r="C60">
        <v>5000</v>
      </c>
      <c r="D60">
        <v>4556</v>
      </c>
      <c r="E60" s="5">
        <f t="shared" si="1"/>
        <v>444</v>
      </c>
      <c r="F60" s="5">
        <f t="shared" si="2"/>
        <v>197136</v>
      </c>
      <c r="G60" s="6">
        <f>SQRT(SUM($F$2:F60)/A60)</f>
        <v>1068.8641048216894</v>
      </c>
      <c r="H60" s="5">
        <f t="shared" si="3"/>
        <v>1</v>
      </c>
      <c r="I60" s="5">
        <f t="shared" si="4"/>
        <v>1</v>
      </c>
    </row>
    <row r="61" spans="1:9">
      <c r="A61">
        <v>60</v>
      </c>
      <c r="B61">
        <v>7</v>
      </c>
      <c r="C61">
        <v>5000</v>
      </c>
      <c r="D61">
        <v>4991</v>
      </c>
      <c r="E61" s="5">
        <f t="shared" si="1"/>
        <v>9</v>
      </c>
      <c r="F61" s="5">
        <f t="shared" si="2"/>
        <v>81</v>
      </c>
      <c r="G61" s="6">
        <f>SQRT(SUM($F$2:F61)/A61)</f>
        <v>1059.9201149143269</v>
      </c>
      <c r="H61" s="5">
        <f t="shared" si="3"/>
        <v>1</v>
      </c>
      <c r="I61" s="5">
        <f t="shared" si="4"/>
        <v>1</v>
      </c>
    </row>
    <row r="62" spans="1:9">
      <c r="A62">
        <v>61</v>
      </c>
      <c r="B62">
        <v>6</v>
      </c>
      <c r="C62">
        <v>5000</v>
      </c>
      <c r="D62">
        <v>4586</v>
      </c>
      <c r="E62" s="5">
        <f t="shared" si="1"/>
        <v>414</v>
      </c>
      <c r="F62" s="5">
        <f t="shared" si="2"/>
        <v>171396</v>
      </c>
      <c r="G62" s="6">
        <f>SQRT(SUM($F$2:F62)/A62)</f>
        <v>1052.5319589400428</v>
      </c>
      <c r="H62" s="5">
        <f t="shared" si="3"/>
        <v>1</v>
      </c>
      <c r="I62" s="5">
        <f t="shared" si="4"/>
        <v>1</v>
      </c>
    </row>
    <row r="63" spans="1:9">
      <c r="A63">
        <v>62</v>
      </c>
      <c r="B63">
        <v>7</v>
      </c>
      <c r="C63">
        <v>5000</v>
      </c>
      <c r="D63">
        <v>5130</v>
      </c>
      <c r="E63" s="5">
        <f t="shared" si="1"/>
        <v>130</v>
      </c>
      <c r="F63" s="5">
        <f t="shared" si="2"/>
        <v>16900</v>
      </c>
      <c r="G63" s="6">
        <f>SQRT(SUM($F$2:F63)/A63)</f>
        <v>1044.139829654519</v>
      </c>
      <c r="H63" s="5">
        <f t="shared" si="3"/>
        <v>1</v>
      </c>
      <c r="I63" s="5">
        <f t="shared" si="4"/>
        <v>1</v>
      </c>
    </row>
    <row r="64" spans="1:9">
      <c r="A64">
        <v>63</v>
      </c>
      <c r="B64">
        <v>6</v>
      </c>
      <c r="C64">
        <v>5000</v>
      </c>
      <c r="D64">
        <v>4033</v>
      </c>
      <c r="E64" s="5">
        <f t="shared" si="1"/>
        <v>967</v>
      </c>
      <c r="F64" s="5">
        <f t="shared" si="2"/>
        <v>935089</v>
      </c>
      <c r="G64" s="6">
        <f>SQRT(SUM($F$2:F64)/A64)</f>
        <v>1042.9599514446661</v>
      </c>
      <c r="H64" s="5">
        <f t="shared" si="3"/>
        <v>1</v>
      </c>
      <c r="I64" s="5">
        <f t="shared" si="4"/>
        <v>0</v>
      </c>
    </row>
    <row r="65" spans="1:9">
      <c r="A65">
        <v>64</v>
      </c>
      <c r="B65">
        <v>8</v>
      </c>
      <c r="C65">
        <v>5000</v>
      </c>
      <c r="D65">
        <v>6183</v>
      </c>
      <c r="E65" s="5">
        <f t="shared" si="1"/>
        <v>1183</v>
      </c>
      <c r="F65" s="5">
        <f t="shared" si="2"/>
        <v>1399489</v>
      </c>
      <c r="G65" s="6">
        <f>SQRT(SUM($F$2:F65)/A65)</f>
        <v>1045.2923708824244</v>
      </c>
      <c r="H65" s="5">
        <f t="shared" si="3"/>
        <v>0</v>
      </c>
      <c r="I65" s="5">
        <f t="shared" si="4"/>
        <v>0</v>
      </c>
    </row>
    <row r="66" spans="1:9">
      <c r="A66">
        <v>65</v>
      </c>
      <c r="B66">
        <v>5</v>
      </c>
      <c r="C66">
        <v>5000</v>
      </c>
      <c r="D66">
        <v>3929</v>
      </c>
      <c r="E66" s="5">
        <f t="shared" si="1"/>
        <v>1071</v>
      </c>
      <c r="F66" s="5">
        <f t="shared" si="2"/>
        <v>1147041</v>
      </c>
      <c r="G66" s="6">
        <f>SQRT(SUM($F$2:F66)/A66)</f>
        <v>1045.692659657482</v>
      </c>
      <c r="H66" s="5">
        <f t="shared" si="3"/>
        <v>0</v>
      </c>
      <c r="I66" s="5">
        <f t="shared" si="4"/>
        <v>0</v>
      </c>
    </row>
    <row r="67" spans="1:9">
      <c r="A67">
        <v>66</v>
      </c>
      <c r="B67">
        <v>8</v>
      </c>
      <c r="C67">
        <v>5000</v>
      </c>
      <c r="D67">
        <v>6009</v>
      </c>
      <c r="E67" s="5">
        <f t="shared" ref="E67:E130" si="5">ABS(C67-D67)</f>
        <v>1009</v>
      </c>
      <c r="F67" s="5">
        <f t="shared" ref="F67:F130" si="6">POWER(E67,2)</f>
        <v>1018081</v>
      </c>
      <c r="G67" s="6">
        <f>SQRT(SUM($F$2:F67)/A67)</f>
        <v>1045.1463214944274</v>
      </c>
      <c r="H67" s="5">
        <f t="shared" ref="H67:H130" si="7">IF(ABS(E67)/C67&gt;0.2,0,1)</f>
        <v>0</v>
      </c>
      <c r="I67" s="5">
        <f t="shared" ref="I67:I130" si="8">IF(ABS(E67)/C67&gt;0.1,0,1)</f>
        <v>0</v>
      </c>
    </row>
    <row r="68" spans="1:9">
      <c r="A68">
        <v>67</v>
      </c>
      <c r="B68">
        <v>6</v>
      </c>
      <c r="C68">
        <v>5000</v>
      </c>
      <c r="D68">
        <v>4651</v>
      </c>
      <c r="E68" s="5">
        <f t="shared" si="5"/>
        <v>349</v>
      </c>
      <c r="F68" s="5">
        <f t="shared" si="6"/>
        <v>121801</v>
      </c>
      <c r="G68" s="6">
        <f>SQRT(SUM($F$2:F68)/A68)</f>
        <v>1038.193292904956</v>
      </c>
      <c r="H68" s="5">
        <f t="shared" si="7"/>
        <v>1</v>
      </c>
      <c r="I68" s="5">
        <f t="shared" si="8"/>
        <v>1</v>
      </c>
    </row>
    <row r="69" spans="1:9">
      <c r="A69">
        <v>68</v>
      </c>
      <c r="B69">
        <v>7</v>
      </c>
      <c r="C69">
        <v>5000</v>
      </c>
      <c r="D69">
        <v>5621</v>
      </c>
      <c r="E69" s="5">
        <f t="shared" si="5"/>
        <v>621</v>
      </c>
      <c r="F69" s="5">
        <f t="shared" si="6"/>
        <v>385641</v>
      </c>
      <c r="G69" s="6">
        <f>SQRT(SUM($F$2:F69)/A69)</f>
        <v>1033.2791676189422</v>
      </c>
      <c r="H69" s="5">
        <f t="shared" si="7"/>
        <v>1</v>
      </c>
      <c r="I69" s="5">
        <f t="shared" si="8"/>
        <v>0</v>
      </c>
    </row>
    <row r="70" spans="1:9">
      <c r="A70">
        <v>69</v>
      </c>
      <c r="B70">
        <v>6</v>
      </c>
      <c r="C70">
        <v>5000</v>
      </c>
      <c r="D70">
        <v>4584</v>
      </c>
      <c r="E70" s="5">
        <f t="shared" si="5"/>
        <v>416</v>
      </c>
      <c r="F70" s="5">
        <f t="shared" si="6"/>
        <v>173056</v>
      </c>
      <c r="G70" s="6">
        <f>SQRT(SUM($F$2:F70)/A70)</f>
        <v>1026.9861139571799</v>
      </c>
      <c r="H70" s="5">
        <f t="shared" si="7"/>
        <v>1</v>
      </c>
      <c r="I70" s="5">
        <f t="shared" si="8"/>
        <v>1</v>
      </c>
    </row>
    <row r="71" spans="1:9">
      <c r="A71">
        <v>70</v>
      </c>
      <c r="B71">
        <v>7</v>
      </c>
      <c r="C71">
        <v>5000</v>
      </c>
      <c r="D71">
        <v>5665</v>
      </c>
      <c r="E71" s="5">
        <f t="shared" si="5"/>
        <v>665</v>
      </c>
      <c r="F71" s="5">
        <f t="shared" si="6"/>
        <v>442225</v>
      </c>
      <c r="G71" s="6">
        <f>SQRT(SUM($F$2:F71)/A71)</f>
        <v>1022.7173747284381</v>
      </c>
      <c r="H71" s="5">
        <f t="shared" si="7"/>
        <v>1</v>
      </c>
      <c r="I71" s="5">
        <f t="shared" si="8"/>
        <v>0</v>
      </c>
    </row>
    <row r="72" spans="1:9">
      <c r="A72">
        <v>71</v>
      </c>
      <c r="B72">
        <v>6</v>
      </c>
      <c r="C72">
        <v>5000</v>
      </c>
      <c r="D72">
        <v>5139</v>
      </c>
      <c r="E72" s="5">
        <f t="shared" si="5"/>
        <v>139</v>
      </c>
      <c r="F72" s="5">
        <f t="shared" si="6"/>
        <v>19321</v>
      </c>
      <c r="G72" s="6">
        <f>SQRT(SUM($F$2:F72)/A72)</f>
        <v>1015.6235786555602</v>
      </c>
      <c r="H72" s="5">
        <f t="shared" si="7"/>
        <v>1</v>
      </c>
      <c r="I72" s="5">
        <f t="shared" si="8"/>
        <v>1</v>
      </c>
    </row>
    <row r="73" spans="1:9">
      <c r="A73">
        <v>72</v>
      </c>
      <c r="B73">
        <v>6</v>
      </c>
      <c r="C73">
        <v>5000</v>
      </c>
      <c r="D73">
        <v>5670</v>
      </c>
      <c r="E73" s="5">
        <f t="shared" si="5"/>
        <v>670</v>
      </c>
      <c r="F73" s="5">
        <f t="shared" si="6"/>
        <v>448900</v>
      </c>
      <c r="G73" s="6">
        <f>SQRT(SUM($F$2:F73)/A73)</f>
        <v>1011.6322001267721</v>
      </c>
      <c r="H73" s="5">
        <f t="shared" si="7"/>
        <v>1</v>
      </c>
      <c r="I73" s="5">
        <f t="shared" si="8"/>
        <v>0</v>
      </c>
    </row>
    <row r="74" spans="1:9">
      <c r="A74">
        <v>73</v>
      </c>
      <c r="B74">
        <v>5</v>
      </c>
      <c r="C74">
        <v>5000</v>
      </c>
      <c r="D74">
        <v>4617</v>
      </c>
      <c r="E74" s="5">
        <f t="shared" si="5"/>
        <v>383</v>
      </c>
      <c r="F74" s="5">
        <f t="shared" si="6"/>
        <v>146689</v>
      </c>
      <c r="G74" s="6">
        <f>SQRT(SUM($F$2:F74)/A74)</f>
        <v>1005.6788615670212</v>
      </c>
      <c r="H74" s="5">
        <f t="shared" si="7"/>
        <v>1</v>
      </c>
      <c r="I74" s="5">
        <f t="shared" si="8"/>
        <v>1</v>
      </c>
    </row>
    <row r="75" spans="1:9">
      <c r="A75">
        <v>74</v>
      </c>
      <c r="B75">
        <v>7</v>
      </c>
      <c r="C75">
        <v>5000</v>
      </c>
      <c r="D75">
        <v>4837</v>
      </c>
      <c r="E75" s="5">
        <f t="shared" si="5"/>
        <v>163</v>
      </c>
      <c r="F75" s="5">
        <f t="shared" si="6"/>
        <v>26569</v>
      </c>
      <c r="G75" s="6">
        <f>SQRT(SUM($F$2:F75)/A75)</f>
        <v>999.04033005734107</v>
      </c>
      <c r="H75" s="5">
        <f t="shared" si="7"/>
        <v>1</v>
      </c>
      <c r="I75" s="5">
        <f t="shared" si="8"/>
        <v>1</v>
      </c>
    </row>
    <row r="76" spans="1:9">
      <c r="A76">
        <v>75</v>
      </c>
      <c r="B76">
        <v>6</v>
      </c>
      <c r="C76">
        <v>5000</v>
      </c>
      <c r="D76">
        <v>4180</v>
      </c>
      <c r="E76" s="5">
        <f t="shared" si="5"/>
        <v>820</v>
      </c>
      <c r="F76" s="5">
        <f t="shared" si="6"/>
        <v>672400</v>
      </c>
      <c r="G76" s="6">
        <f>SQRT(SUM($F$2:F76)/A76)</f>
        <v>996.86466483670688</v>
      </c>
      <c r="H76" s="5">
        <f t="shared" si="7"/>
        <v>1</v>
      </c>
      <c r="I76" s="5">
        <f t="shared" si="8"/>
        <v>0</v>
      </c>
    </row>
    <row r="77" spans="1:9">
      <c r="A77">
        <v>76</v>
      </c>
      <c r="B77">
        <v>7</v>
      </c>
      <c r="C77">
        <v>5000</v>
      </c>
      <c r="D77">
        <v>5547</v>
      </c>
      <c r="E77" s="5">
        <f t="shared" si="5"/>
        <v>547</v>
      </c>
      <c r="F77" s="5">
        <f t="shared" si="6"/>
        <v>299209</v>
      </c>
      <c r="G77" s="6">
        <f>SQRT(SUM($F$2:F77)/A77)</f>
        <v>992.2704295015335</v>
      </c>
      <c r="H77" s="5">
        <f t="shared" si="7"/>
        <v>1</v>
      </c>
      <c r="I77" s="5">
        <f t="shared" si="8"/>
        <v>0</v>
      </c>
    </row>
    <row r="78" spans="1:9">
      <c r="A78">
        <v>77</v>
      </c>
      <c r="B78">
        <v>6</v>
      </c>
      <c r="C78">
        <v>5000</v>
      </c>
      <c r="D78">
        <v>4085</v>
      </c>
      <c r="E78" s="5">
        <f t="shared" si="5"/>
        <v>915</v>
      </c>
      <c r="F78" s="5">
        <f t="shared" si="6"/>
        <v>837225</v>
      </c>
      <c r="G78" s="6">
        <f>SQRT(SUM($F$2:F78)/A78)</f>
        <v>991.30552120102527</v>
      </c>
      <c r="H78" s="5">
        <f t="shared" si="7"/>
        <v>1</v>
      </c>
      <c r="I78" s="5">
        <f t="shared" si="8"/>
        <v>0</v>
      </c>
    </row>
    <row r="79" spans="1:9">
      <c r="A79">
        <v>78</v>
      </c>
      <c r="B79">
        <v>8</v>
      </c>
      <c r="C79">
        <v>5000</v>
      </c>
      <c r="D79">
        <v>6649</v>
      </c>
      <c r="E79" s="5">
        <f t="shared" si="5"/>
        <v>1649</v>
      </c>
      <c r="F79" s="5">
        <f t="shared" si="6"/>
        <v>2719201</v>
      </c>
      <c r="G79" s="6">
        <f>SQRT(SUM($F$2:F79)/A79)</f>
        <v>1002.4717656999827</v>
      </c>
      <c r="H79" s="5">
        <f t="shared" si="7"/>
        <v>0</v>
      </c>
      <c r="I79" s="5">
        <f t="shared" si="8"/>
        <v>0</v>
      </c>
    </row>
    <row r="80" spans="1:9">
      <c r="A80">
        <v>79</v>
      </c>
      <c r="B80">
        <v>5</v>
      </c>
      <c r="C80">
        <v>5000</v>
      </c>
      <c r="D80">
        <v>3747</v>
      </c>
      <c r="E80" s="5">
        <f t="shared" si="5"/>
        <v>1253</v>
      </c>
      <c r="F80" s="5">
        <f t="shared" si="6"/>
        <v>1570009</v>
      </c>
      <c r="G80" s="6">
        <f>SQRT(SUM($F$2:F80)/A80)</f>
        <v>1006.0329473427997</v>
      </c>
      <c r="H80" s="5">
        <f t="shared" si="7"/>
        <v>0</v>
      </c>
      <c r="I80" s="5">
        <f t="shared" si="8"/>
        <v>0</v>
      </c>
    </row>
    <row r="81" spans="1:9">
      <c r="A81">
        <v>80</v>
      </c>
      <c r="B81">
        <v>8</v>
      </c>
      <c r="C81">
        <v>5000</v>
      </c>
      <c r="D81">
        <v>6494</v>
      </c>
      <c r="E81" s="5">
        <f t="shared" si="5"/>
        <v>1494</v>
      </c>
      <c r="F81" s="5">
        <f t="shared" si="6"/>
        <v>2232036</v>
      </c>
      <c r="G81" s="6">
        <f>SQRT(SUM($F$2:F81)/A81)</f>
        <v>1013.5834758420245</v>
      </c>
      <c r="H81" s="5">
        <f t="shared" si="7"/>
        <v>0</v>
      </c>
      <c r="I81" s="5">
        <f t="shared" si="8"/>
        <v>0</v>
      </c>
    </row>
    <row r="82" spans="1:9">
      <c r="A82">
        <v>81</v>
      </c>
      <c r="B82">
        <v>5</v>
      </c>
      <c r="C82">
        <v>5000</v>
      </c>
      <c r="D82">
        <v>4451</v>
      </c>
      <c r="E82" s="5">
        <f t="shared" si="5"/>
        <v>549</v>
      </c>
      <c r="F82" s="5">
        <f t="shared" si="6"/>
        <v>301401</v>
      </c>
      <c r="G82" s="6">
        <f>SQRT(SUM($F$2:F82)/A82)</f>
        <v>1009.1526698726566</v>
      </c>
      <c r="H82" s="5">
        <f t="shared" si="7"/>
        <v>1</v>
      </c>
      <c r="I82" s="5">
        <f t="shared" si="8"/>
        <v>0</v>
      </c>
    </row>
    <row r="83" spans="1:9">
      <c r="A83">
        <v>82</v>
      </c>
      <c r="B83">
        <v>7</v>
      </c>
      <c r="C83">
        <v>5000</v>
      </c>
      <c r="D83">
        <v>5792</v>
      </c>
      <c r="E83" s="5">
        <f t="shared" si="5"/>
        <v>792</v>
      </c>
      <c r="F83" s="5">
        <f t="shared" si="6"/>
        <v>627264</v>
      </c>
      <c r="G83" s="6">
        <f>SQRT(SUM($F$2:F83)/A83)</f>
        <v>1006.7866172545833</v>
      </c>
      <c r="H83" s="5">
        <f t="shared" si="7"/>
        <v>1</v>
      </c>
      <c r="I83" s="5">
        <f t="shared" si="8"/>
        <v>0</v>
      </c>
    </row>
    <row r="84" spans="1:9">
      <c r="A84">
        <v>83</v>
      </c>
      <c r="B84">
        <v>5</v>
      </c>
      <c r="C84">
        <v>5000</v>
      </c>
      <c r="D84">
        <v>4103</v>
      </c>
      <c r="E84" s="5">
        <f t="shared" si="5"/>
        <v>897</v>
      </c>
      <c r="F84" s="5">
        <f t="shared" si="6"/>
        <v>804609</v>
      </c>
      <c r="G84" s="6">
        <f>SQRT(SUM($F$2:F84)/A84)</f>
        <v>1005.5352288137608</v>
      </c>
      <c r="H84" s="5">
        <f t="shared" si="7"/>
        <v>1</v>
      </c>
      <c r="I84" s="5">
        <f t="shared" si="8"/>
        <v>0</v>
      </c>
    </row>
    <row r="85" spans="1:9">
      <c r="A85">
        <v>84</v>
      </c>
      <c r="B85">
        <v>7</v>
      </c>
      <c r="C85">
        <v>5000</v>
      </c>
      <c r="D85">
        <v>6364</v>
      </c>
      <c r="E85" s="5">
        <f t="shared" si="5"/>
        <v>1364</v>
      </c>
      <c r="F85" s="5">
        <f t="shared" si="6"/>
        <v>1860496</v>
      </c>
      <c r="G85" s="6">
        <f>SQRT(SUM($F$2:F85)/A85)</f>
        <v>1010.5508104376496</v>
      </c>
      <c r="H85" s="5">
        <f t="shared" si="7"/>
        <v>0</v>
      </c>
      <c r="I85" s="5">
        <f t="shared" si="8"/>
        <v>0</v>
      </c>
    </row>
    <row r="86" spans="1:9">
      <c r="A86">
        <v>85</v>
      </c>
      <c r="B86">
        <v>5</v>
      </c>
      <c r="C86">
        <v>5000</v>
      </c>
      <c r="D86">
        <v>4368</v>
      </c>
      <c r="E86" s="5">
        <f t="shared" si="5"/>
        <v>632</v>
      </c>
      <c r="F86" s="5">
        <f t="shared" si="6"/>
        <v>399424</v>
      </c>
      <c r="G86" s="6">
        <f>SQRT(SUM($F$2:F86)/A86)</f>
        <v>1006.9249110388462</v>
      </c>
      <c r="H86" s="5">
        <f t="shared" si="7"/>
        <v>1</v>
      </c>
      <c r="I86" s="5">
        <f t="shared" si="8"/>
        <v>0</v>
      </c>
    </row>
    <row r="87" spans="1:9">
      <c r="A87">
        <v>86</v>
      </c>
      <c r="B87">
        <v>7</v>
      </c>
      <c r="C87">
        <v>5000</v>
      </c>
      <c r="D87">
        <v>5168</v>
      </c>
      <c r="E87" s="5">
        <f t="shared" si="5"/>
        <v>168</v>
      </c>
      <c r="F87" s="5">
        <f t="shared" si="6"/>
        <v>28224</v>
      </c>
      <c r="G87" s="6">
        <f>SQRT(SUM($F$2:F87)/A87)</f>
        <v>1001.2174856085825</v>
      </c>
      <c r="H87" s="5">
        <f t="shared" si="7"/>
        <v>1</v>
      </c>
      <c r="I87" s="5">
        <f t="shared" si="8"/>
        <v>1</v>
      </c>
    </row>
    <row r="88" spans="1:9">
      <c r="A88">
        <v>87</v>
      </c>
      <c r="B88">
        <v>6</v>
      </c>
      <c r="C88">
        <v>5000</v>
      </c>
      <c r="D88">
        <v>3367</v>
      </c>
      <c r="E88" s="5">
        <f t="shared" si="5"/>
        <v>1633</v>
      </c>
      <c r="F88" s="5">
        <f t="shared" si="6"/>
        <v>2666689</v>
      </c>
      <c r="G88" s="6">
        <f>SQRT(SUM($F$2:F88)/A88)</f>
        <v>1010.7253796672211</v>
      </c>
      <c r="H88" s="5">
        <f t="shared" si="7"/>
        <v>0</v>
      </c>
      <c r="I88" s="5">
        <f t="shared" si="8"/>
        <v>0</v>
      </c>
    </row>
    <row r="89" spans="1:9">
      <c r="A89">
        <v>88</v>
      </c>
      <c r="B89">
        <v>8</v>
      </c>
      <c r="C89">
        <v>5000</v>
      </c>
      <c r="D89">
        <v>2698</v>
      </c>
      <c r="E89" s="5">
        <f t="shared" si="5"/>
        <v>2302</v>
      </c>
      <c r="F89" s="5">
        <f t="shared" si="6"/>
        <v>5299204</v>
      </c>
      <c r="G89" s="6">
        <f>SQRT(SUM($F$2:F89)/A89)</f>
        <v>1034.4927830496538</v>
      </c>
      <c r="H89" s="5">
        <f t="shared" si="7"/>
        <v>0</v>
      </c>
      <c r="I89" s="5">
        <f t="shared" si="8"/>
        <v>0</v>
      </c>
    </row>
    <row r="90" spans="1:9">
      <c r="A90">
        <v>89</v>
      </c>
      <c r="B90">
        <v>9</v>
      </c>
      <c r="C90">
        <v>5000</v>
      </c>
      <c r="D90">
        <v>1792</v>
      </c>
      <c r="E90" s="5">
        <f t="shared" si="5"/>
        <v>3208</v>
      </c>
      <c r="F90" s="5">
        <f t="shared" si="6"/>
        <v>10291264</v>
      </c>
      <c r="G90" s="6">
        <f>SQRT(SUM($F$2:F90)/A90)</f>
        <v>1083.4126896892869</v>
      </c>
      <c r="H90" s="5">
        <f t="shared" si="7"/>
        <v>0</v>
      </c>
      <c r="I90" s="5">
        <f t="shared" si="8"/>
        <v>0</v>
      </c>
    </row>
    <row r="91" spans="1:9">
      <c r="A91">
        <v>90</v>
      </c>
      <c r="B91">
        <v>11</v>
      </c>
      <c r="C91">
        <v>5000</v>
      </c>
      <c r="D91">
        <v>3210</v>
      </c>
      <c r="E91" s="5">
        <f t="shared" si="5"/>
        <v>1790</v>
      </c>
      <c r="F91" s="5">
        <f t="shared" si="6"/>
        <v>3204100</v>
      </c>
      <c r="G91" s="6">
        <f>SQRT(SUM($F$2:F91)/A91)</f>
        <v>1093.7742606833156</v>
      </c>
      <c r="H91" s="5">
        <f t="shared" si="7"/>
        <v>0</v>
      </c>
      <c r="I91" s="5">
        <f t="shared" si="8"/>
        <v>0</v>
      </c>
    </row>
    <row r="92" spans="1:9">
      <c r="A92">
        <v>91</v>
      </c>
      <c r="B92">
        <v>10</v>
      </c>
      <c r="C92">
        <v>5000</v>
      </c>
      <c r="D92">
        <v>5905</v>
      </c>
      <c r="E92" s="5">
        <f t="shared" si="5"/>
        <v>905</v>
      </c>
      <c r="F92" s="5">
        <f t="shared" si="6"/>
        <v>819025</v>
      </c>
      <c r="G92" s="6">
        <f>SQRT(SUM($F$2:F92)/A92)</f>
        <v>1091.877186870754</v>
      </c>
      <c r="H92" s="5">
        <f t="shared" si="7"/>
        <v>1</v>
      </c>
      <c r="I92" s="5">
        <f t="shared" si="8"/>
        <v>0</v>
      </c>
    </row>
    <row r="93" spans="1:9">
      <c r="A93">
        <v>92</v>
      </c>
      <c r="B93">
        <v>7</v>
      </c>
      <c r="C93">
        <v>5000</v>
      </c>
      <c r="D93">
        <v>3865</v>
      </c>
      <c r="E93" s="5">
        <f t="shared" si="5"/>
        <v>1135</v>
      </c>
      <c r="F93" s="5">
        <f t="shared" si="6"/>
        <v>1288225</v>
      </c>
      <c r="G93" s="6">
        <f>SQRT(SUM($F$2:F93)/A93)</f>
        <v>1092.355064508112</v>
      </c>
      <c r="H93" s="5">
        <f t="shared" si="7"/>
        <v>0</v>
      </c>
      <c r="I93" s="5">
        <f t="shared" si="8"/>
        <v>0</v>
      </c>
    </row>
    <row r="94" spans="1:9">
      <c r="A94">
        <v>93</v>
      </c>
      <c r="B94">
        <v>10</v>
      </c>
      <c r="C94">
        <v>5000</v>
      </c>
      <c r="D94">
        <v>6059</v>
      </c>
      <c r="E94" s="5">
        <f t="shared" si="5"/>
        <v>1059</v>
      </c>
      <c r="F94" s="5">
        <f t="shared" si="6"/>
        <v>1121481</v>
      </c>
      <c r="G94" s="6">
        <f>SQRT(SUM($F$2:F94)/A94)</f>
        <v>1092.0018265769118</v>
      </c>
      <c r="H94" s="5">
        <f t="shared" si="7"/>
        <v>0</v>
      </c>
      <c r="I94" s="5">
        <f t="shared" si="8"/>
        <v>0</v>
      </c>
    </row>
    <row r="95" spans="1:9">
      <c r="A95">
        <v>94</v>
      </c>
      <c r="B95">
        <v>7</v>
      </c>
      <c r="C95">
        <v>5000</v>
      </c>
      <c r="D95">
        <v>4149</v>
      </c>
      <c r="E95" s="5">
        <f t="shared" si="5"/>
        <v>851</v>
      </c>
      <c r="F95" s="5">
        <f t="shared" si="6"/>
        <v>724201</v>
      </c>
      <c r="G95" s="6">
        <f>SQRT(SUM($F$2:F95)/A95)</f>
        <v>1089.7185074742536</v>
      </c>
      <c r="H95" s="5">
        <f t="shared" si="7"/>
        <v>1</v>
      </c>
      <c r="I95" s="5">
        <f t="shared" si="8"/>
        <v>0</v>
      </c>
    </row>
    <row r="96" spans="1:9">
      <c r="A96">
        <v>95</v>
      </c>
      <c r="B96">
        <v>9</v>
      </c>
      <c r="C96">
        <v>5000</v>
      </c>
      <c r="D96">
        <v>5175</v>
      </c>
      <c r="E96" s="5">
        <f t="shared" si="5"/>
        <v>175</v>
      </c>
      <c r="F96" s="5">
        <f t="shared" si="6"/>
        <v>30625</v>
      </c>
      <c r="G96" s="6">
        <f>SQRT(SUM($F$2:F96)/A96)</f>
        <v>1084.1166620074175</v>
      </c>
      <c r="H96" s="5">
        <f t="shared" si="7"/>
        <v>1</v>
      </c>
      <c r="I96" s="5">
        <f t="shared" si="8"/>
        <v>1</v>
      </c>
    </row>
    <row r="97" spans="1:9">
      <c r="A97">
        <v>96</v>
      </c>
      <c r="B97">
        <v>8</v>
      </c>
      <c r="C97">
        <v>5000</v>
      </c>
      <c r="D97">
        <v>5002</v>
      </c>
      <c r="E97" s="5">
        <f t="shared" si="5"/>
        <v>2</v>
      </c>
      <c r="F97" s="5">
        <f t="shared" si="6"/>
        <v>4</v>
      </c>
      <c r="G97" s="6">
        <f>SQRT(SUM($F$2:F97)/A97)</f>
        <v>1078.4554590168912</v>
      </c>
      <c r="H97" s="5">
        <f t="shared" si="7"/>
        <v>1</v>
      </c>
      <c r="I97" s="5">
        <f t="shared" si="8"/>
        <v>1</v>
      </c>
    </row>
    <row r="98" spans="1:9">
      <c r="A98">
        <v>97</v>
      </c>
      <c r="B98">
        <v>8</v>
      </c>
      <c r="C98">
        <v>5000</v>
      </c>
      <c r="D98">
        <v>4666</v>
      </c>
      <c r="E98" s="5">
        <f t="shared" si="5"/>
        <v>334</v>
      </c>
      <c r="F98" s="5">
        <f t="shared" si="6"/>
        <v>111556</v>
      </c>
      <c r="G98" s="6">
        <f>SQRT(SUM($F$2:F98)/A98)</f>
        <v>1073.4178431437506</v>
      </c>
      <c r="H98" s="5">
        <f t="shared" si="7"/>
        <v>1</v>
      </c>
      <c r="I98" s="5">
        <f t="shared" si="8"/>
        <v>1</v>
      </c>
    </row>
    <row r="99" spans="1:9">
      <c r="A99">
        <v>98</v>
      </c>
      <c r="B99">
        <v>9</v>
      </c>
      <c r="C99">
        <v>5000</v>
      </c>
      <c r="D99">
        <v>6736</v>
      </c>
      <c r="E99" s="5">
        <f t="shared" si="5"/>
        <v>1736</v>
      </c>
      <c r="F99" s="5">
        <f t="shared" si="6"/>
        <v>3013696</v>
      </c>
      <c r="G99" s="6">
        <f>SQRT(SUM($F$2:F99)/A99)</f>
        <v>1082.2293930510634</v>
      </c>
      <c r="H99" s="5">
        <f t="shared" si="7"/>
        <v>0</v>
      </c>
      <c r="I99" s="5">
        <f t="shared" si="8"/>
        <v>0</v>
      </c>
    </row>
    <row r="100" spans="1:9">
      <c r="A100">
        <v>99</v>
      </c>
      <c r="B100">
        <v>6</v>
      </c>
      <c r="C100">
        <v>5000</v>
      </c>
      <c r="D100">
        <v>5510</v>
      </c>
      <c r="E100" s="5">
        <f t="shared" si="5"/>
        <v>510</v>
      </c>
      <c r="F100" s="5">
        <f t="shared" si="6"/>
        <v>260100</v>
      </c>
      <c r="G100" s="6">
        <f>SQRT(SUM($F$2:F100)/A100)</f>
        <v>1077.9690265597719</v>
      </c>
      <c r="H100" s="5">
        <f t="shared" si="7"/>
        <v>1</v>
      </c>
      <c r="I100" s="5">
        <f t="shared" si="8"/>
        <v>0</v>
      </c>
    </row>
    <row r="101" spans="1:9">
      <c r="A101">
        <v>100</v>
      </c>
      <c r="B101">
        <v>7</v>
      </c>
      <c r="C101">
        <v>5000</v>
      </c>
      <c r="D101">
        <v>5104</v>
      </c>
      <c r="E101" s="5">
        <f t="shared" si="5"/>
        <v>104</v>
      </c>
      <c r="F101" s="5">
        <f t="shared" si="6"/>
        <v>10816</v>
      </c>
      <c r="G101" s="6">
        <f>SQRT(SUM($F$2:F101)/A101)</f>
        <v>1072.6160589884901</v>
      </c>
      <c r="H101" s="5">
        <f t="shared" si="7"/>
        <v>1</v>
      </c>
      <c r="I101" s="5">
        <f t="shared" si="8"/>
        <v>1</v>
      </c>
    </row>
    <row r="102" spans="1:9">
      <c r="A102">
        <v>101</v>
      </c>
      <c r="B102">
        <v>8</v>
      </c>
      <c r="C102">
        <v>6000</v>
      </c>
      <c r="D102">
        <v>5627</v>
      </c>
      <c r="E102" s="5">
        <f t="shared" si="5"/>
        <v>373</v>
      </c>
      <c r="F102" s="5">
        <f t="shared" si="6"/>
        <v>139129</v>
      </c>
      <c r="G102" s="6">
        <f>SQRT(SUM($F$2:F102)/A102)</f>
        <v>1067.9380057655108</v>
      </c>
      <c r="H102" s="5">
        <f t="shared" si="7"/>
        <v>1</v>
      </c>
      <c r="I102" s="5">
        <f t="shared" si="8"/>
        <v>1</v>
      </c>
    </row>
    <row r="103" spans="1:9">
      <c r="A103">
        <v>102</v>
      </c>
      <c r="B103">
        <v>8</v>
      </c>
      <c r="C103">
        <v>6000</v>
      </c>
      <c r="D103">
        <v>5386</v>
      </c>
      <c r="E103" s="5">
        <f t="shared" si="5"/>
        <v>614</v>
      </c>
      <c r="F103" s="5">
        <f t="shared" si="6"/>
        <v>376996</v>
      </c>
      <c r="G103" s="6">
        <f>SQRT(SUM($F$2:F103)/A103)</f>
        <v>1064.4277022575716</v>
      </c>
      <c r="H103" s="5">
        <f t="shared" si="7"/>
        <v>1</v>
      </c>
      <c r="I103" s="5">
        <f t="shared" si="8"/>
        <v>0</v>
      </c>
    </row>
    <row r="104" spans="1:9">
      <c r="A104">
        <v>103</v>
      </c>
      <c r="B104">
        <v>9</v>
      </c>
      <c r="C104">
        <v>6000</v>
      </c>
      <c r="D104">
        <v>6731</v>
      </c>
      <c r="E104" s="5">
        <f t="shared" si="5"/>
        <v>731</v>
      </c>
      <c r="F104" s="5">
        <f t="shared" si="6"/>
        <v>534361</v>
      </c>
      <c r="G104" s="6">
        <f>SQRT(SUM($F$2:F104)/A104)</f>
        <v>1061.6940438367574</v>
      </c>
      <c r="H104" s="5">
        <f t="shared" si="7"/>
        <v>1</v>
      </c>
      <c r="I104" s="5">
        <f t="shared" si="8"/>
        <v>0</v>
      </c>
    </row>
    <row r="105" spans="1:9">
      <c r="A105">
        <v>104</v>
      </c>
      <c r="B105">
        <v>7</v>
      </c>
      <c r="C105">
        <v>6000</v>
      </c>
      <c r="D105">
        <v>4886</v>
      </c>
      <c r="E105" s="5">
        <f t="shared" si="5"/>
        <v>1114</v>
      </c>
      <c r="F105" s="5">
        <f t="shared" si="6"/>
        <v>1240996</v>
      </c>
      <c r="G105" s="6">
        <f>SQRT(SUM($F$2:F105)/A105)</f>
        <v>1062.2092498112675</v>
      </c>
      <c r="H105" s="5">
        <f t="shared" si="7"/>
        <v>1</v>
      </c>
      <c r="I105" s="5">
        <f t="shared" si="8"/>
        <v>0</v>
      </c>
    </row>
    <row r="106" spans="1:9">
      <c r="A106">
        <v>105</v>
      </c>
      <c r="B106">
        <v>9</v>
      </c>
      <c r="C106">
        <v>6000</v>
      </c>
      <c r="D106">
        <v>5681</v>
      </c>
      <c r="E106" s="5">
        <f t="shared" si="5"/>
        <v>319</v>
      </c>
      <c r="F106" s="5">
        <f t="shared" si="6"/>
        <v>101761</v>
      </c>
      <c r="G106" s="6">
        <f>SQRT(SUM($F$2:F106)/A106)</f>
        <v>1057.5972948600229</v>
      </c>
      <c r="H106" s="5">
        <f t="shared" si="7"/>
        <v>1</v>
      </c>
      <c r="I106" s="5">
        <f t="shared" si="8"/>
        <v>1</v>
      </c>
    </row>
    <row r="107" spans="1:9">
      <c r="A107">
        <v>106</v>
      </c>
      <c r="B107">
        <v>9</v>
      </c>
      <c r="C107">
        <v>6000</v>
      </c>
      <c r="D107">
        <v>6112</v>
      </c>
      <c r="E107" s="5">
        <f t="shared" si="5"/>
        <v>112</v>
      </c>
      <c r="F107" s="5">
        <f t="shared" si="6"/>
        <v>12544</v>
      </c>
      <c r="G107" s="6">
        <f>SQRT(SUM($F$2:F107)/A107)</f>
        <v>1052.6530185006313</v>
      </c>
      <c r="H107" s="5">
        <f t="shared" si="7"/>
        <v>1</v>
      </c>
      <c r="I107" s="5">
        <f t="shared" si="8"/>
        <v>1</v>
      </c>
    </row>
    <row r="108" spans="1:9">
      <c r="A108">
        <v>107</v>
      </c>
      <c r="B108">
        <v>8</v>
      </c>
      <c r="C108">
        <v>6000</v>
      </c>
      <c r="D108">
        <v>5421</v>
      </c>
      <c r="E108" s="5">
        <f t="shared" si="5"/>
        <v>579</v>
      </c>
      <c r="F108" s="5">
        <f t="shared" si="6"/>
        <v>335241</v>
      </c>
      <c r="G108" s="6">
        <f>SQRT(SUM($F$2:F108)/A108)</f>
        <v>1049.216659289606</v>
      </c>
      <c r="H108" s="5">
        <f t="shared" si="7"/>
        <v>1</v>
      </c>
      <c r="I108" s="5">
        <f t="shared" si="8"/>
        <v>1</v>
      </c>
    </row>
    <row r="109" spans="1:9">
      <c r="A109">
        <v>108</v>
      </c>
      <c r="B109">
        <v>9</v>
      </c>
      <c r="C109">
        <v>6000</v>
      </c>
      <c r="D109">
        <v>5653</v>
      </c>
      <c r="E109" s="5">
        <f t="shared" si="5"/>
        <v>347</v>
      </c>
      <c r="F109" s="5">
        <f t="shared" si="6"/>
        <v>120409</v>
      </c>
      <c r="G109" s="6">
        <f>SQRT(SUM($F$2:F109)/A109)</f>
        <v>1044.8815190675396</v>
      </c>
      <c r="H109" s="5">
        <f t="shared" si="7"/>
        <v>1</v>
      </c>
      <c r="I109" s="5">
        <f t="shared" si="8"/>
        <v>1</v>
      </c>
    </row>
    <row r="110" spans="1:9">
      <c r="A110">
        <v>109</v>
      </c>
      <c r="B110">
        <v>9</v>
      </c>
      <c r="C110">
        <v>6000</v>
      </c>
      <c r="D110">
        <v>5395</v>
      </c>
      <c r="E110" s="5">
        <f t="shared" si="5"/>
        <v>605</v>
      </c>
      <c r="F110" s="5">
        <f t="shared" si="6"/>
        <v>366025</v>
      </c>
      <c r="G110" s="6">
        <f>SQRT(SUM($F$2:F110)/A110)</f>
        <v>1041.6905059045816</v>
      </c>
      <c r="H110" s="5">
        <f t="shared" si="7"/>
        <v>1</v>
      </c>
      <c r="I110" s="5">
        <f t="shared" si="8"/>
        <v>0</v>
      </c>
    </row>
    <row r="111" spans="1:9">
      <c r="A111">
        <v>110</v>
      </c>
      <c r="B111">
        <v>9</v>
      </c>
      <c r="C111">
        <v>6000</v>
      </c>
      <c r="D111">
        <v>6406</v>
      </c>
      <c r="E111" s="5">
        <f t="shared" si="5"/>
        <v>406</v>
      </c>
      <c r="F111" s="5">
        <f t="shared" si="6"/>
        <v>164836</v>
      </c>
      <c r="G111" s="6">
        <f>SQRT(SUM($F$2:F111)/A111)</f>
        <v>1037.6670467929489</v>
      </c>
      <c r="H111" s="5">
        <f t="shared" si="7"/>
        <v>1</v>
      </c>
      <c r="I111" s="5">
        <f t="shared" si="8"/>
        <v>1</v>
      </c>
    </row>
    <row r="112" spans="1:9">
      <c r="A112">
        <v>111</v>
      </c>
      <c r="B112">
        <v>8</v>
      </c>
      <c r="C112">
        <v>6000</v>
      </c>
      <c r="D112">
        <v>5409</v>
      </c>
      <c r="E112" s="5">
        <f t="shared" si="5"/>
        <v>591</v>
      </c>
      <c r="F112" s="5">
        <f t="shared" si="6"/>
        <v>349281</v>
      </c>
      <c r="G112" s="6">
        <f>SQRT(SUM($F$2:F112)/A112)</f>
        <v>1034.5042769844401</v>
      </c>
      <c r="H112" s="5">
        <f t="shared" si="7"/>
        <v>1</v>
      </c>
      <c r="I112" s="5">
        <f t="shared" si="8"/>
        <v>1</v>
      </c>
    </row>
    <row r="113" spans="1:9">
      <c r="A113">
        <v>112</v>
      </c>
      <c r="B113">
        <v>9</v>
      </c>
      <c r="C113">
        <v>6000</v>
      </c>
      <c r="D113">
        <v>6336</v>
      </c>
      <c r="E113" s="5">
        <f t="shared" si="5"/>
        <v>336</v>
      </c>
      <c r="F113" s="5">
        <f t="shared" si="6"/>
        <v>112896</v>
      </c>
      <c r="G113" s="6">
        <f>SQRT(SUM($F$2:F113)/A113)</f>
        <v>1030.3648625608309</v>
      </c>
      <c r="H113" s="5">
        <f t="shared" si="7"/>
        <v>1</v>
      </c>
      <c r="I113" s="5">
        <f t="shared" si="8"/>
        <v>1</v>
      </c>
    </row>
    <row r="114" spans="1:9">
      <c r="A114">
        <v>113</v>
      </c>
      <c r="B114">
        <v>8</v>
      </c>
      <c r="C114">
        <v>6000</v>
      </c>
      <c r="D114">
        <v>5958</v>
      </c>
      <c r="E114" s="5">
        <f t="shared" si="5"/>
        <v>42</v>
      </c>
      <c r="F114" s="5">
        <f t="shared" si="6"/>
        <v>1764</v>
      </c>
      <c r="G114" s="6">
        <f>SQRT(SUM($F$2:F114)/A114)</f>
        <v>1025.8032035382714</v>
      </c>
      <c r="H114" s="5">
        <f t="shared" si="7"/>
        <v>1</v>
      </c>
      <c r="I114" s="5">
        <f t="shared" si="8"/>
        <v>1</v>
      </c>
    </row>
    <row r="115" spans="1:9">
      <c r="A115">
        <v>114</v>
      </c>
      <c r="B115">
        <v>9</v>
      </c>
      <c r="C115">
        <v>6000</v>
      </c>
      <c r="D115">
        <v>6061</v>
      </c>
      <c r="E115" s="5">
        <f t="shared" si="5"/>
        <v>61</v>
      </c>
      <c r="F115" s="5">
        <f t="shared" si="6"/>
        <v>3721</v>
      </c>
      <c r="G115" s="6">
        <f>SQRT(SUM($F$2:F115)/A115)</f>
        <v>1021.3101364114831</v>
      </c>
      <c r="H115" s="5">
        <f t="shared" si="7"/>
        <v>1</v>
      </c>
      <c r="I115" s="5">
        <f t="shared" si="8"/>
        <v>1</v>
      </c>
    </row>
    <row r="116" spans="1:9">
      <c r="A116">
        <v>115</v>
      </c>
      <c r="B116">
        <v>9</v>
      </c>
      <c r="C116">
        <v>6000</v>
      </c>
      <c r="D116">
        <v>5831</v>
      </c>
      <c r="E116" s="5">
        <f t="shared" si="5"/>
        <v>169</v>
      </c>
      <c r="F116" s="5">
        <f t="shared" si="6"/>
        <v>28561</v>
      </c>
      <c r="G116" s="6">
        <f>SQRT(SUM($F$2:F116)/A116)</f>
        <v>1016.9820741440996</v>
      </c>
      <c r="H116" s="5">
        <f t="shared" si="7"/>
        <v>1</v>
      </c>
      <c r="I116" s="5">
        <f t="shared" si="8"/>
        <v>1</v>
      </c>
    </row>
    <row r="117" spans="1:9">
      <c r="A117">
        <v>116</v>
      </c>
      <c r="B117">
        <v>9</v>
      </c>
      <c r="C117">
        <v>6000</v>
      </c>
      <c r="D117">
        <v>6000</v>
      </c>
      <c r="E117" s="5">
        <f t="shared" si="5"/>
        <v>0</v>
      </c>
      <c r="F117" s="5">
        <f t="shared" si="6"/>
        <v>0</v>
      </c>
      <c r="G117" s="6">
        <f>SQRT(SUM($F$2:F117)/A117)</f>
        <v>1012.5890424873841</v>
      </c>
      <c r="H117" s="5">
        <f t="shared" si="7"/>
        <v>1</v>
      </c>
      <c r="I117" s="5">
        <f t="shared" si="8"/>
        <v>1</v>
      </c>
    </row>
    <row r="118" spans="1:9">
      <c r="A118">
        <v>117</v>
      </c>
      <c r="B118">
        <v>9</v>
      </c>
      <c r="C118">
        <v>6000</v>
      </c>
      <c r="D118">
        <v>7025</v>
      </c>
      <c r="E118" s="5">
        <f t="shared" si="5"/>
        <v>1025</v>
      </c>
      <c r="F118" s="5">
        <f t="shared" si="6"/>
        <v>1050625</v>
      </c>
      <c r="G118" s="6">
        <f>SQRT(SUM($F$2:F118)/A118)</f>
        <v>1012.695763495488</v>
      </c>
      <c r="H118" s="5">
        <f t="shared" si="7"/>
        <v>1</v>
      </c>
      <c r="I118" s="5">
        <f t="shared" si="8"/>
        <v>0</v>
      </c>
    </row>
    <row r="119" spans="1:9">
      <c r="A119">
        <v>118</v>
      </c>
      <c r="B119">
        <v>8</v>
      </c>
      <c r="C119">
        <v>6000</v>
      </c>
      <c r="D119">
        <v>6068</v>
      </c>
      <c r="E119" s="5">
        <f t="shared" si="5"/>
        <v>68</v>
      </c>
      <c r="F119" s="5">
        <f t="shared" si="6"/>
        <v>4624</v>
      </c>
      <c r="G119" s="6">
        <f>SQRT(SUM($F$2:F119)/A119)</f>
        <v>1008.414979651949</v>
      </c>
      <c r="H119" s="5">
        <f t="shared" si="7"/>
        <v>1</v>
      </c>
      <c r="I119" s="5">
        <f t="shared" si="8"/>
        <v>1</v>
      </c>
    </row>
    <row r="120" spans="1:9">
      <c r="A120">
        <v>119</v>
      </c>
      <c r="B120">
        <v>8</v>
      </c>
      <c r="C120">
        <v>6000</v>
      </c>
      <c r="D120">
        <v>7646</v>
      </c>
      <c r="E120" s="5">
        <f t="shared" si="5"/>
        <v>1646</v>
      </c>
      <c r="F120" s="5">
        <f t="shared" si="6"/>
        <v>2709316</v>
      </c>
      <c r="G120" s="6">
        <f>SQRT(SUM($F$2:F120)/A120)</f>
        <v>1015.4421440432535</v>
      </c>
      <c r="H120" s="5">
        <f t="shared" si="7"/>
        <v>0</v>
      </c>
      <c r="I120" s="5">
        <f t="shared" si="8"/>
        <v>0</v>
      </c>
    </row>
    <row r="121" spans="1:9">
      <c r="A121">
        <v>120</v>
      </c>
      <c r="B121">
        <v>6</v>
      </c>
      <c r="C121">
        <v>6000</v>
      </c>
      <c r="D121">
        <v>4216</v>
      </c>
      <c r="E121" s="5">
        <f t="shared" si="5"/>
        <v>1784</v>
      </c>
      <c r="F121" s="5">
        <f t="shared" si="6"/>
        <v>3182656</v>
      </c>
      <c r="G121" s="6">
        <f>SQRT(SUM($F$2:F121)/A121)</f>
        <v>1024.2324890700679</v>
      </c>
      <c r="H121" s="5">
        <f t="shared" si="7"/>
        <v>0</v>
      </c>
      <c r="I121" s="5">
        <f t="shared" si="8"/>
        <v>0</v>
      </c>
    </row>
    <row r="122" spans="1:9">
      <c r="A122">
        <v>121</v>
      </c>
      <c r="B122">
        <v>10</v>
      </c>
      <c r="C122">
        <v>6000</v>
      </c>
      <c r="D122">
        <v>6482</v>
      </c>
      <c r="E122" s="5">
        <f t="shared" si="5"/>
        <v>482</v>
      </c>
      <c r="F122" s="5">
        <f t="shared" si="6"/>
        <v>232324</v>
      </c>
      <c r="G122" s="6">
        <f>SQRT(SUM($F$2:F122)/A122)</f>
        <v>1020.9321093495034</v>
      </c>
      <c r="H122" s="5">
        <f t="shared" si="7"/>
        <v>1</v>
      </c>
      <c r="I122" s="5">
        <f t="shared" si="8"/>
        <v>1</v>
      </c>
    </row>
    <row r="123" spans="1:9">
      <c r="A123">
        <v>122</v>
      </c>
      <c r="B123">
        <v>8</v>
      </c>
      <c r="C123">
        <v>6000</v>
      </c>
      <c r="D123">
        <v>4585</v>
      </c>
      <c r="E123" s="5">
        <f t="shared" si="5"/>
        <v>1415</v>
      </c>
      <c r="F123" s="5">
        <f t="shared" si="6"/>
        <v>2002225</v>
      </c>
      <c r="G123" s="6">
        <f>SQRT(SUM($F$2:F123)/A123)</f>
        <v>1024.7783126920351</v>
      </c>
      <c r="H123" s="5">
        <f t="shared" si="7"/>
        <v>0</v>
      </c>
      <c r="I123" s="5">
        <f t="shared" si="8"/>
        <v>0</v>
      </c>
    </row>
    <row r="124" spans="1:9">
      <c r="A124">
        <v>123</v>
      </c>
      <c r="B124">
        <v>10</v>
      </c>
      <c r="C124">
        <v>6000</v>
      </c>
      <c r="D124">
        <v>6017</v>
      </c>
      <c r="E124" s="5">
        <f t="shared" si="5"/>
        <v>17</v>
      </c>
      <c r="F124" s="5">
        <f t="shared" si="6"/>
        <v>289</v>
      </c>
      <c r="G124" s="6">
        <f>SQRT(SUM($F$2:F124)/A124)</f>
        <v>1020.6051966748331</v>
      </c>
      <c r="H124" s="5">
        <f t="shared" si="7"/>
        <v>1</v>
      </c>
      <c r="I124" s="5">
        <f t="shared" si="8"/>
        <v>1</v>
      </c>
    </row>
    <row r="125" spans="1:9">
      <c r="A125">
        <v>124</v>
      </c>
      <c r="B125">
        <v>9</v>
      </c>
      <c r="C125">
        <v>6000</v>
      </c>
      <c r="D125">
        <v>5874</v>
      </c>
      <c r="E125" s="5">
        <f t="shared" si="5"/>
        <v>126</v>
      </c>
      <c r="F125" s="5">
        <f t="shared" si="6"/>
        <v>15876</v>
      </c>
      <c r="G125" s="6">
        <f>SQRT(SUM($F$2:F125)/A125)</f>
        <v>1016.5444986531261</v>
      </c>
      <c r="H125" s="5">
        <f t="shared" si="7"/>
        <v>1</v>
      </c>
      <c r="I125" s="5">
        <f t="shared" si="8"/>
        <v>1</v>
      </c>
    </row>
    <row r="126" spans="1:9">
      <c r="A126">
        <v>125</v>
      </c>
      <c r="B126">
        <v>9</v>
      </c>
      <c r="C126">
        <v>6000</v>
      </c>
      <c r="D126">
        <v>5449</v>
      </c>
      <c r="E126" s="5">
        <f t="shared" si="5"/>
        <v>551</v>
      </c>
      <c r="F126" s="5">
        <f t="shared" si="6"/>
        <v>303601</v>
      </c>
      <c r="G126" s="6">
        <f>SQRT(SUM($F$2:F126)/A126)</f>
        <v>1013.6688926863643</v>
      </c>
      <c r="H126" s="5">
        <f t="shared" si="7"/>
        <v>1</v>
      </c>
      <c r="I126" s="5">
        <f t="shared" si="8"/>
        <v>1</v>
      </c>
    </row>
    <row r="127" spans="1:9">
      <c r="A127">
        <v>126</v>
      </c>
      <c r="B127">
        <v>10</v>
      </c>
      <c r="C127">
        <v>6000</v>
      </c>
      <c r="D127">
        <v>6282</v>
      </c>
      <c r="E127" s="5">
        <f t="shared" si="5"/>
        <v>282</v>
      </c>
      <c r="F127" s="5">
        <f t="shared" si="6"/>
        <v>79524</v>
      </c>
      <c r="G127" s="6">
        <f>SQRT(SUM($F$2:F127)/A127)</f>
        <v>1009.9508946101338</v>
      </c>
      <c r="H127" s="5">
        <f t="shared" si="7"/>
        <v>1</v>
      </c>
      <c r="I127" s="5">
        <f t="shared" si="8"/>
        <v>1</v>
      </c>
    </row>
    <row r="128" spans="1:9">
      <c r="A128">
        <v>127</v>
      </c>
      <c r="B128">
        <v>9</v>
      </c>
      <c r="C128">
        <v>6000</v>
      </c>
      <c r="D128">
        <v>6167</v>
      </c>
      <c r="E128" s="5">
        <f t="shared" si="5"/>
        <v>167</v>
      </c>
      <c r="F128" s="5">
        <f t="shared" si="6"/>
        <v>27889</v>
      </c>
      <c r="G128" s="6">
        <f>SQRT(SUM($F$2:F128)/A128)</f>
        <v>1006.0759939049391</v>
      </c>
      <c r="H128" s="5">
        <f t="shared" si="7"/>
        <v>1</v>
      </c>
      <c r="I128" s="5">
        <f t="shared" si="8"/>
        <v>1</v>
      </c>
    </row>
    <row r="129" spans="1:9">
      <c r="A129">
        <v>128</v>
      </c>
      <c r="B129">
        <v>9</v>
      </c>
      <c r="C129">
        <v>6000</v>
      </c>
      <c r="D129">
        <v>6181</v>
      </c>
      <c r="E129" s="5">
        <f t="shared" si="5"/>
        <v>181</v>
      </c>
      <c r="F129" s="5">
        <f t="shared" si="6"/>
        <v>32761</v>
      </c>
      <c r="G129" s="6">
        <f>SQRT(SUM($F$2:F129)/A129)</f>
        <v>1002.2659951330286</v>
      </c>
      <c r="H129" s="5">
        <f t="shared" si="7"/>
        <v>1</v>
      </c>
      <c r="I129" s="5">
        <f t="shared" si="8"/>
        <v>1</v>
      </c>
    </row>
    <row r="130" spans="1:9">
      <c r="A130">
        <v>129</v>
      </c>
      <c r="B130">
        <v>9</v>
      </c>
      <c r="C130">
        <v>6000</v>
      </c>
      <c r="D130">
        <v>6150</v>
      </c>
      <c r="E130" s="5">
        <f t="shared" si="5"/>
        <v>150</v>
      </c>
      <c r="F130" s="5">
        <f t="shared" si="6"/>
        <v>22500</v>
      </c>
      <c r="G130" s="6">
        <f>SQRT(SUM($F$2:F130)/A130)</f>
        <v>998.46103284431047</v>
      </c>
      <c r="H130" s="5">
        <f t="shared" si="7"/>
        <v>1</v>
      </c>
      <c r="I130" s="5">
        <f t="shared" si="8"/>
        <v>1</v>
      </c>
    </row>
    <row r="131" spans="1:9">
      <c r="A131">
        <v>130</v>
      </c>
      <c r="B131">
        <v>9</v>
      </c>
      <c r="C131">
        <v>6000</v>
      </c>
      <c r="D131">
        <v>5499</v>
      </c>
      <c r="E131" s="5">
        <f t="shared" ref="E131:E194" si="9">ABS(C131-D131)</f>
        <v>501</v>
      </c>
      <c r="F131" s="5">
        <f t="shared" ref="F131:F194" si="10">POWER(E131,2)</f>
        <v>251001</v>
      </c>
      <c r="G131" s="6">
        <f>SQRT(SUM($F$2:F131)/A131)</f>
        <v>995.58352815746287</v>
      </c>
      <c r="H131" s="5">
        <f t="shared" ref="H131:H194" si="11">IF(ABS(E131)/C131&gt;0.2,0,1)</f>
        <v>1</v>
      </c>
      <c r="I131" s="5">
        <f t="shared" ref="I131:I194" si="12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6047</v>
      </c>
      <c r="E132" s="5">
        <f t="shared" si="9"/>
        <v>47</v>
      </c>
      <c r="F132" s="5">
        <f t="shared" si="10"/>
        <v>2209</v>
      </c>
      <c r="G132" s="6">
        <f>SQRT(SUM($F$2:F132)/A132)</f>
        <v>991.78481259989906</v>
      </c>
      <c r="H132" s="5">
        <f t="shared" si="11"/>
        <v>1</v>
      </c>
      <c r="I132" s="5">
        <f t="shared" si="12"/>
        <v>1</v>
      </c>
    </row>
    <row r="133" spans="1:9">
      <c r="A133">
        <v>132</v>
      </c>
      <c r="B133">
        <v>9</v>
      </c>
      <c r="C133">
        <v>6000</v>
      </c>
      <c r="D133">
        <v>5543</v>
      </c>
      <c r="E133" s="5">
        <f t="shared" si="9"/>
        <v>457</v>
      </c>
      <c r="F133" s="5">
        <f t="shared" si="10"/>
        <v>208849</v>
      </c>
      <c r="G133" s="6">
        <f>SQRT(SUM($F$2:F133)/A133)</f>
        <v>988.82127180585951</v>
      </c>
      <c r="H133" s="5">
        <f t="shared" si="11"/>
        <v>1</v>
      </c>
      <c r="I133" s="5">
        <f t="shared" si="12"/>
        <v>1</v>
      </c>
    </row>
    <row r="134" spans="1:9">
      <c r="A134">
        <v>133</v>
      </c>
      <c r="B134">
        <v>9</v>
      </c>
      <c r="C134">
        <v>6000</v>
      </c>
      <c r="D134">
        <v>5427</v>
      </c>
      <c r="E134" s="5">
        <f t="shared" si="9"/>
        <v>573</v>
      </c>
      <c r="F134" s="5">
        <f t="shared" si="10"/>
        <v>328329</v>
      </c>
      <c r="G134" s="6">
        <f>SQRT(SUM($F$2:F134)/A134)</f>
        <v>986.3490818560108</v>
      </c>
      <c r="H134" s="5">
        <f t="shared" si="11"/>
        <v>1</v>
      </c>
      <c r="I134" s="5">
        <f t="shared" si="12"/>
        <v>1</v>
      </c>
    </row>
    <row r="135" spans="1:9">
      <c r="A135">
        <v>134</v>
      </c>
      <c r="B135">
        <v>10</v>
      </c>
      <c r="C135">
        <v>6000</v>
      </c>
      <c r="D135">
        <v>6302</v>
      </c>
      <c r="E135" s="5">
        <f t="shared" si="9"/>
        <v>302</v>
      </c>
      <c r="F135" s="5">
        <f t="shared" si="10"/>
        <v>91204</v>
      </c>
      <c r="G135" s="6">
        <f>SQRT(SUM($F$2:F135)/A135)</f>
        <v>983.00803962640566</v>
      </c>
      <c r="H135" s="5">
        <f t="shared" si="11"/>
        <v>1</v>
      </c>
      <c r="I135" s="5">
        <f t="shared" si="12"/>
        <v>1</v>
      </c>
    </row>
    <row r="136" spans="1:9">
      <c r="A136">
        <v>135</v>
      </c>
      <c r="B136">
        <v>9</v>
      </c>
      <c r="C136">
        <v>6000</v>
      </c>
      <c r="D136">
        <v>5536</v>
      </c>
      <c r="E136" s="5">
        <f t="shared" si="9"/>
        <v>464</v>
      </c>
      <c r="F136" s="5">
        <f t="shared" si="10"/>
        <v>215296</v>
      </c>
      <c r="G136" s="6">
        <f>SQRT(SUM($F$2:F136)/A136)</f>
        <v>980.1743609061491</v>
      </c>
      <c r="H136" s="5">
        <f t="shared" si="11"/>
        <v>1</v>
      </c>
      <c r="I136" s="5">
        <f t="shared" si="12"/>
        <v>1</v>
      </c>
    </row>
    <row r="137" spans="1:9">
      <c r="A137">
        <v>136</v>
      </c>
      <c r="B137">
        <v>10</v>
      </c>
      <c r="C137">
        <v>6000</v>
      </c>
      <c r="D137">
        <v>5643</v>
      </c>
      <c r="E137" s="5">
        <f t="shared" si="9"/>
        <v>357</v>
      </c>
      <c r="F137" s="5">
        <f t="shared" si="10"/>
        <v>127449</v>
      </c>
      <c r="G137" s="6">
        <f>SQRT(SUM($F$2:F137)/A137)</f>
        <v>977.04381938580423</v>
      </c>
      <c r="H137" s="5">
        <f t="shared" si="11"/>
        <v>1</v>
      </c>
      <c r="I137" s="5">
        <f t="shared" si="12"/>
        <v>1</v>
      </c>
    </row>
    <row r="138" spans="1:9">
      <c r="A138">
        <v>137</v>
      </c>
      <c r="B138">
        <v>10</v>
      </c>
      <c r="C138">
        <v>6000</v>
      </c>
      <c r="D138">
        <v>6362</v>
      </c>
      <c r="E138" s="5">
        <f t="shared" si="9"/>
        <v>362</v>
      </c>
      <c r="F138" s="5">
        <f t="shared" si="10"/>
        <v>131044</v>
      </c>
      <c r="G138" s="6">
        <f>SQRT(SUM($F$2:F138)/A138)</f>
        <v>973.96260738487365</v>
      </c>
      <c r="H138" s="5">
        <f t="shared" si="11"/>
        <v>1</v>
      </c>
      <c r="I138" s="5">
        <f t="shared" si="12"/>
        <v>1</v>
      </c>
    </row>
    <row r="139" spans="1:9">
      <c r="A139">
        <v>138</v>
      </c>
      <c r="B139">
        <v>9</v>
      </c>
      <c r="C139">
        <v>6000</v>
      </c>
      <c r="D139">
        <v>5370</v>
      </c>
      <c r="E139" s="5">
        <f t="shared" si="9"/>
        <v>630</v>
      </c>
      <c r="F139" s="5">
        <f t="shared" si="10"/>
        <v>396900</v>
      </c>
      <c r="G139" s="6">
        <f>SQRT(SUM($F$2:F139)/A139)</f>
        <v>971.90807774922973</v>
      </c>
      <c r="H139" s="5">
        <f t="shared" si="11"/>
        <v>1</v>
      </c>
      <c r="I139" s="5">
        <f t="shared" si="12"/>
        <v>0</v>
      </c>
    </row>
    <row r="140" spans="1:9">
      <c r="A140">
        <v>139</v>
      </c>
      <c r="B140">
        <v>10</v>
      </c>
      <c r="C140">
        <v>6000</v>
      </c>
      <c r="D140">
        <v>6626</v>
      </c>
      <c r="E140" s="5">
        <f t="shared" si="9"/>
        <v>626</v>
      </c>
      <c r="F140" s="5">
        <f t="shared" si="10"/>
        <v>391876</v>
      </c>
      <c r="G140" s="6">
        <f>SQRT(SUM($F$2:F140)/A140)</f>
        <v>969.86021762242558</v>
      </c>
      <c r="H140" s="5">
        <f t="shared" si="11"/>
        <v>1</v>
      </c>
      <c r="I140" s="5">
        <f t="shared" si="12"/>
        <v>0</v>
      </c>
    </row>
    <row r="141" spans="1:9">
      <c r="A141">
        <v>140</v>
      </c>
      <c r="B141">
        <v>9</v>
      </c>
      <c r="C141">
        <v>6000</v>
      </c>
      <c r="D141">
        <v>5452</v>
      </c>
      <c r="E141" s="5">
        <f t="shared" si="9"/>
        <v>548</v>
      </c>
      <c r="F141" s="5">
        <f t="shared" si="10"/>
        <v>300304</v>
      </c>
      <c r="G141" s="6">
        <f>SQRT(SUM($F$2:F141)/A141)</f>
        <v>967.49940199317075</v>
      </c>
      <c r="H141" s="5">
        <f t="shared" si="11"/>
        <v>1</v>
      </c>
      <c r="I141" s="5">
        <f t="shared" si="12"/>
        <v>1</v>
      </c>
    </row>
    <row r="142" spans="1:9">
      <c r="A142">
        <v>141</v>
      </c>
      <c r="B142">
        <v>10</v>
      </c>
      <c r="C142">
        <v>6000</v>
      </c>
      <c r="D142">
        <v>6744</v>
      </c>
      <c r="E142" s="5">
        <f t="shared" si="9"/>
        <v>744</v>
      </c>
      <c r="F142" s="5">
        <f t="shared" si="10"/>
        <v>553536</v>
      </c>
      <c r="G142" s="6">
        <f>SQRT(SUM($F$2:F142)/A142)</f>
        <v>966.09636759971397</v>
      </c>
      <c r="H142" s="5">
        <f t="shared" si="11"/>
        <v>1</v>
      </c>
      <c r="I142" s="5">
        <f t="shared" si="12"/>
        <v>0</v>
      </c>
    </row>
    <row r="143" spans="1:9">
      <c r="A143">
        <v>142</v>
      </c>
      <c r="B143">
        <v>8</v>
      </c>
      <c r="C143">
        <v>6000</v>
      </c>
      <c r="D143">
        <v>5089</v>
      </c>
      <c r="E143" s="5">
        <f t="shared" si="9"/>
        <v>911</v>
      </c>
      <c r="F143" s="5">
        <f t="shared" si="10"/>
        <v>829921</v>
      </c>
      <c r="G143" s="6">
        <f>SQRT(SUM($F$2:F143)/A143)</f>
        <v>965.71935531987583</v>
      </c>
      <c r="H143" s="5">
        <f t="shared" si="11"/>
        <v>1</v>
      </c>
      <c r="I143" s="5">
        <f t="shared" si="12"/>
        <v>0</v>
      </c>
    </row>
    <row r="144" spans="1:9">
      <c r="A144">
        <v>143</v>
      </c>
      <c r="B144">
        <v>10</v>
      </c>
      <c r="C144">
        <v>6000</v>
      </c>
      <c r="D144">
        <v>7240</v>
      </c>
      <c r="E144" s="5">
        <f t="shared" si="9"/>
        <v>1240</v>
      </c>
      <c r="F144" s="5">
        <f t="shared" si="10"/>
        <v>1537600</v>
      </c>
      <c r="G144" s="6">
        <f>SQRT(SUM($F$2:F144)/A144)</f>
        <v>967.90730209795686</v>
      </c>
      <c r="H144" s="5">
        <f t="shared" si="11"/>
        <v>0</v>
      </c>
      <c r="I144" s="5">
        <f t="shared" si="12"/>
        <v>0</v>
      </c>
    </row>
    <row r="145" spans="1:9">
      <c r="A145">
        <v>144</v>
      </c>
      <c r="B145">
        <v>8</v>
      </c>
      <c r="C145">
        <v>6000</v>
      </c>
      <c r="D145">
        <v>4833</v>
      </c>
      <c r="E145" s="5">
        <f t="shared" si="9"/>
        <v>1167</v>
      </c>
      <c r="F145" s="5">
        <f t="shared" si="10"/>
        <v>1361889</v>
      </c>
      <c r="G145" s="6">
        <f>SQRT(SUM($F$2:F145)/A145)</f>
        <v>969.43088616752641</v>
      </c>
      <c r="H145" s="5">
        <f t="shared" si="11"/>
        <v>1</v>
      </c>
      <c r="I145" s="5">
        <f t="shared" si="12"/>
        <v>0</v>
      </c>
    </row>
    <row r="146" spans="1:9">
      <c r="A146">
        <v>145</v>
      </c>
      <c r="B146">
        <v>11</v>
      </c>
      <c r="C146">
        <v>6000</v>
      </c>
      <c r="D146">
        <v>7003</v>
      </c>
      <c r="E146" s="5">
        <f t="shared" si="9"/>
        <v>1003</v>
      </c>
      <c r="F146" s="5">
        <f t="shared" si="10"/>
        <v>1006009</v>
      </c>
      <c r="G146" s="6">
        <f>SQRT(SUM($F$2:F146)/A146)</f>
        <v>969.66637703831964</v>
      </c>
      <c r="H146" s="5">
        <f t="shared" si="11"/>
        <v>1</v>
      </c>
      <c r="I146" s="5">
        <f t="shared" si="12"/>
        <v>0</v>
      </c>
    </row>
    <row r="147" spans="1:9">
      <c r="A147">
        <v>146</v>
      </c>
      <c r="B147">
        <v>8</v>
      </c>
      <c r="C147">
        <v>6000</v>
      </c>
      <c r="D147">
        <v>5212</v>
      </c>
      <c r="E147" s="5">
        <f t="shared" si="9"/>
        <v>788</v>
      </c>
      <c r="F147" s="5">
        <f t="shared" si="10"/>
        <v>620944</v>
      </c>
      <c r="G147" s="6">
        <f>SQRT(SUM($F$2:F147)/A147)</f>
        <v>968.53798873169569</v>
      </c>
      <c r="H147" s="5">
        <f t="shared" si="11"/>
        <v>1</v>
      </c>
      <c r="I147" s="5">
        <f t="shared" si="12"/>
        <v>0</v>
      </c>
    </row>
    <row r="148" spans="1:9">
      <c r="A148">
        <v>147</v>
      </c>
      <c r="B148">
        <v>10</v>
      </c>
      <c r="C148">
        <v>6000</v>
      </c>
      <c r="D148">
        <v>4344</v>
      </c>
      <c r="E148" s="5">
        <f t="shared" si="9"/>
        <v>1656</v>
      </c>
      <c r="F148" s="5">
        <f t="shared" si="10"/>
        <v>2742336</v>
      </c>
      <c r="G148" s="6">
        <f>SQRT(SUM($F$2:F148)/A148)</f>
        <v>974.85372354673052</v>
      </c>
      <c r="H148" s="5">
        <f t="shared" si="11"/>
        <v>0</v>
      </c>
      <c r="I148" s="5">
        <f t="shared" si="12"/>
        <v>0</v>
      </c>
    </row>
    <row r="149" spans="1:9">
      <c r="A149">
        <v>148</v>
      </c>
      <c r="B149">
        <v>11</v>
      </c>
      <c r="C149">
        <v>6000</v>
      </c>
      <c r="D149">
        <v>5253</v>
      </c>
      <c r="E149" s="5">
        <f t="shared" si="9"/>
        <v>747</v>
      </c>
      <c r="F149" s="5">
        <f t="shared" si="10"/>
        <v>558009</v>
      </c>
      <c r="G149" s="6">
        <f>SQRT(SUM($F$2:F149)/A149)</f>
        <v>973.49314257915989</v>
      </c>
      <c r="H149" s="5">
        <f t="shared" si="11"/>
        <v>1</v>
      </c>
      <c r="I149" s="5">
        <f t="shared" si="12"/>
        <v>0</v>
      </c>
    </row>
    <row r="150" spans="1:9">
      <c r="A150">
        <v>149</v>
      </c>
      <c r="B150">
        <v>11</v>
      </c>
      <c r="C150">
        <v>6000</v>
      </c>
      <c r="D150">
        <v>4126</v>
      </c>
      <c r="E150" s="5">
        <f t="shared" si="9"/>
        <v>1874</v>
      </c>
      <c r="F150" s="5">
        <f t="shared" si="10"/>
        <v>3511876</v>
      </c>
      <c r="G150" s="6">
        <f>SQRT(SUM($F$2:F150)/A150)</f>
        <v>982.29232311654118</v>
      </c>
      <c r="H150" s="5">
        <f t="shared" si="11"/>
        <v>0</v>
      </c>
      <c r="I150" s="5">
        <f t="shared" si="12"/>
        <v>0</v>
      </c>
    </row>
    <row r="151" spans="1:9">
      <c r="A151">
        <v>150</v>
      </c>
      <c r="B151">
        <v>12</v>
      </c>
      <c r="C151">
        <v>6000</v>
      </c>
      <c r="D151">
        <v>7773</v>
      </c>
      <c r="E151" s="5">
        <f t="shared" si="9"/>
        <v>1773</v>
      </c>
      <c r="F151" s="5">
        <f t="shared" si="10"/>
        <v>3143529</v>
      </c>
      <c r="G151" s="6">
        <f>SQRT(SUM($F$2:F151)/A151)</f>
        <v>989.65772534413804</v>
      </c>
      <c r="H151" s="5">
        <f t="shared" si="11"/>
        <v>0</v>
      </c>
      <c r="I151" s="5">
        <f t="shared" si="12"/>
        <v>0</v>
      </c>
    </row>
    <row r="152" spans="1:9">
      <c r="A152">
        <v>151</v>
      </c>
      <c r="B152">
        <v>8</v>
      </c>
      <c r="C152">
        <v>6000</v>
      </c>
      <c r="D152">
        <v>4528</v>
      </c>
      <c r="E152" s="5">
        <f t="shared" si="9"/>
        <v>1472</v>
      </c>
      <c r="F152" s="5">
        <f t="shared" si="10"/>
        <v>2166784</v>
      </c>
      <c r="G152" s="6">
        <f>SQRT(SUM($F$2:F152)/A152)</f>
        <v>993.62253149741821</v>
      </c>
      <c r="H152" s="5">
        <f t="shared" si="11"/>
        <v>0</v>
      </c>
      <c r="I152" s="5">
        <f t="shared" si="12"/>
        <v>0</v>
      </c>
    </row>
    <row r="153" spans="1:9">
      <c r="A153">
        <v>152</v>
      </c>
      <c r="B153">
        <v>12</v>
      </c>
      <c r="C153">
        <v>6000</v>
      </c>
      <c r="D153">
        <v>7210</v>
      </c>
      <c r="E153" s="5">
        <f t="shared" si="9"/>
        <v>1210</v>
      </c>
      <c r="F153" s="5">
        <f t="shared" si="10"/>
        <v>1464100</v>
      </c>
      <c r="G153" s="6">
        <f>SQRT(SUM($F$2:F153)/A153)</f>
        <v>995.19981463655404</v>
      </c>
      <c r="H153" s="5">
        <f t="shared" si="11"/>
        <v>0</v>
      </c>
      <c r="I153" s="5">
        <f t="shared" si="12"/>
        <v>0</v>
      </c>
    </row>
    <row r="154" spans="1:9">
      <c r="A154">
        <v>153</v>
      </c>
      <c r="B154">
        <v>9</v>
      </c>
      <c r="C154">
        <v>6000</v>
      </c>
      <c r="D154">
        <v>5108</v>
      </c>
      <c r="E154" s="5">
        <f t="shared" si="9"/>
        <v>892</v>
      </c>
      <c r="F154" s="5">
        <f t="shared" si="10"/>
        <v>795664</v>
      </c>
      <c r="G154" s="6">
        <f>SQRT(SUM($F$2:F154)/A154)</f>
        <v>994.56007287749662</v>
      </c>
      <c r="H154" s="5">
        <f t="shared" si="11"/>
        <v>1</v>
      </c>
      <c r="I154" s="5">
        <f t="shared" si="12"/>
        <v>0</v>
      </c>
    </row>
    <row r="155" spans="1:9">
      <c r="A155">
        <v>154</v>
      </c>
      <c r="B155">
        <v>11</v>
      </c>
      <c r="C155">
        <v>6000</v>
      </c>
      <c r="D155">
        <v>6951</v>
      </c>
      <c r="E155" s="5">
        <f t="shared" si="9"/>
        <v>951</v>
      </c>
      <c r="F155" s="5">
        <f t="shared" si="10"/>
        <v>904401</v>
      </c>
      <c r="G155" s="6">
        <f>SQRT(SUM($F$2:F155)/A155)</f>
        <v>994.28337111606265</v>
      </c>
      <c r="H155" s="5">
        <f t="shared" si="11"/>
        <v>1</v>
      </c>
      <c r="I155" s="5">
        <f t="shared" si="12"/>
        <v>0</v>
      </c>
    </row>
    <row r="156" spans="1:9">
      <c r="A156">
        <v>155</v>
      </c>
      <c r="B156">
        <v>9</v>
      </c>
      <c r="C156">
        <v>6000</v>
      </c>
      <c r="D156">
        <v>5075</v>
      </c>
      <c r="E156" s="5">
        <f t="shared" si="9"/>
        <v>925</v>
      </c>
      <c r="F156" s="5">
        <f t="shared" si="10"/>
        <v>855625</v>
      </c>
      <c r="G156" s="6">
        <f>SQRT(SUM($F$2:F156)/A156)</f>
        <v>993.85186148673347</v>
      </c>
      <c r="H156" s="5">
        <f t="shared" si="11"/>
        <v>1</v>
      </c>
      <c r="I156" s="5">
        <f t="shared" si="12"/>
        <v>0</v>
      </c>
    </row>
    <row r="157" spans="1:9">
      <c r="A157">
        <v>156</v>
      </c>
      <c r="B157">
        <v>11</v>
      </c>
      <c r="C157">
        <v>6000</v>
      </c>
      <c r="D157">
        <v>7450</v>
      </c>
      <c r="E157" s="5">
        <f t="shared" si="9"/>
        <v>1450</v>
      </c>
      <c r="F157" s="5">
        <f t="shared" si="10"/>
        <v>2102500</v>
      </c>
      <c r="G157" s="6">
        <f>SQRT(SUM($F$2:F157)/A157)</f>
        <v>997.44042942744716</v>
      </c>
      <c r="H157" s="5">
        <f t="shared" si="11"/>
        <v>0</v>
      </c>
      <c r="I157" s="5">
        <f t="shared" si="12"/>
        <v>0</v>
      </c>
    </row>
    <row r="158" spans="1:9">
      <c r="A158">
        <v>157</v>
      </c>
      <c r="B158">
        <v>9</v>
      </c>
      <c r="C158">
        <v>6000</v>
      </c>
      <c r="D158">
        <v>5363</v>
      </c>
      <c r="E158" s="5">
        <f t="shared" si="9"/>
        <v>637</v>
      </c>
      <c r="F158" s="5">
        <f t="shared" si="10"/>
        <v>405769</v>
      </c>
      <c r="G158" s="6">
        <f>SQRT(SUM($F$2:F158)/A158)</f>
        <v>995.55766467556646</v>
      </c>
      <c r="H158" s="5">
        <f t="shared" si="11"/>
        <v>1</v>
      </c>
      <c r="I158" s="5">
        <f t="shared" si="12"/>
        <v>0</v>
      </c>
    </row>
    <row r="159" spans="1:9">
      <c r="A159">
        <v>158</v>
      </c>
      <c r="B159">
        <v>11</v>
      </c>
      <c r="C159">
        <v>6000</v>
      </c>
      <c r="D159">
        <v>7304</v>
      </c>
      <c r="E159" s="5">
        <f t="shared" si="9"/>
        <v>1304</v>
      </c>
      <c r="F159" s="5">
        <f t="shared" si="10"/>
        <v>1700416</v>
      </c>
      <c r="G159" s="6">
        <f>SQRT(SUM($F$2:F159)/A159)</f>
        <v>997.809693049884</v>
      </c>
      <c r="H159" s="5">
        <f t="shared" si="11"/>
        <v>0</v>
      </c>
      <c r="I159" s="5">
        <f t="shared" si="12"/>
        <v>0</v>
      </c>
    </row>
    <row r="160" spans="1:9">
      <c r="A160">
        <v>159</v>
      </c>
      <c r="B160">
        <v>8</v>
      </c>
      <c r="C160">
        <v>6000</v>
      </c>
      <c r="D160">
        <v>5752</v>
      </c>
      <c r="E160" s="5">
        <f t="shared" si="9"/>
        <v>248</v>
      </c>
      <c r="F160" s="5">
        <f t="shared" si="10"/>
        <v>61504</v>
      </c>
      <c r="G160" s="6">
        <f>SQRT(SUM($F$2:F160)/A160)</f>
        <v>994.8614043355376</v>
      </c>
      <c r="H160" s="5">
        <f t="shared" si="11"/>
        <v>1</v>
      </c>
      <c r="I160" s="5">
        <f t="shared" si="12"/>
        <v>1</v>
      </c>
    </row>
    <row r="161" spans="1:9">
      <c r="A161">
        <v>160</v>
      </c>
      <c r="B161">
        <v>10</v>
      </c>
      <c r="C161">
        <v>6000</v>
      </c>
      <c r="D161">
        <v>6930</v>
      </c>
      <c r="E161" s="5">
        <f t="shared" si="9"/>
        <v>930</v>
      </c>
      <c r="F161" s="5">
        <f t="shared" si="10"/>
        <v>864900</v>
      </c>
      <c r="G161" s="6">
        <f>SQRT(SUM($F$2:F161)/A161)</f>
        <v>994.46915801848775</v>
      </c>
      <c r="H161" s="5">
        <f t="shared" si="11"/>
        <v>1</v>
      </c>
      <c r="I161" s="5">
        <f t="shared" si="12"/>
        <v>0</v>
      </c>
    </row>
    <row r="162" spans="1:9">
      <c r="A162">
        <v>161</v>
      </c>
      <c r="B162">
        <v>9</v>
      </c>
      <c r="C162">
        <v>6000</v>
      </c>
      <c r="D162">
        <v>6692</v>
      </c>
      <c r="E162" s="5">
        <f t="shared" si="9"/>
        <v>692</v>
      </c>
      <c r="F162" s="5">
        <f t="shared" si="10"/>
        <v>478864</v>
      </c>
      <c r="G162" s="6">
        <f>SQRT(SUM($F$2:F162)/A162)</f>
        <v>992.87489282136198</v>
      </c>
      <c r="H162" s="5">
        <f t="shared" si="11"/>
        <v>1</v>
      </c>
      <c r="I162" s="5">
        <f t="shared" si="12"/>
        <v>0</v>
      </c>
    </row>
    <row r="163" spans="1:9">
      <c r="A163">
        <v>162</v>
      </c>
      <c r="B163">
        <v>9</v>
      </c>
      <c r="C163">
        <v>6000</v>
      </c>
      <c r="D163">
        <v>6010</v>
      </c>
      <c r="E163" s="5">
        <f t="shared" si="9"/>
        <v>10</v>
      </c>
      <c r="F163" s="5">
        <f t="shared" si="10"/>
        <v>100</v>
      </c>
      <c r="G163" s="6">
        <f>SQRT(SUM($F$2:F163)/A163)</f>
        <v>989.80603225151208</v>
      </c>
      <c r="H163" s="5">
        <f t="shared" si="11"/>
        <v>1</v>
      </c>
      <c r="I163" s="5">
        <f t="shared" si="12"/>
        <v>1</v>
      </c>
    </row>
    <row r="164" spans="1:9">
      <c r="A164">
        <v>163</v>
      </c>
      <c r="B164">
        <v>9</v>
      </c>
      <c r="C164">
        <v>6000</v>
      </c>
      <c r="D164">
        <v>5974</v>
      </c>
      <c r="E164" s="5">
        <f t="shared" si="9"/>
        <v>26</v>
      </c>
      <c r="F164" s="5">
        <f t="shared" si="10"/>
        <v>676</v>
      </c>
      <c r="G164" s="6">
        <f>SQRT(SUM($F$2:F164)/A164)</f>
        <v>986.76724774740762</v>
      </c>
      <c r="H164" s="5">
        <f t="shared" si="11"/>
        <v>1</v>
      </c>
      <c r="I164" s="5">
        <f t="shared" si="12"/>
        <v>1</v>
      </c>
    </row>
    <row r="165" spans="1:9">
      <c r="A165">
        <v>164</v>
      </c>
      <c r="B165">
        <v>9</v>
      </c>
      <c r="C165">
        <v>6000</v>
      </c>
      <c r="D165">
        <v>5531</v>
      </c>
      <c r="E165" s="5">
        <f t="shared" si="9"/>
        <v>469</v>
      </c>
      <c r="F165" s="5">
        <f t="shared" si="10"/>
        <v>219961</v>
      </c>
      <c r="G165" s="6">
        <f>SQRT(SUM($F$2:F165)/A165)</f>
        <v>984.43566228105112</v>
      </c>
      <c r="H165" s="5">
        <f t="shared" si="11"/>
        <v>1</v>
      </c>
      <c r="I165" s="5">
        <f t="shared" si="12"/>
        <v>1</v>
      </c>
    </row>
    <row r="166" spans="1:9">
      <c r="A166">
        <v>165</v>
      </c>
      <c r="B166">
        <v>10</v>
      </c>
      <c r="C166">
        <v>6000</v>
      </c>
      <c r="D166">
        <v>6199</v>
      </c>
      <c r="E166" s="5">
        <f t="shared" si="9"/>
        <v>199</v>
      </c>
      <c r="F166" s="5">
        <f t="shared" si="10"/>
        <v>39601</v>
      </c>
      <c r="G166" s="6">
        <f>SQRT(SUM($F$2:F166)/A166)</f>
        <v>981.57025405029651</v>
      </c>
      <c r="H166" s="5">
        <f t="shared" si="11"/>
        <v>1</v>
      </c>
      <c r="I166" s="5">
        <f t="shared" si="12"/>
        <v>1</v>
      </c>
    </row>
    <row r="167" spans="1:9">
      <c r="A167">
        <v>166</v>
      </c>
      <c r="B167">
        <v>9</v>
      </c>
      <c r="C167">
        <v>6000</v>
      </c>
      <c r="D167">
        <v>5446</v>
      </c>
      <c r="E167" s="5">
        <f t="shared" si="9"/>
        <v>554</v>
      </c>
      <c r="F167" s="5">
        <f t="shared" si="10"/>
        <v>306916</v>
      </c>
      <c r="G167" s="6">
        <f>SQRT(SUM($F$2:F167)/A167)</f>
        <v>979.55344817489436</v>
      </c>
      <c r="H167" s="5">
        <f t="shared" si="11"/>
        <v>1</v>
      </c>
      <c r="I167" s="5">
        <f t="shared" si="12"/>
        <v>1</v>
      </c>
    </row>
    <row r="168" spans="1:9">
      <c r="A168">
        <v>167</v>
      </c>
      <c r="B168">
        <v>10</v>
      </c>
      <c r="C168">
        <v>6000</v>
      </c>
      <c r="D168">
        <v>6502</v>
      </c>
      <c r="E168" s="5">
        <f t="shared" si="9"/>
        <v>502</v>
      </c>
      <c r="F168" s="5">
        <f t="shared" si="10"/>
        <v>252004</v>
      </c>
      <c r="G168" s="6">
        <f>SQRT(SUM($F$2:F168)/A168)</f>
        <v>977.38851302295416</v>
      </c>
      <c r="H168" s="5">
        <f t="shared" si="11"/>
        <v>1</v>
      </c>
      <c r="I168" s="5">
        <f t="shared" si="12"/>
        <v>1</v>
      </c>
    </row>
    <row r="169" spans="1:9">
      <c r="A169">
        <v>168</v>
      </c>
      <c r="B169">
        <v>9</v>
      </c>
      <c r="C169">
        <v>6000</v>
      </c>
      <c r="D169">
        <v>6295</v>
      </c>
      <c r="E169" s="5">
        <f t="shared" si="9"/>
        <v>295</v>
      </c>
      <c r="F169" s="5">
        <f t="shared" si="10"/>
        <v>87025</v>
      </c>
      <c r="G169" s="6">
        <f>SQRT(SUM($F$2:F169)/A169)</f>
        <v>974.74102787795459</v>
      </c>
      <c r="H169" s="5">
        <f t="shared" si="11"/>
        <v>1</v>
      </c>
      <c r="I169" s="5">
        <f t="shared" si="12"/>
        <v>1</v>
      </c>
    </row>
    <row r="170" spans="1:9">
      <c r="A170">
        <v>169</v>
      </c>
      <c r="B170">
        <v>9</v>
      </c>
      <c r="C170">
        <v>6000</v>
      </c>
      <c r="D170">
        <v>6256</v>
      </c>
      <c r="E170" s="5">
        <f t="shared" si="9"/>
        <v>256</v>
      </c>
      <c r="F170" s="5">
        <f t="shared" si="10"/>
        <v>65536</v>
      </c>
      <c r="G170" s="6">
        <f>SQRT(SUM($F$2:F170)/A170)</f>
        <v>972.05238858502173</v>
      </c>
      <c r="H170" s="5">
        <f t="shared" si="11"/>
        <v>1</v>
      </c>
      <c r="I170" s="5">
        <f t="shared" si="12"/>
        <v>1</v>
      </c>
    </row>
    <row r="171" spans="1:9">
      <c r="A171">
        <v>170</v>
      </c>
      <c r="B171">
        <v>9</v>
      </c>
      <c r="C171">
        <v>6000</v>
      </c>
      <c r="D171">
        <v>5423</v>
      </c>
      <c r="E171" s="5">
        <f t="shared" si="9"/>
        <v>577</v>
      </c>
      <c r="F171" s="5">
        <f t="shared" si="10"/>
        <v>332929</v>
      </c>
      <c r="G171" s="6">
        <f>SQRT(SUM($F$2:F171)/A171)</f>
        <v>970.19900020562795</v>
      </c>
      <c r="H171" s="5">
        <f t="shared" si="11"/>
        <v>1</v>
      </c>
      <c r="I171" s="5">
        <f t="shared" si="12"/>
        <v>1</v>
      </c>
    </row>
    <row r="172" spans="1:9">
      <c r="A172">
        <v>171</v>
      </c>
      <c r="B172">
        <v>10</v>
      </c>
      <c r="C172">
        <v>6000</v>
      </c>
      <c r="D172">
        <v>6395</v>
      </c>
      <c r="E172" s="5">
        <f t="shared" si="9"/>
        <v>395</v>
      </c>
      <c r="F172" s="5">
        <f t="shared" si="10"/>
        <v>156025</v>
      </c>
      <c r="G172" s="6">
        <f>SQRT(SUM($F$2:F172)/A172)</f>
        <v>967.82949419025317</v>
      </c>
      <c r="H172" s="5">
        <f t="shared" si="11"/>
        <v>1</v>
      </c>
      <c r="I172" s="5">
        <f t="shared" si="12"/>
        <v>1</v>
      </c>
    </row>
    <row r="173" spans="1:9">
      <c r="A173">
        <v>172</v>
      </c>
      <c r="B173">
        <v>9</v>
      </c>
      <c r="C173">
        <v>6000</v>
      </c>
      <c r="D173">
        <v>5358</v>
      </c>
      <c r="E173" s="5">
        <f t="shared" si="9"/>
        <v>642</v>
      </c>
      <c r="F173" s="5">
        <f t="shared" si="10"/>
        <v>412164</v>
      </c>
      <c r="G173" s="6">
        <f>SQRT(SUM($F$2:F173)/A173)</f>
        <v>966.25272947055748</v>
      </c>
      <c r="H173" s="5">
        <f t="shared" si="11"/>
        <v>1</v>
      </c>
      <c r="I173" s="5">
        <f t="shared" si="12"/>
        <v>0</v>
      </c>
    </row>
    <row r="174" spans="1:9">
      <c r="A174">
        <v>173</v>
      </c>
      <c r="B174">
        <v>10</v>
      </c>
      <c r="C174">
        <v>6000</v>
      </c>
      <c r="D174">
        <v>7062</v>
      </c>
      <c r="E174" s="5">
        <f t="shared" si="9"/>
        <v>1062</v>
      </c>
      <c r="F174" s="5">
        <f t="shared" si="10"/>
        <v>1127844</v>
      </c>
      <c r="G174" s="6">
        <f>SQRT(SUM($F$2:F174)/A174)</f>
        <v>966.83342857635864</v>
      </c>
      <c r="H174" s="5">
        <f t="shared" si="11"/>
        <v>1</v>
      </c>
      <c r="I174" s="5">
        <f t="shared" si="12"/>
        <v>0</v>
      </c>
    </row>
    <row r="175" spans="1:9">
      <c r="A175">
        <v>174</v>
      </c>
      <c r="B175">
        <v>8</v>
      </c>
      <c r="C175">
        <v>6000</v>
      </c>
      <c r="D175">
        <v>5707</v>
      </c>
      <c r="E175" s="5">
        <f t="shared" si="9"/>
        <v>293</v>
      </c>
      <c r="F175" s="5">
        <f t="shared" si="10"/>
        <v>85849</v>
      </c>
      <c r="G175" s="6">
        <f>SQRT(SUM($F$2:F175)/A175)</f>
        <v>964.30702591544207</v>
      </c>
      <c r="H175" s="5">
        <f t="shared" si="11"/>
        <v>1</v>
      </c>
      <c r="I175" s="5">
        <f t="shared" si="12"/>
        <v>1</v>
      </c>
    </row>
    <row r="176" spans="1:9">
      <c r="A176">
        <v>175</v>
      </c>
      <c r="B176">
        <v>10</v>
      </c>
      <c r="C176">
        <v>6000</v>
      </c>
      <c r="D176">
        <v>5917</v>
      </c>
      <c r="E176" s="5">
        <f t="shared" si="9"/>
        <v>83</v>
      </c>
      <c r="F176" s="5">
        <f t="shared" si="10"/>
        <v>6889</v>
      </c>
      <c r="G176" s="6">
        <f>SQRT(SUM($F$2:F176)/A176)</f>
        <v>961.5683855036001</v>
      </c>
      <c r="H176" s="5">
        <f t="shared" si="11"/>
        <v>1</v>
      </c>
      <c r="I176" s="5">
        <f t="shared" si="12"/>
        <v>1</v>
      </c>
    </row>
    <row r="177" spans="1:9">
      <c r="A177">
        <v>176</v>
      </c>
      <c r="B177">
        <v>9</v>
      </c>
      <c r="C177">
        <v>6000</v>
      </c>
      <c r="D177">
        <v>5511</v>
      </c>
      <c r="E177" s="5">
        <f t="shared" si="9"/>
        <v>489</v>
      </c>
      <c r="F177" s="5">
        <f t="shared" si="10"/>
        <v>239121</v>
      </c>
      <c r="G177" s="6">
        <f>SQRT(SUM($F$2:F177)/A177)</f>
        <v>959.54099171047778</v>
      </c>
      <c r="H177" s="5">
        <f t="shared" si="11"/>
        <v>1</v>
      </c>
      <c r="I177" s="5">
        <f t="shared" si="12"/>
        <v>1</v>
      </c>
    </row>
    <row r="178" spans="1:9">
      <c r="A178">
        <v>177</v>
      </c>
      <c r="B178">
        <v>10</v>
      </c>
      <c r="C178">
        <v>6000</v>
      </c>
      <c r="D178">
        <v>6298</v>
      </c>
      <c r="E178" s="5">
        <f t="shared" si="9"/>
        <v>298</v>
      </c>
      <c r="F178" s="5">
        <f t="shared" si="10"/>
        <v>88804</v>
      </c>
      <c r="G178" s="6">
        <f>SQRT(SUM($F$2:F178)/A178)</f>
        <v>957.08872656012124</v>
      </c>
      <c r="H178" s="5">
        <f t="shared" si="11"/>
        <v>1</v>
      </c>
      <c r="I178" s="5">
        <f t="shared" si="12"/>
        <v>1</v>
      </c>
    </row>
    <row r="179" spans="1:9">
      <c r="A179">
        <v>178</v>
      </c>
      <c r="B179">
        <v>9</v>
      </c>
      <c r="C179">
        <v>6000</v>
      </c>
      <c r="D179">
        <v>5966</v>
      </c>
      <c r="E179" s="5">
        <f t="shared" si="9"/>
        <v>34</v>
      </c>
      <c r="F179" s="5">
        <f t="shared" si="10"/>
        <v>1156</v>
      </c>
      <c r="G179" s="6">
        <f>SQRT(SUM($F$2:F179)/A179)</f>
        <v>954.39989086618891</v>
      </c>
      <c r="H179" s="5">
        <f t="shared" si="11"/>
        <v>1</v>
      </c>
      <c r="I179" s="5">
        <f t="shared" si="12"/>
        <v>1</v>
      </c>
    </row>
    <row r="180" spans="1:9">
      <c r="A180">
        <v>179</v>
      </c>
      <c r="B180">
        <v>9</v>
      </c>
      <c r="C180">
        <v>6000</v>
      </c>
      <c r="D180">
        <v>6539</v>
      </c>
      <c r="E180" s="5">
        <f t="shared" si="9"/>
        <v>539</v>
      </c>
      <c r="F180" s="5">
        <f t="shared" si="10"/>
        <v>290521</v>
      </c>
      <c r="G180" s="6">
        <f>SQRT(SUM($F$2:F180)/A180)</f>
        <v>952.58252329504285</v>
      </c>
      <c r="H180" s="5">
        <f t="shared" si="11"/>
        <v>1</v>
      </c>
      <c r="I180" s="5">
        <f t="shared" si="12"/>
        <v>1</v>
      </c>
    </row>
    <row r="181" spans="1:9">
      <c r="A181">
        <v>180</v>
      </c>
      <c r="B181">
        <v>9</v>
      </c>
      <c r="C181">
        <v>6000</v>
      </c>
      <c r="D181">
        <v>6290</v>
      </c>
      <c r="E181" s="5">
        <f t="shared" si="9"/>
        <v>290</v>
      </c>
      <c r="F181" s="5">
        <f t="shared" si="10"/>
        <v>84100</v>
      </c>
      <c r="G181" s="6">
        <f>SQRT(SUM($F$2:F181)/A181)</f>
        <v>950.1786674094509</v>
      </c>
      <c r="H181" s="5">
        <f t="shared" si="11"/>
        <v>1</v>
      </c>
      <c r="I181" s="5">
        <f t="shared" si="12"/>
        <v>1</v>
      </c>
    </row>
    <row r="182" spans="1:9">
      <c r="A182">
        <v>181</v>
      </c>
      <c r="B182">
        <v>9</v>
      </c>
      <c r="C182">
        <v>6000</v>
      </c>
      <c r="D182">
        <v>6110</v>
      </c>
      <c r="E182" s="5">
        <f t="shared" si="9"/>
        <v>110</v>
      </c>
      <c r="F182" s="5">
        <f t="shared" si="10"/>
        <v>12100</v>
      </c>
      <c r="G182" s="6">
        <f>SQRT(SUM($F$2:F182)/A182)</f>
        <v>947.58550394822828</v>
      </c>
      <c r="H182" s="5">
        <f t="shared" si="11"/>
        <v>1</v>
      </c>
      <c r="I182" s="5">
        <f t="shared" si="12"/>
        <v>1</v>
      </c>
    </row>
    <row r="183" spans="1:9">
      <c r="A183">
        <v>182</v>
      </c>
      <c r="B183">
        <v>9</v>
      </c>
      <c r="C183">
        <v>6000</v>
      </c>
      <c r="D183">
        <v>5443</v>
      </c>
      <c r="E183" s="5">
        <f t="shared" si="9"/>
        <v>557</v>
      </c>
      <c r="F183" s="5">
        <f t="shared" si="10"/>
        <v>310249</v>
      </c>
      <c r="G183" s="6">
        <f>SQRT(SUM($F$2:F183)/A183)</f>
        <v>945.88019070325981</v>
      </c>
      <c r="H183" s="5">
        <f t="shared" si="11"/>
        <v>1</v>
      </c>
      <c r="I183" s="5">
        <f t="shared" si="12"/>
        <v>1</v>
      </c>
    </row>
    <row r="184" spans="1:9">
      <c r="A184">
        <v>183</v>
      </c>
      <c r="B184">
        <v>10</v>
      </c>
      <c r="C184">
        <v>6000</v>
      </c>
      <c r="D184">
        <v>6424</v>
      </c>
      <c r="E184" s="5">
        <f t="shared" si="9"/>
        <v>424</v>
      </c>
      <c r="F184" s="5">
        <f t="shared" si="10"/>
        <v>179776</v>
      </c>
      <c r="G184" s="6">
        <f>SQRT(SUM($F$2:F184)/A184)</f>
        <v>943.81285481711507</v>
      </c>
      <c r="H184" s="5">
        <f t="shared" si="11"/>
        <v>1</v>
      </c>
      <c r="I184" s="5">
        <f t="shared" si="12"/>
        <v>1</v>
      </c>
    </row>
    <row r="185" spans="1:9">
      <c r="A185">
        <v>184</v>
      </c>
      <c r="B185">
        <v>9</v>
      </c>
      <c r="C185">
        <v>6000</v>
      </c>
      <c r="D185">
        <v>6048</v>
      </c>
      <c r="E185" s="5">
        <f t="shared" si="9"/>
        <v>48</v>
      </c>
      <c r="F185" s="5">
        <f t="shared" si="10"/>
        <v>2304</v>
      </c>
      <c r="G185" s="6">
        <f>SQRT(SUM($F$2:F185)/A185)</f>
        <v>941.25130348082268</v>
      </c>
      <c r="H185" s="5">
        <f t="shared" si="11"/>
        <v>1</v>
      </c>
      <c r="I185" s="5">
        <f t="shared" si="12"/>
        <v>1</v>
      </c>
    </row>
    <row r="186" spans="1:9">
      <c r="A186">
        <v>185</v>
      </c>
      <c r="B186">
        <v>9</v>
      </c>
      <c r="C186">
        <v>6000</v>
      </c>
      <c r="D186">
        <v>5726</v>
      </c>
      <c r="E186" s="5">
        <f t="shared" si="9"/>
        <v>274</v>
      </c>
      <c r="F186" s="5">
        <f t="shared" si="10"/>
        <v>75076</v>
      </c>
      <c r="G186" s="6">
        <f>SQRT(SUM($F$2:F186)/A186)</f>
        <v>938.92006682778481</v>
      </c>
      <c r="H186" s="5">
        <f t="shared" si="11"/>
        <v>1</v>
      </c>
      <c r="I186" s="5">
        <f t="shared" si="12"/>
        <v>1</v>
      </c>
    </row>
    <row r="187" spans="1:9">
      <c r="A187">
        <v>186</v>
      </c>
      <c r="B187">
        <v>10</v>
      </c>
      <c r="C187">
        <v>6000</v>
      </c>
      <c r="D187">
        <v>6667</v>
      </c>
      <c r="E187" s="5">
        <f t="shared" si="9"/>
        <v>667</v>
      </c>
      <c r="F187" s="5">
        <f t="shared" si="10"/>
        <v>444889</v>
      </c>
      <c r="G187" s="6">
        <f>SQRT(SUM($F$2:F187)/A187)</f>
        <v>937.66899265409552</v>
      </c>
      <c r="H187" s="5">
        <f t="shared" si="11"/>
        <v>1</v>
      </c>
      <c r="I187" s="5">
        <f t="shared" si="12"/>
        <v>0</v>
      </c>
    </row>
    <row r="188" spans="1:9">
      <c r="A188">
        <v>187</v>
      </c>
      <c r="B188">
        <v>8</v>
      </c>
      <c r="C188">
        <v>6000</v>
      </c>
      <c r="D188">
        <v>5878</v>
      </c>
      <c r="E188" s="5">
        <f t="shared" si="9"/>
        <v>122</v>
      </c>
      <c r="F188" s="5">
        <f t="shared" si="10"/>
        <v>14884</v>
      </c>
      <c r="G188" s="6">
        <f>SQRT(SUM($F$2:F188)/A188)</f>
        <v>935.20105076266543</v>
      </c>
      <c r="H188" s="5">
        <f t="shared" si="11"/>
        <v>1</v>
      </c>
      <c r="I188" s="5">
        <f t="shared" si="12"/>
        <v>1</v>
      </c>
    </row>
    <row r="189" spans="1:9">
      <c r="A189">
        <v>188</v>
      </c>
      <c r="B189">
        <v>9</v>
      </c>
      <c r="C189">
        <v>6000</v>
      </c>
      <c r="D189">
        <v>6854</v>
      </c>
      <c r="E189" s="5">
        <f t="shared" si="9"/>
        <v>854</v>
      </c>
      <c r="F189" s="5">
        <f t="shared" si="10"/>
        <v>729316</v>
      </c>
      <c r="G189" s="6">
        <f>SQRT(SUM($F$2:F189)/A189)</f>
        <v>934.78779023153561</v>
      </c>
      <c r="H189" s="5">
        <f t="shared" si="11"/>
        <v>1</v>
      </c>
      <c r="I189" s="5">
        <f t="shared" si="12"/>
        <v>0</v>
      </c>
    </row>
    <row r="190" spans="1:9">
      <c r="A190">
        <v>189</v>
      </c>
      <c r="B190">
        <v>8</v>
      </c>
      <c r="C190">
        <v>6000</v>
      </c>
      <c r="D190">
        <v>5859</v>
      </c>
      <c r="E190" s="5">
        <f t="shared" si="9"/>
        <v>141</v>
      </c>
      <c r="F190" s="5">
        <f t="shared" si="10"/>
        <v>19881</v>
      </c>
      <c r="G190" s="6">
        <f>SQRT(SUM($F$2:F190)/A190)</f>
        <v>932.36793893021309</v>
      </c>
      <c r="H190" s="5">
        <f t="shared" si="11"/>
        <v>1</v>
      </c>
      <c r="I190" s="5">
        <f t="shared" si="12"/>
        <v>1</v>
      </c>
    </row>
    <row r="191" spans="1:9">
      <c r="A191">
        <v>190</v>
      </c>
      <c r="B191">
        <v>9</v>
      </c>
      <c r="C191">
        <v>6000</v>
      </c>
      <c r="D191">
        <v>6800</v>
      </c>
      <c r="E191" s="5">
        <f t="shared" si="9"/>
        <v>800</v>
      </c>
      <c r="F191" s="5">
        <f t="shared" si="10"/>
        <v>640000</v>
      </c>
      <c r="G191" s="6">
        <f>SQRT(SUM($F$2:F191)/A191)</f>
        <v>931.72049400416665</v>
      </c>
      <c r="H191" s="5">
        <f t="shared" si="11"/>
        <v>1</v>
      </c>
      <c r="I191" s="5">
        <f t="shared" si="12"/>
        <v>0</v>
      </c>
    </row>
    <row r="192" spans="1:9">
      <c r="A192">
        <v>191</v>
      </c>
      <c r="B192">
        <v>8</v>
      </c>
      <c r="C192">
        <v>6000</v>
      </c>
      <c r="D192">
        <v>6167</v>
      </c>
      <c r="E192" s="5">
        <f t="shared" si="9"/>
        <v>167</v>
      </c>
      <c r="F192" s="5">
        <f t="shared" si="10"/>
        <v>27889</v>
      </c>
      <c r="G192" s="6">
        <f>SQRT(SUM($F$2:F192)/A192)</f>
        <v>929.35679496952127</v>
      </c>
      <c r="H192" s="5">
        <f t="shared" si="11"/>
        <v>1</v>
      </c>
      <c r="I192" s="5">
        <f t="shared" si="12"/>
        <v>1</v>
      </c>
    </row>
    <row r="193" spans="1:9">
      <c r="A193">
        <v>192</v>
      </c>
      <c r="B193">
        <v>8</v>
      </c>
      <c r="C193">
        <v>6000</v>
      </c>
      <c r="D193">
        <v>6009</v>
      </c>
      <c r="E193" s="5">
        <f t="shared" si="9"/>
        <v>9</v>
      </c>
      <c r="F193" s="5">
        <f t="shared" si="10"/>
        <v>81</v>
      </c>
      <c r="G193" s="6">
        <f>SQRT(SUM($F$2:F193)/A193)</f>
        <v>926.93366301208414</v>
      </c>
      <c r="H193" s="5">
        <f t="shared" si="11"/>
        <v>1</v>
      </c>
      <c r="I193" s="5">
        <f t="shared" si="12"/>
        <v>1</v>
      </c>
    </row>
    <row r="194" spans="1:9">
      <c r="A194">
        <v>193</v>
      </c>
      <c r="B194">
        <v>9</v>
      </c>
      <c r="C194">
        <v>6000</v>
      </c>
      <c r="D194">
        <v>6257</v>
      </c>
      <c r="E194" s="5">
        <f t="shared" si="9"/>
        <v>257</v>
      </c>
      <c r="F194" s="5">
        <f t="shared" si="10"/>
        <v>66049</v>
      </c>
      <c r="G194" s="6">
        <f>SQRT(SUM($F$2:F194)/A194)</f>
        <v>924.71422276419185</v>
      </c>
      <c r="H194" s="5">
        <f t="shared" si="11"/>
        <v>1</v>
      </c>
      <c r="I194" s="5">
        <f t="shared" si="12"/>
        <v>1</v>
      </c>
    </row>
    <row r="195" spans="1:9">
      <c r="A195">
        <v>194</v>
      </c>
      <c r="B195">
        <v>8</v>
      </c>
      <c r="C195">
        <v>6000</v>
      </c>
      <c r="D195">
        <v>6005</v>
      </c>
      <c r="E195" s="5">
        <f t="shared" ref="E195:E258" si="13">ABS(C195-D195)</f>
        <v>5</v>
      </c>
      <c r="F195" s="5">
        <f t="shared" ref="F195:F258" si="14">POWER(E195,2)</f>
        <v>25</v>
      </c>
      <c r="G195" s="6">
        <f>SQRT(SUM($F$2:F195)/A195)</f>
        <v>922.32792936045826</v>
      </c>
      <c r="H195" s="5">
        <f t="shared" ref="H195:H258" si="15">IF(ABS(E195)/C195&gt;0.2,0,1)</f>
        <v>1</v>
      </c>
      <c r="I195" s="5">
        <f t="shared" ref="I195:I258" si="16">IF(ABS(E195)/C195&gt;0.1,0,1)</f>
        <v>1</v>
      </c>
    </row>
    <row r="196" spans="1:9">
      <c r="A196">
        <v>195</v>
      </c>
      <c r="B196">
        <v>9</v>
      </c>
      <c r="C196">
        <v>6000</v>
      </c>
      <c r="D196">
        <v>5705</v>
      </c>
      <c r="E196" s="5">
        <f t="shared" si="13"/>
        <v>295</v>
      </c>
      <c r="F196" s="5">
        <f t="shared" si="14"/>
        <v>87025</v>
      </c>
      <c r="G196" s="6">
        <f>SQRT(SUM($F$2:F196)/A196)</f>
        <v>920.20246935953423</v>
      </c>
      <c r="H196" s="5">
        <f t="shared" si="15"/>
        <v>1</v>
      </c>
      <c r="I196" s="5">
        <f t="shared" si="16"/>
        <v>1</v>
      </c>
    </row>
    <row r="197" spans="1:9">
      <c r="A197">
        <v>196</v>
      </c>
      <c r="B197">
        <v>9</v>
      </c>
      <c r="C197">
        <v>6000</v>
      </c>
      <c r="D197">
        <v>6579</v>
      </c>
      <c r="E197" s="5">
        <f t="shared" si="13"/>
        <v>579</v>
      </c>
      <c r="F197" s="5">
        <f t="shared" si="14"/>
        <v>335241</v>
      </c>
      <c r="G197" s="6">
        <f>SQRT(SUM($F$2:F197)/A197)</f>
        <v>918.78328761021589</v>
      </c>
      <c r="H197" s="5">
        <f t="shared" si="15"/>
        <v>1</v>
      </c>
      <c r="I197" s="5">
        <f t="shared" si="16"/>
        <v>1</v>
      </c>
    </row>
    <row r="198" spans="1:9">
      <c r="A198">
        <v>197</v>
      </c>
      <c r="B198">
        <v>8</v>
      </c>
      <c r="C198">
        <v>6000</v>
      </c>
      <c r="D198">
        <v>4515</v>
      </c>
      <c r="E198" s="5">
        <f t="shared" si="13"/>
        <v>1485</v>
      </c>
      <c r="F198" s="5">
        <f t="shared" si="14"/>
        <v>2205225</v>
      </c>
      <c r="G198" s="6">
        <f>SQRT(SUM($F$2:F198)/A198)</f>
        <v>922.53546009186209</v>
      </c>
      <c r="H198" s="5">
        <f t="shared" si="15"/>
        <v>0</v>
      </c>
      <c r="I198" s="5">
        <f t="shared" si="16"/>
        <v>0</v>
      </c>
    </row>
    <row r="199" spans="1:9">
      <c r="A199">
        <v>198</v>
      </c>
      <c r="B199">
        <v>10</v>
      </c>
      <c r="C199">
        <v>6000</v>
      </c>
      <c r="D199">
        <v>7053</v>
      </c>
      <c r="E199" s="5">
        <f t="shared" si="13"/>
        <v>1053</v>
      </c>
      <c r="F199" s="5">
        <f t="shared" si="14"/>
        <v>1108809</v>
      </c>
      <c r="G199" s="6">
        <f>SQRT(SUM($F$2:F199)/A199)</f>
        <v>923.24069385392602</v>
      </c>
      <c r="H199" s="5">
        <f t="shared" si="15"/>
        <v>1</v>
      </c>
      <c r="I199" s="5">
        <f t="shared" si="16"/>
        <v>0</v>
      </c>
    </row>
    <row r="200" spans="1:9">
      <c r="A200">
        <v>199</v>
      </c>
      <c r="B200">
        <v>8</v>
      </c>
      <c r="C200">
        <v>6000</v>
      </c>
      <c r="D200">
        <v>6061</v>
      </c>
      <c r="E200" s="5">
        <f t="shared" si="13"/>
        <v>61</v>
      </c>
      <c r="F200" s="5">
        <f t="shared" si="14"/>
        <v>3721</v>
      </c>
      <c r="G200" s="6">
        <f>SQRT(SUM($F$2:F200)/A200)</f>
        <v>920.92822411404529</v>
      </c>
      <c r="H200" s="5">
        <f t="shared" si="15"/>
        <v>1</v>
      </c>
      <c r="I200" s="5">
        <f t="shared" si="16"/>
        <v>1</v>
      </c>
    </row>
    <row r="201" spans="1:9">
      <c r="A201">
        <v>200</v>
      </c>
      <c r="B201">
        <v>9</v>
      </c>
      <c r="C201">
        <v>6000</v>
      </c>
      <c r="D201">
        <v>6103</v>
      </c>
      <c r="E201" s="5">
        <f t="shared" si="13"/>
        <v>103</v>
      </c>
      <c r="F201" s="5">
        <f t="shared" si="14"/>
        <v>10609</v>
      </c>
      <c r="G201" s="6">
        <f>SQRT(SUM($F$2:F201)/A201)</f>
        <v>918.65188999968859</v>
      </c>
      <c r="H201" s="5">
        <f t="shared" si="15"/>
        <v>1</v>
      </c>
      <c r="I201" s="5">
        <f t="shared" si="16"/>
        <v>1</v>
      </c>
    </row>
    <row r="202" spans="1:9">
      <c r="A202">
        <v>201</v>
      </c>
      <c r="B202">
        <v>1</v>
      </c>
      <c r="C202">
        <v>9000</v>
      </c>
      <c r="D202">
        <v>830</v>
      </c>
      <c r="E202" s="5">
        <f t="shared" si="13"/>
        <v>8170</v>
      </c>
      <c r="F202" s="5">
        <f t="shared" si="14"/>
        <v>66748900</v>
      </c>
      <c r="G202" s="6">
        <f>SQRT(SUM($F$2:F202)/A202)</f>
        <v>1082.500236117309</v>
      </c>
      <c r="H202" s="5">
        <f t="shared" si="15"/>
        <v>0</v>
      </c>
      <c r="I202" s="5">
        <f t="shared" si="16"/>
        <v>0</v>
      </c>
    </row>
    <row r="203" spans="1:9">
      <c r="A203">
        <v>202</v>
      </c>
      <c r="B203">
        <v>11</v>
      </c>
      <c r="C203">
        <v>9000</v>
      </c>
      <c r="D203">
        <v>8328</v>
      </c>
      <c r="E203" s="5">
        <f t="shared" si="13"/>
        <v>672</v>
      </c>
      <c r="F203" s="5">
        <f t="shared" si="14"/>
        <v>451584</v>
      </c>
      <c r="G203" s="6">
        <f>SQRT(SUM($F$2:F203)/A203)</f>
        <v>1080.8521184603369</v>
      </c>
      <c r="H203" s="5">
        <f t="shared" si="15"/>
        <v>1</v>
      </c>
      <c r="I203" s="5">
        <f t="shared" si="16"/>
        <v>1</v>
      </c>
    </row>
    <row r="204" spans="1:9">
      <c r="A204">
        <v>203</v>
      </c>
      <c r="B204">
        <v>3</v>
      </c>
      <c r="C204">
        <v>9000</v>
      </c>
      <c r="D204">
        <v>3019</v>
      </c>
      <c r="E204" s="5">
        <f t="shared" si="13"/>
        <v>5981</v>
      </c>
      <c r="F204" s="5">
        <f t="shared" si="14"/>
        <v>35772361</v>
      </c>
      <c r="G204" s="6">
        <f>SQRT(SUM($F$2:F204)/A204)</f>
        <v>1157.0241768488711</v>
      </c>
      <c r="H204" s="5">
        <f t="shared" si="15"/>
        <v>0</v>
      </c>
      <c r="I204" s="5">
        <f t="shared" si="16"/>
        <v>0</v>
      </c>
    </row>
    <row r="205" spans="1:9">
      <c r="A205">
        <v>204</v>
      </c>
      <c r="B205">
        <v>10</v>
      </c>
      <c r="C205">
        <v>9000</v>
      </c>
      <c r="D205">
        <v>7418</v>
      </c>
      <c r="E205" s="5">
        <f t="shared" si="13"/>
        <v>1582</v>
      </c>
      <c r="F205" s="5">
        <f t="shared" si="14"/>
        <v>2502724</v>
      </c>
      <c r="G205" s="6">
        <f>SQRT(SUM($F$2:F205)/A205)</f>
        <v>1159.4873529144797</v>
      </c>
      <c r="H205" s="5">
        <f t="shared" si="15"/>
        <v>1</v>
      </c>
      <c r="I205" s="5">
        <f t="shared" si="16"/>
        <v>0</v>
      </c>
    </row>
    <row r="206" spans="1:9">
      <c r="A206">
        <v>205</v>
      </c>
      <c r="B206">
        <v>6</v>
      </c>
      <c r="C206">
        <v>9000</v>
      </c>
      <c r="D206">
        <v>4782</v>
      </c>
      <c r="E206" s="5">
        <f t="shared" si="13"/>
        <v>4218</v>
      </c>
      <c r="F206" s="5">
        <f t="shared" si="14"/>
        <v>17791524</v>
      </c>
      <c r="G206" s="6">
        <f>SQRT(SUM($F$2:F206)/A206)</f>
        <v>1193.5831523037741</v>
      </c>
      <c r="H206" s="5">
        <f t="shared" si="15"/>
        <v>0</v>
      </c>
      <c r="I206" s="5">
        <f t="shared" si="16"/>
        <v>0</v>
      </c>
    </row>
    <row r="207" spans="1:9">
      <c r="A207">
        <v>206</v>
      </c>
      <c r="B207">
        <v>10</v>
      </c>
      <c r="C207">
        <v>9000</v>
      </c>
      <c r="D207">
        <v>7287</v>
      </c>
      <c r="E207" s="5">
        <f t="shared" si="13"/>
        <v>1713</v>
      </c>
      <c r="F207" s="5">
        <f t="shared" si="14"/>
        <v>2934369</v>
      </c>
      <c r="G207" s="6">
        <f>SQRT(SUM($F$2:F207)/A207)</f>
        <v>1196.6492883955079</v>
      </c>
      <c r="H207" s="5">
        <f t="shared" si="15"/>
        <v>1</v>
      </c>
      <c r="I207" s="5">
        <f t="shared" si="16"/>
        <v>0</v>
      </c>
    </row>
    <row r="208" spans="1:9">
      <c r="A208">
        <v>207</v>
      </c>
      <c r="B208">
        <v>8</v>
      </c>
      <c r="C208">
        <v>9000</v>
      </c>
      <c r="D208">
        <v>6347</v>
      </c>
      <c r="E208" s="5">
        <f t="shared" si="13"/>
        <v>2653</v>
      </c>
      <c r="F208" s="5">
        <f t="shared" si="14"/>
        <v>7038409</v>
      </c>
      <c r="G208" s="6">
        <f>SQRT(SUM($F$2:F208)/A208)</f>
        <v>1207.9129803574187</v>
      </c>
      <c r="H208" s="5">
        <f t="shared" si="15"/>
        <v>0</v>
      </c>
      <c r="I208" s="5">
        <f t="shared" si="16"/>
        <v>0</v>
      </c>
    </row>
    <row r="209" spans="1:9">
      <c r="A209">
        <v>208</v>
      </c>
      <c r="B209">
        <v>9</v>
      </c>
      <c r="C209">
        <v>9000</v>
      </c>
      <c r="D209">
        <v>7619</v>
      </c>
      <c r="E209" s="5">
        <f t="shared" si="13"/>
        <v>1381</v>
      </c>
      <c r="F209" s="5">
        <f t="shared" si="14"/>
        <v>1907161</v>
      </c>
      <c r="G209" s="6">
        <f>SQRT(SUM($F$2:F209)/A209)</f>
        <v>1208.8044216529372</v>
      </c>
      <c r="H209" s="5">
        <f t="shared" si="15"/>
        <v>1</v>
      </c>
      <c r="I209" s="5">
        <f t="shared" si="16"/>
        <v>0</v>
      </c>
    </row>
    <row r="210" spans="1:9">
      <c r="A210">
        <v>209</v>
      </c>
      <c r="B210">
        <v>8</v>
      </c>
      <c r="C210">
        <v>9000</v>
      </c>
      <c r="D210">
        <v>5841</v>
      </c>
      <c r="E210" s="5">
        <f t="shared" si="13"/>
        <v>3159</v>
      </c>
      <c r="F210" s="5">
        <f t="shared" si="14"/>
        <v>9979281</v>
      </c>
      <c r="G210" s="6">
        <f>SQRT(SUM($F$2:F210)/A210)</f>
        <v>1225.5465961480795</v>
      </c>
      <c r="H210" s="5">
        <f t="shared" si="15"/>
        <v>0</v>
      </c>
      <c r="I210" s="5">
        <f t="shared" si="16"/>
        <v>0</v>
      </c>
    </row>
    <row r="211" spans="1:9">
      <c r="A211">
        <v>210</v>
      </c>
      <c r="B211">
        <v>11</v>
      </c>
      <c r="C211">
        <v>9000</v>
      </c>
      <c r="D211">
        <v>9050</v>
      </c>
      <c r="E211" s="5">
        <f t="shared" si="13"/>
        <v>50</v>
      </c>
      <c r="F211" s="5">
        <f t="shared" si="14"/>
        <v>2500</v>
      </c>
      <c r="G211" s="6">
        <f>SQRT(SUM($F$2:F211)/A211)</f>
        <v>1222.6300145100938</v>
      </c>
      <c r="H211" s="5">
        <f t="shared" si="15"/>
        <v>1</v>
      </c>
      <c r="I211" s="5">
        <f t="shared" si="16"/>
        <v>1</v>
      </c>
    </row>
    <row r="212" spans="1:9">
      <c r="A212">
        <v>211</v>
      </c>
      <c r="B212">
        <v>8</v>
      </c>
      <c r="C212">
        <v>9000</v>
      </c>
      <c r="D212">
        <v>6234</v>
      </c>
      <c r="E212" s="5">
        <f t="shared" si="13"/>
        <v>2766</v>
      </c>
      <c r="F212" s="5">
        <f t="shared" si="14"/>
        <v>7650756</v>
      </c>
      <c r="G212" s="6">
        <f>SQRT(SUM($F$2:F212)/A212)</f>
        <v>1234.5036188015501</v>
      </c>
      <c r="H212" s="5">
        <f t="shared" si="15"/>
        <v>0</v>
      </c>
      <c r="I212" s="5">
        <f t="shared" si="16"/>
        <v>0</v>
      </c>
    </row>
    <row r="213" spans="1:9">
      <c r="A213">
        <v>212</v>
      </c>
      <c r="B213">
        <v>11</v>
      </c>
      <c r="C213">
        <v>9000</v>
      </c>
      <c r="D213">
        <v>6935</v>
      </c>
      <c r="E213" s="5">
        <f t="shared" si="13"/>
        <v>2065</v>
      </c>
      <c r="F213" s="5">
        <f t="shared" si="14"/>
        <v>4264225</v>
      </c>
      <c r="G213" s="6">
        <f>SQRT(SUM($F$2:F213)/A213)</f>
        <v>1239.727703288866</v>
      </c>
      <c r="H213" s="5">
        <f t="shared" si="15"/>
        <v>0</v>
      </c>
      <c r="I213" s="5">
        <f t="shared" si="16"/>
        <v>0</v>
      </c>
    </row>
    <row r="214" spans="1:9">
      <c r="A214">
        <v>213</v>
      </c>
      <c r="B214">
        <v>11</v>
      </c>
      <c r="C214">
        <v>9000</v>
      </c>
      <c r="D214">
        <v>6695</v>
      </c>
      <c r="E214" s="5">
        <f t="shared" si="13"/>
        <v>2305</v>
      </c>
      <c r="F214" s="5">
        <f t="shared" si="14"/>
        <v>5313025</v>
      </c>
      <c r="G214" s="6">
        <f>SQRT(SUM($F$2:F214)/A214)</f>
        <v>1246.8572285377375</v>
      </c>
      <c r="H214" s="5">
        <f t="shared" si="15"/>
        <v>0</v>
      </c>
      <c r="I214" s="5">
        <f t="shared" si="16"/>
        <v>0</v>
      </c>
    </row>
    <row r="215" spans="1:9">
      <c r="A215">
        <v>214</v>
      </c>
      <c r="B215">
        <v>12</v>
      </c>
      <c r="C215">
        <v>9000</v>
      </c>
      <c r="D215">
        <v>8067</v>
      </c>
      <c r="E215" s="5">
        <f t="shared" si="13"/>
        <v>933</v>
      </c>
      <c r="F215" s="5">
        <f t="shared" si="14"/>
        <v>870489</v>
      </c>
      <c r="G215" s="6">
        <f>SQRT(SUM($F$2:F215)/A215)</f>
        <v>1245.5745343257254</v>
      </c>
      <c r="H215" s="5">
        <f t="shared" si="15"/>
        <v>1</v>
      </c>
      <c r="I215" s="5">
        <f t="shared" si="16"/>
        <v>0</v>
      </c>
    </row>
    <row r="216" spans="1:9">
      <c r="A216">
        <v>215</v>
      </c>
      <c r="B216">
        <v>11</v>
      </c>
      <c r="C216">
        <v>9000</v>
      </c>
      <c r="D216">
        <v>7791</v>
      </c>
      <c r="E216" s="5">
        <f t="shared" si="13"/>
        <v>1209</v>
      </c>
      <c r="F216" s="5">
        <f t="shared" si="14"/>
        <v>1461681</v>
      </c>
      <c r="G216" s="6">
        <f>SQRT(SUM($F$2:F216)/A216)</f>
        <v>1245.4069065131675</v>
      </c>
      <c r="H216" s="5">
        <f t="shared" si="15"/>
        <v>1</v>
      </c>
      <c r="I216" s="5">
        <f t="shared" si="16"/>
        <v>0</v>
      </c>
    </row>
    <row r="217" spans="1:9">
      <c r="A217">
        <v>216</v>
      </c>
      <c r="B217">
        <v>12</v>
      </c>
      <c r="C217">
        <v>9000</v>
      </c>
      <c r="D217">
        <v>7616</v>
      </c>
      <c r="E217" s="5">
        <f t="shared" si="13"/>
        <v>1384</v>
      </c>
      <c r="F217" s="5">
        <f t="shared" si="14"/>
        <v>1915456</v>
      </c>
      <c r="G217" s="6">
        <f>SQRT(SUM($F$2:F217)/A217)</f>
        <v>1246.0840587542566</v>
      </c>
      <c r="H217" s="5">
        <f t="shared" si="15"/>
        <v>1</v>
      </c>
      <c r="I217" s="5">
        <f t="shared" si="16"/>
        <v>0</v>
      </c>
    </row>
    <row r="218" spans="1:9">
      <c r="A218">
        <v>217</v>
      </c>
      <c r="B218">
        <v>12</v>
      </c>
      <c r="C218">
        <v>9000</v>
      </c>
      <c r="D218">
        <v>7888</v>
      </c>
      <c r="E218" s="5">
        <f t="shared" si="13"/>
        <v>1112</v>
      </c>
      <c r="F218" s="5">
        <f t="shared" si="14"/>
        <v>1236544</v>
      </c>
      <c r="G218" s="6">
        <f>SQRT(SUM($F$2:F218)/A218)</f>
        <v>1245.4992669460444</v>
      </c>
      <c r="H218" s="5">
        <f t="shared" si="15"/>
        <v>1</v>
      </c>
      <c r="I218" s="5">
        <f t="shared" si="16"/>
        <v>0</v>
      </c>
    </row>
    <row r="219" spans="1:9">
      <c r="A219">
        <v>218</v>
      </c>
      <c r="B219">
        <v>12</v>
      </c>
      <c r="C219">
        <v>9000</v>
      </c>
      <c r="D219">
        <v>7992</v>
      </c>
      <c r="E219" s="5">
        <f t="shared" si="13"/>
        <v>1008</v>
      </c>
      <c r="F219" s="5">
        <f t="shared" si="14"/>
        <v>1016064</v>
      </c>
      <c r="G219" s="6">
        <f>SQRT(SUM($F$2:F219)/A219)</f>
        <v>1244.5133015754252</v>
      </c>
      <c r="H219" s="5">
        <f t="shared" si="15"/>
        <v>1</v>
      </c>
      <c r="I219" s="5">
        <f t="shared" si="16"/>
        <v>0</v>
      </c>
    </row>
    <row r="220" spans="1:9">
      <c r="A220">
        <v>219</v>
      </c>
      <c r="B220">
        <v>12</v>
      </c>
      <c r="C220">
        <v>9000</v>
      </c>
      <c r="D220">
        <v>7855</v>
      </c>
      <c r="E220" s="5">
        <f t="shared" si="13"/>
        <v>1145</v>
      </c>
      <c r="F220" s="5">
        <f t="shared" si="14"/>
        <v>1311025</v>
      </c>
      <c r="G220" s="6">
        <f>SQRT(SUM($F$2:F220)/A220)</f>
        <v>1244.0769936824834</v>
      </c>
      <c r="H220" s="5">
        <f t="shared" si="15"/>
        <v>1</v>
      </c>
      <c r="I220" s="5">
        <f t="shared" si="16"/>
        <v>0</v>
      </c>
    </row>
    <row r="221" spans="1:9">
      <c r="A221">
        <v>220</v>
      </c>
      <c r="B221">
        <v>13</v>
      </c>
      <c r="C221">
        <v>9000</v>
      </c>
      <c r="D221">
        <v>7854</v>
      </c>
      <c r="E221" s="5">
        <f t="shared" si="13"/>
        <v>1146</v>
      </c>
      <c r="F221" s="5">
        <f t="shared" si="14"/>
        <v>1313316</v>
      </c>
      <c r="G221" s="6">
        <f>SQRT(SUM($F$2:F221)/A221)</f>
        <v>1243.6486879705656</v>
      </c>
      <c r="H221" s="5">
        <f t="shared" si="15"/>
        <v>1</v>
      </c>
      <c r="I221" s="5">
        <f t="shared" si="16"/>
        <v>0</v>
      </c>
    </row>
    <row r="222" spans="1:9">
      <c r="A222">
        <v>221</v>
      </c>
      <c r="B222">
        <v>13</v>
      </c>
      <c r="C222">
        <v>9000</v>
      </c>
      <c r="D222">
        <v>8234</v>
      </c>
      <c r="E222" s="5">
        <f t="shared" si="13"/>
        <v>766</v>
      </c>
      <c r="F222" s="5">
        <f t="shared" si="14"/>
        <v>586756</v>
      </c>
      <c r="G222" s="6">
        <f>SQRT(SUM($F$2:F222)/A222)</f>
        <v>1241.9012008852319</v>
      </c>
      <c r="H222" s="5">
        <f t="shared" si="15"/>
        <v>1</v>
      </c>
      <c r="I222" s="5">
        <f t="shared" si="16"/>
        <v>1</v>
      </c>
    </row>
    <row r="223" spans="1:9">
      <c r="A223">
        <v>222</v>
      </c>
      <c r="B223">
        <v>13</v>
      </c>
      <c r="C223">
        <v>9000</v>
      </c>
      <c r="D223">
        <v>7606</v>
      </c>
      <c r="E223" s="5">
        <f t="shared" si="13"/>
        <v>1394</v>
      </c>
      <c r="F223" s="5">
        <f t="shared" si="14"/>
        <v>1943236</v>
      </c>
      <c r="G223" s="6">
        <f>SQRT(SUM($F$2:F223)/A223)</f>
        <v>1242.6280726858809</v>
      </c>
      <c r="H223" s="5">
        <f t="shared" si="15"/>
        <v>1</v>
      </c>
      <c r="I223" s="5">
        <f t="shared" si="16"/>
        <v>0</v>
      </c>
    </row>
    <row r="224" spans="1:9">
      <c r="A224">
        <v>223</v>
      </c>
      <c r="B224">
        <v>14</v>
      </c>
      <c r="C224">
        <v>9000</v>
      </c>
      <c r="D224">
        <v>8835</v>
      </c>
      <c r="E224" s="5">
        <f t="shared" si="13"/>
        <v>165</v>
      </c>
      <c r="F224" s="5">
        <f t="shared" si="14"/>
        <v>27225</v>
      </c>
      <c r="G224" s="6">
        <f>SQRT(SUM($F$2:F224)/A224)</f>
        <v>1239.8880138929949</v>
      </c>
      <c r="H224" s="5">
        <f t="shared" si="15"/>
        <v>1</v>
      </c>
      <c r="I224" s="5">
        <f t="shared" si="16"/>
        <v>1</v>
      </c>
    </row>
    <row r="225" spans="1:9">
      <c r="A225">
        <v>224</v>
      </c>
      <c r="B225">
        <v>13</v>
      </c>
      <c r="C225">
        <v>9000</v>
      </c>
      <c r="D225">
        <v>8269</v>
      </c>
      <c r="E225" s="5">
        <f t="shared" si="13"/>
        <v>731</v>
      </c>
      <c r="F225" s="5">
        <f t="shared" si="14"/>
        <v>534361</v>
      </c>
      <c r="G225" s="6">
        <f>SQRT(SUM($F$2:F225)/A225)</f>
        <v>1238.0810883177242</v>
      </c>
      <c r="H225" s="5">
        <f t="shared" si="15"/>
        <v>1</v>
      </c>
      <c r="I225" s="5">
        <f t="shared" si="16"/>
        <v>1</v>
      </c>
    </row>
    <row r="226" spans="1:9">
      <c r="A226">
        <v>225</v>
      </c>
      <c r="B226">
        <v>13</v>
      </c>
      <c r="C226">
        <v>9000</v>
      </c>
      <c r="D226">
        <v>7772</v>
      </c>
      <c r="E226" s="5">
        <f t="shared" si="13"/>
        <v>1228</v>
      </c>
      <c r="F226" s="5">
        <f t="shared" si="14"/>
        <v>1507984</v>
      </c>
      <c r="G226" s="6">
        <f>SQRT(SUM($F$2:F226)/A226)</f>
        <v>1238.0364650885242</v>
      </c>
      <c r="H226" s="5">
        <f t="shared" si="15"/>
        <v>1</v>
      </c>
      <c r="I226" s="5">
        <f t="shared" si="16"/>
        <v>0</v>
      </c>
    </row>
    <row r="227" spans="1:9">
      <c r="A227">
        <v>226</v>
      </c>
      <c r="B227">
        <v>14</v>
      </c>
      <c r="C227">
        <v>9000</v>
      </c>
      <c r="D227">
        <v>8949</v>
      </c>
      <c r="E227" s="5">
        <f t="shared" si="13"/>
        <v>51</v>
      </c>
      <c r="F227" s="5">
        <f t="shared" si="14"/>
        <v>2601</v>
      </c>
      <c r="G227" s="6">
        <f>SQRT(SUM($F$2:F227)/A227)</f>
        <v>1235.2990680845751</v>
      </c>
      <c r="H227" s="5">
        <f t="shared" si="15"/>
        <v>1</v>
      </c>
      <c r="I227" s="5">
        <f t="shared" si="16"/>
        <v>1</v>
      </c>
    </row>
    <row r="228" spans="1:9">
      <c r="A228">
        <v>227</v>
      </c>
      <c r="B228">
        <v>13</v>
      </c>
      <c r="C228">
        <v>9000</v>
      </c>
      <c r="D228">
        <v>8285</v>
      </c>
      <c r="E228" s="5">
        <f t="shared" si="13"/>
        <v>715</v>
      </c>
      <c r="F228" s="5">
        <f t="shared" si="14"/>
        <v>511225</v>
      </c>
      <c r="G228" s="6">
        <f>SQRT(SUM($F$2:F228)/A228)</f>
        <v>1233.4883755784749</v>
      </c>
      <c r="H228" s="5">
        <f t="shared" si="15"/>
        <v>1</v>
      </c>
      <c r="I228" s="5">
        <f t="shared" si="16"/>
        <v>1</v>
      </c>
    </row>
    <row r="229" spans="1:9">
      <c r="A229">
        <v>228</v>
      </c>
      <c r="B229">
        <v>14</v>
      </c>
      <c r="C229">
        <v>9000</v>
      </c>
      <c r="D229">
        <v>8377</v>
      </c>
      <c r="E229" s="5">
        <f t="shared" si="13"/>
        <v>623</v>
      </c>
      <c r="F229" s="5">
        <f t="shared" si="14"/>
        <v>388129</v>
      </c>
      <c r="G229" s="6">
        <f>SQRT(SUM($F$2:F229)/A229)</f>
        <v>1231.4717517826368</v>
      </c>
      <c r="H229" s="5">
        <f t="shared" si="15"/>
        <v>1</v>
      </c>
      <c r="I229" s="5">
        <f t="shared" si="16"/>
        <v>1</v>
      </c>
    </row>
    <row r="230" spans="1:9">
      <c r="A230">
        <v>229</v>
      </c>
      <c r="B230">
        <v>14</v>
      </c>
      <c r="C230">
        <v>9000</v>
      </c>
      <c r="D230">
        <v>8472</v>
      </c>
      <c r="E230" s="5">
        <f t="shared" si="13"/>
        <v>528</v>
      </c>
      <c r="F230" s="5">
        <f t="shared" si="14"/>
        <v>278784</v>
      </c>
      <c r="G230" s="6">
        <f>SQRT(SUM($F$2:F230)/A230)</f>
        <v>1229.2752755411493</v>
      </c>
      <c r="H230" s="5">
        <f t="shared" si="15"/>
        <v>1</v>
      </c>
      <c r="I230" s="5">
        <f t="shared" si="16"/>
        <v>1</v>
      </c>
    </row>
    <row r="231" spans="1:9">
      <c r="A231">
        <v>230</v>
      </c>
      <c r="B231">
        <v>14</v>
      </c>
      <c r="C231">
        <v>9000</v>
      </c>
      <c r="D231">
        <v>8354</v>
      </c>
      <c r="E231" s="5">
        <f t="shared" si="13"/>
        <v>646</v>
      </c>
      <c r="F231" s="5">
        <f t="shared" si="14"/>
        <v>417316</v>
      </c>
      <c r="G231" s="6">
        <f>SQRT(SUM($F$2:F231)/A231)</f>
        <v>1227.3394165748368</v>
      </c>
      <c r="H231" s="5">
        <f t="shared" si="15"/>
        <v>1</v>
      </c>
      <c r="I231" s="5">
        <f t="shared" si="16"/>
        <v>1</v>
      </c>
    </row>
    <row r="232" spans="1:9">
      <c r="A232">
        <v>231</v>
      </c>
      <c r="B232">
        <v>14</v>
      </c>
      <c r="C232">
        <v>9000</v>
      </c>
      <c r="D232">
        <v>8231</v>
      </c>
      <c r="E232" s="5">
        <f t="shared" si="13"/>
        <v>769</v>
      </c>
      <c r="F232" s="5">
        <f t="shared" si="14"/>
        <v>591361</v>
      </c>
      <c r="G232" s="6">
        <f>SQRT(SUM($F$2:F232)/A232)</f>
        <v>1225.7246836055804</v>
      </c>
      <c r="H232" s="5">
        <f t="shared" si="15"/>
        <v>1</v>
      </c>
      <c r="I232" s="5">
        <f t="shared" si="16"/>
        <v>1</v>
      </c>
    </row>
    <row r="233" spans="1:9">
      <c r="A233">
        <v>232</v>
      </c>
      <c r="B233">
        <v>15</v>
      </c>
      <c r="C233">
        <v>9000</v>
      </c>
      <c r="D233">
        <v>9089</v>
      </c>
      <c r="E233" s="5">
        <f t="shared" si="13"/>
        <v>89</v>
      </c>
      <c r="F233" s="5">
        <f t="shared" si="14"/>
        <v>7921</v>
      </c>
      <c r="G233" s="6">
        <f>SQRT(SUM($F$2:F233)/A233)</f>
        <v>1223.094140228817</v>
      </c>
      <c r="H233" s="5">
        <f t="shared" si="15"/>
        <v>1</v>
      </c>
      <c r="I233" s="5">
        <f t="shared" si="16"/>
        <v>1</v>
      </c>
    </row>
    <row r="234" spans="1:9">
      <c r="A234">
        <v>233</v>
      </c>
      <c r="B234">
        <v>14</v>
      </c>
      <c r="C234">
        <v>9000</v>
      </c>
      <c r="D234">
        <v>8096</v>
      </c>
      <c r="E234" s="5">
        <f t="shared" si="13"/>
        <v>904</v>
      </c>
      <c r="F234" s="5">
        <f t="shared" si="14"/>
        <v>817216</v>
      </c>
      <c r="G234" s="6">
        <f>SQRT(SUM($F$2:F234)/A234)</f>
        <v>1221.9027025881703</v>
      </c>
      <c r="H234" s="5">
        <f t="shared" si="15"/>
        <v>1</v>
      </c>
      <c r="I234" s="5">
        <f t="shared" si="16"/>
        <v>0</v>
      </c>
    </row>
    <row r="235" spans="1:9">
      <c r="A235">
        <v>234</v>
      </c>
      <c r="B235">
        <v>15</v>
      </c>
      <c r="C235">
        <v>9000</v>
      </c>
      <c r="D235">
        <v>8674</v>
      </c>
      <c r="E235" s="5">
        <f t="shared" si="13"/>
        <v>326</v>
      </c>
      <c r="F235" s="5">
        <f t="shared" si="14"/>
        <v>106276</v>
      </c>
      <c r="G235" s="6">
        <f>SQRT(SUM($F$2:F235)/A235)</f>
        <v>1219.4752339239392</v>
      </c>
      <c r="H235" s="5">
        <f t="shared" si="15"/>
        <v>1</v>
      </c>
      <c r="I235" s="5">
        <f t="shared" si="16"/>
        <v>1</v>
      </c>
    </row>
    <row r="236" spans="1:9">
      <c r="A236">
        <v>235</v>
      </c>
      <c r="B236">
        <v>15</v>
      </c>
      <c r="C236">
        <v>9000</v>
      </c>
      <c r="D236">
        <v>8641</v>
      </c>
      <c r="E236" s="5">
        <f t="shared" si="13"/>
        <v>359</v>
      </c>
      <c r="F236" s="5">
        <f t="shared" si="14"/>
        <v>128881</v>
      </c>
      <c r="G236" s="6">
        <f>SQRT(SUM($F$2:F236)/A236)</f>
        <v>1217.1031617668975</v>
      </c>
      <c r="H236" s="5">
        <f t="shared" si="15"/>
        <v>1</v>
      </c>
      <c r="I236" s="5">
        <f t="shared" si="16"/>
        <v>1</v>
      </c>
    </row>
    <row r="237" spans="1:9">
      <c r="A237">
        <v>236</v>
      </c>
      <c r="B237">
        <v>15</v>
      </c>
      <c r="C237">
        <v>9000</v>
      </c>
      <c r="D237">
        <v>8508</v>
      </c>
      <c r="E237" s="5">
        <f t="shared" si="13"/>
        <v>492</v>
      </c>
      <c r="F237" s="5">
        <f t="shared" si="14"/>
        <v>242064</v>
      </c>
      <c r="G237" s="6">
        <f>SQRT(SUM($F$2:F237)/A237)</f>
        <v>1214.9440054754284</v>
      </c>
      <c r="H237" s="5">
        <f t="shared" si="15"/>
        <v>1</v>
      </c>
      <c r="I237" s="5">
        <f t="shared" si="16"/>
        <v>1</v>
      </c>
    </row>
    <row r="238" spans="1:9">
      <c r="A238">
        <v>237</v>
      </c>
      <c r="B238">
        <v>15</v>
      </c>
      <c r="C238">
        <v>9000</v>
      </c>
      <c r="D238">
        <v>8993</v>
      </c>
      <c r="E238" s="5">
        <f t="shared" si="13"/>
        <v>7</v>
      </c>
      <c r="F238" s="5">
        <f t="shared" si="14"/>
        <v>49</v>
      </c>
      <c r="G238" s="6">
        <f>SQRT(SUM($F$2:F238)/A238)</f>
        <v>1212.3782082465948</v>
      </c>
      <c r="H238" s="5">
        <f t="shared" si="15"/>
        <v>1</v>
      </c>
      <c r="I238" s="5">
        <f t="shared" si="16"/>
        <v>1</v>
      </c>
    </row>
    <row r="239" spans="1:9">
      <c r="A239">
        <v>238</v>
      </c>
      <c r="B239">
        <v>14</v>
      </c>
      <c r="C239">
        <v>9000</v>
      </c>
      <c r="D239">
        <v>8533</v>
      </c>
      <c r="E239" s="5">
        <f t="shared" si="13"/>
        <v>467</v>
      </c>
      <c r="F239" s="5">
        <f t="shared" si="14"/>
        <v>218089</v>
      </c>
      <c r="G239" s="6">
        <f>SQRT(SUM($F$2:F239)/A239)</f>
        <v>1210.2071615841562</v>
      </c>
      <c r="H239" s="5">
        <f t="shared" si="15"/>
        <v>1</v>
      </c>
      <c r="I239" s="5">
        <f t="shared" si="16"/>
        <v>1</v>
      </c>
    </row>
    <row r="240" spans="1:9">
      <c r="A240">
        <v>239</v>
      </c>
      <c r="B240">
        <v>15</v>
      </c>
      <c r="C240">
        <v>9000</v>
      </c>
      <c r="D240">
        <v>10016</v>
      </c>
      <c r="E240" s="5">
        <f t="shared" si="13"/>
        <v>1016</v>
      </c>
      <c r="F240" s="5">
        <f t="shared" si="14"/>
        <v>1032256</v>
      </c>
      <c r="G240" s="6">
        <f>SQRT(SUM($F$2:F240)/A240)</f>
        <v>1209.459547686296</v>
      </c>
      <c r="H240" s="5">
        <f t="shared" si="15"/>
        <v>1</v>
      </c>
      <c r="I240" s="5">
        <f t="shared" si="16"/>
        <v>0</v>
      </c>
    </row>
    <row r="241" spans="1:9">
      <c r="A241">
        <v>240</v>
      </c>
      <c r="B241">
        <v>13</v>
      </c>
      <c r="C241">
        <v>9000</v>
      </c>
      <c r="D241">
        <v>7299</v>
      </c>
      <c r="E241" s="5">
        <f t="shared" si="13"/>
        <v>1701</v>
      </c>
      <c r="F241" s="5">
        <f t="shared" si="14"/>
        <v>2893401</v>
      </c>
      <c r="G241" s="6">
        <f>SQRT(SUM($F$2:F241)/A241)</f>
        <v>1211.9213120770946</v>
      </c>
      <c r="H241" s="5">
        <f t="shared" si="15"/>
        <v>1</v>
      </c>
      <c r="I241" s="5">
        <f t="shared" si="16"/>
        <v>0</v>
      </c>
    </row>
    <row r="242" spans="1:9">
      <c r="A242">
        <v>241</v>
      </c>
      <c r="B242">
        <v>17</v>
      </c>
      <c r="C242">
        <v>9000</v>
      </c>
      <c r="D242">
        <v>9970</v>
      </c>
      <c r="E242" s="5">
        <f t="shared" si="13"/>
        <v>970</v>
      </c>
      <c r="F242" s="5">
        <f t="shared" si="14"/>
        <v>940900</v>
      </c>
      <c r="G242" s="6">
        <f>SQRT(SUM($F$2:F242)/A242)</f>
        <v>1211.0173426294841</v>
      </c>
      <c r="H242" s="5">
        <f t="shared" si="15"/>
        <v>1</v>
      </c>
      <c r="I242" s="5">
        <f t="shared" si="16"/>
        <v>0</v>
      </c>
    </row>
    <row r="243" spans="1:9">
      <c r="A243">
        <v>242</v>
      </c>
      <c r="B243">
        <v>14</v>
      </c>
      <c r="C243">
        <v>9000</v>
      </c>
      <c r="D243">
        <v>8422</v>
      </c>
      <c r="E243" s="5">
        <f t="shared" si="13"/>
        <v>578</v>
      </c>
      <c r="F243" s="5">
        <f t="shared" si="14"/>
        <v>334084</v>
      </c>
      <c r="G243" s="6">
        <f>SQRT(SUM($F$2:F243)/A243)</f>
        <v>1209.0836773536294</v>
      </c>
      <c r="H243" s="5">
        <f t="shared" si="15"/>
        <v>1</v>
      </c>
      <c r="I243" s="5">
        <f t="shared" si="16"/>
        <v>1</v>
      </c>
    </row>
    <row r="244" spans="1:9">
      <c r="A244">
        <v>243</v>
      </c>
      <c r="B244">
        <v>15</v>
      </c>
      <c r="C244">
        <v>9000</v>
      </c>
      <c r="D244">
        <v>8417</v>
      </c>
      <c r="E244" s="5">
        <f t="shared" si="13"/>
        <v>583</v>
      </c>
      <c r="F244" s="5">
        <f t="shared" si="14"/>
        <v>339889</v>
      </c>
      <c r="G244" s="6">
        <f>SQRT(SUM($F$2:F244)/A244)</f>
        <v>1207.172762362248</v>
      </c>
      <c r="H244" s="5">
        <f t="shared" si="15"/>
        <v>1</v>
      </c>
      <c r="I244" s="5">
        <f t="shared" si="16"/>
        <v>1</v>
      </c>
    </row>
    <row r="245" spans="1:9">
      <c r="A245">
        <v>244</v>
      </c>
      <c r="B245">
        <v>15</v>
      </c>
      <c r="C245">
        <v>9000</v>
      </c>
      <c r="D245">
        <v>8894</v>
      </c>
      <c r="E245" s="5">
        <f t="shared" si="13"/>
        <v>106</v>
      </c>
      <c r="F245" s="5">
        <f t="shared" si="14"/>
        <v>11236</v>
      </c>
      <c r="G245" s="6">
        <f>SQRT(SUM($F$2:F245)/A245)</f>
        <v>1204.7156201402206</v>
      </c>
      <c r="H245" s="5">
        <f t="shared" si="15"/>
        <v>1</v>
      </c>
      <c r="I245" s="5">
        <f t="shared" si="16"/>
        <v>1</v>
      </c>
    </row>
    <row r="246" spans="1:9">
      <c r="A246">
        <v>245</v>
      </c>
      <c r="B246">
        <v>15</v>
      </c>
      <c r="C246">
        <v>9000</v>
      </c>
      <c r="D246">
        <v>8525</v>
      </c>
      <c r="E246" s="5">
        <f t="shared" si="13"/>
        <v>475</v>
      </c>
      <c r="F246" s="5">
        <f t="shared" si="14"/>
        <v>225625</v>
      </c>
      <c r="G246" s="6">
        <f>SQRT(SUM($F$2:F246)/A246)</f>
        <v>1202.6374383675511</v>
      </c>
      <c r="H246" s="5">
        <f t="shared" si="15"/>
        <v>1</v>
      </c>
      <c r="I246" s="5">
        <f t="shared" si="16"/>
        <v>1</v>
      </c>
    </row>
    <row r="247" spans="1:9">
      <c r="A247">
        <v>246</v>
      </c>
      <c r="B247">
        <v>15</v>
      </c>
      <c r="C247">
        <v>9000</v>
      </c>
      <c r="D247">
        <v>9698</v>
      </c>
      <c r="E247" s="5">
        <f t="shared" si="13"/>
        <v>698</v>
      </c>
      <c r="F247" s="5">
        <f t="shared" si="14"/>
        <v>487204</v>
      </c>
      <c r="G247" s="6">
        <f>SQRT(SUM($F$2:F247)/A247)</f>
        <v>1201.0153597306503</v>
      </c>
      <c r="H247" s="5">
        <f t="shared" si="15"/>
        <v>1</v>
      </c>
      <c r="I247" s="5">
        <f t="shared" si="16"/>
        <v>1</v>
      </c>
    </row>
    <row r="248" spans="1:9">
      <c r="A248">
        <v>247</v>
      </c>
      <c r="B248">
        <v>14</v>
      </c>
      <c r="C248">
        <v>9000</v>
      </c>
      <c r="D248">
        <v>8530</v>
      </c>
      <c r="E248" s="5">
        <f t="shared" si="13"/>
        <v>470</v>
      </c>
      <c r="F248" s="5">
        <f t="shared" si="14"/>
        <v>220900</v>
      </c>
      <c r="G248" s="6">
        <f>SQRT(SUM($F$2:F248)/A248)</f>
        <v>1198.9547100541929</v>
      </c>
      <c r="H248" s="5">
        <f t="shared" si="15"/>
        <v>1</v>
      </c>
      <c r="I248" s="5">
        <f t="shared" si="16"/>
        <v>1</v>
      </c>
    </row>
    <row r="249" spans="1:9">
      <c r="A249">
        <v>248</v>
      </c>
      <c r="B249">
        <v>15</v>
      </c>
      <c r="C249">
        <v>9000</v>
      </c>
      <c r="D249">
        <v>8168</v>
      </c>
      <c r="E249" s="5">
        <f t="shared" si="13"/>
        <v>832</v>
      </c>
      <c r="F249" s="5">
        <f t="shared" si="14"/>
        <v>692224</v>
      </c>
      <c r="G249" s="6">
        <f>SQRT(SUM($F$2:F249)/A249)</f>
        <v>1197.7008317013328</v>
      </c>
      <c r="H249" s="5">
        <f t="shared" si="15"/>
        <v>1</v>
      </c>
      <c r="I249" s="5">
        <f t="shared" si="16"/>
        <v>1</v>
      </c>
    </row>
    <row r="250" spans="1:9">
      <c r="A250">
        <v>249</v>
      </c>
      <c r="B250">
        <v>16</v>
      </c>
      <c r="C250">
        <v>9000</v>
      </c>
      <c r="D250">
        <v>9579</v>
      </c>
      <c r="E250" s="5">
        <f t="shared" si="13"/>
        <v>579</v>
      </c>
      <c r="F250" s="5">
        <f t="shared" si="14"/>
        <v>335241</v>
      </c>
      <c r="G250" s="6">
        <f>SQRT(SUM($F$2:F250)/A250)</f>
        <v>1195.856445629749</v>
      </c>
      <c r="H250" s="5">
        <f t="shared" si="15"/>
        <v>1</v>
      </c>
      <c r="I250" s="5">
        <f t="shared" si="16"/>
        <v>1</v>
      </c>
    </row>
    <row r="251" spans="1:9">
      <c r="A251">
        <v>250</v>
      </c>
      <c r="B251">
        <v>14</v>
      </c>
      <c r="C251">
        <v>9000</v>
      </c>
      <c r="D251">
        <v>8201</v>
      </c>
      <c r="E251" s="5">
        <f t="shared" si="13"/>
        <v>799</v>
      </c>
      <c r="F251" s="5">
        <f t="shared" si="14"/>
        <v>638401</v>
      </c>
      <c r="G251" s="6">
        <f>SQRT(SUM($F$2:F251)/A251)</f>
        <v>1194.5316873151587</v>
      </c>
      <c r="H251" s="5">
        <f t="shared" si="15"/>
        <v>1</v>
      </c>
      <c r="I251" s="5">
        <f t="shared" si="16"/>
        <v>1</v>
      </c>
    </row>
    <row r="252" spans="1:9">
      <c r="A252">
        <v>251</v>
      </c>
      <c r="B252">
        <v>16</v>
      </c>
      <c r="C252">
        <v>9000</v>
      </c>
      <c r="D252">
        <v>9568</v>
      </c>
      <c r="E252" s="5">
        <f t="shared" si="13"/>
        <v>568</v>
      </c>
      <c r="F252" s="5">
        <f t="shared" si="14"/>
        <v>322624</v>
      </c>
      <c r="G252" s="6">
        <f>SQRT(SUM($F$2:F252)/A252)</f>
        <v>1192.6887365573455</v>
      </c>
      <c r="H252" s="5">
        <f t="shared" si="15"/>
        <v>1</v>
      </c>
      <c r="I252" s="5">
        <f t="shared" si="16"/>
        <v>1</v>
      </c>
    </row>
    <row r="253" spans="1:9">
      <c r="A253">
        <v>252</v>
      </c>
      <c r="B253">
        <v>14</v>
      </c>
      <c r="C253">
        <v>9000</v>
      </c>
      <c r="D253">
        <v>8597</v>
      </c>
      <c r="E253" s="5">
        <f t="shared" si="13"/>
        <v>403</v>
      </c>
      <c r="F253" s="5">
        <f t="shared" si="14"/>
        <v>162409</v>
      </c>
      <c r="G253" s="6">
        <f>SQRT(SUM($F$2:F253)/A253)</f>
        <v>1190.590624738111</v>
      </c>
      <c r="H253" s="5">
        <f t="shared" si="15"/>
        <v>1</v>
      </c>
      <c r="I253" s="5">
        <f t="shared" si="16"/>
        <v>1</v>
      </c>
    </row>
    <row r="254" spans="1:9">
      <c r="A254">
        <v>253</v>
      </c>
      <c r="B254">
        <v>16</v>
      </c>
      <c r="C254">
        <v>9000</v>
      </c>
      <c r="D254">
        <v>9318</v>
      </c>
      <c r="E254" s="5">
        <f t="shared" si="13"/>
        <v>318</v>
      </c>
      <c r="F254" s="5">
        <f t="shared" si="14"/>
        <v>101124</v>
      </c>
      <c r="G254" s="6">
        <f>SQRT(SUM($F$2:F254)/A254)</f>
        <v>1188.4035277059859</v>
      </c>
      <c r="H254" s="5">
        <f t="shared" si="15"/>
        <v>1</v>
      </c>
      <c r="I254" s="5">
        <f t="shared" si="16"/>
        <v>1</v>
      </c>
    </row>
    <row r="255" spans="1:9">
      <c r="A255">
        <v>254</v>
      </c>
      <c r="B255">
        <v>15</v>
      </c>
      <c r="C255">
        <v>9000</v>
      </c>
      <c r="D255">
        <v>8788</v>
      </c>
      <c r="E255" s="5">
        <f t="shared" si="13"/>
        <v>212</v>
      </c>
      <c r="F255" s="5">
        <f t="shared" si="14"/>
        <v>44944</v>
      </c>
      <c r="G255" s="6">
        <f>SQRT(SUM($F$2:F255)/A255)</f>
        <v>1186.136434703986</v>
      </c>
      <c r="H255" s="5">
        <f t="shared" si="15"/>
        <v>1</v>
      </c>
      <c r="I255" s="5">
        <f t="shared" si="16"/>
        <v>1</v>
      </c>
    </row>
    <row r="256" spans="1:9">
      <c r="A256">
        <v>255</v>
      </c>
      <c r="B256">
        <v>15</v>
      </c>
      <c r="C256">
        <v>9000</v>
      </c>
      <c r="D256">
        <v>8018</v>
      </c>
      <c r="E256" s="5">
        <f t="shared" si="13"/>
        <v>982</v>
      </c>
      <c r="F256" s="5">
        <f t="shared" si="14"/>
        <v>964324</v>
      </c>
      <c r="G256" s="6">
        <f>SQRT(SUM($F$2:F256)/A256)</f>
        <v>1185.4045607087141</v>
      </c>
      <c r="H256" s="5">
        <f t="shared" si="15"/>
        <v>1</v>
      </c>
      <c r="I256" s="5">
        <f t="shared" si="16"/>
        <v>0</v>
      </c>
    </row>
    <row r="257" spans="1:9">
      <c r="A257">
        <v>256</v>
      </c>
      <c r="B257">
        <v>16</v>
      </c>
      <c r="C257">
        <v>9000</v>
      </c>
      <c r="D257">
        <v>3978</v>
      </c>
      <c r="E257" s="5">
        <f t="shared" si="13"/>
        <v>5022</v>
      </c>
      <c r="F257" s="5">
        <f t="shared" si="14"/>
        <v>25220484</v>
      </c>
      <c r="G257" s="6">
        <f>SQRT(SUM($F$2:F257)/A257)</f>
        <v>1224.0149052528936</v>
      </c>
      <c r="H257" s="5">
        <f t="shared" si="15"/>
        <v>0</v>
      </c>
      <c r="I257" s="5">
        <f t="shared" si="16"/>
        <v>0</v>
      </c>
    </row>
    <row r="258" spans="1:9">
      <c r="A258">
        <v>257</v>
      </c>
      <c r="B258">
        <v>22</v>
      </c>
      <c r="C258">
        <v>9000</v>
      </c>
      <c r="D258">
        <v>9813</v>
      </c>
      <c r="E258" s="5">
        <f t="shared" si="13"/>
        <v>813</v>
      </c>
      <c r="F258" s="5">
        <f t="shared" si="14"/>
        <v>660969</v>
      </c>
      <c r="G258" s="6">
        <f>SQRT(SUM($F$2:F258)/A258)</f>
        <v>1222.6834142645062</v>
      </c>
      <c r="H258" s="5">
        <f t="shared" si="15"/>
        <v>1</v>
      </c>
      <c r="I258" s="5">
        <f t="shared" si="16"/>
        <v>1</v>
      </c>
    </row>
    <row r="259" spans="1:9">
      <c r="A259">
        <v>258</v>
      </c>
      <c r="B259">
        <v>16</v>
      </c>
      <c r="C259">
        <v>9000</v>
      </c>
      <c r="D259">
        <v>9667</v>
      </c>
      <c r="E259" s="5">
        <f t="shared" ref="E259:E322" si="17">ABS(C259-D259)</f>
        <v>667</v>
      </c>
      <c r="F259" s="5">
        <f t="shared" ref="F259:F322" si="18">POWER(E259,2)</f>
        <v>444889</v>
      </c>
      <c r="G259" s="6">
        <f>SQRT(SUM($F$2:F259)/A259)</f>
        <v>1221.0178988460102</v>
      </c>
      <c r="H259" s="5">
        <f t="shared" ref="H259:H322" si="19">IF(ABS(E259)/C259&gt;0.2,0,1)</f>
        <v>1</v>
      </c>
      <c r="I259" s="5">
        <f t="shared" ref="I259:I322" si="20">IF(ABS(E259)/C259&gt;0.1,0,1)</f>
        <v>1</v>
      </c>
    </row>
    <row r="260" spans="1:9">
      <c r="A260">
        <v>259</v>
      </c>
      <c r="B260">
        <v>16</v>
      </c>
      <c r="C260">
        <v>9000</v>
      </c>
      <c r="D260">
        <v>8807</v>
      </c>
      <c r="E260" s="5">
        <f t="shared" si="17"/>
        <v>193</v>
      </c>
      <c r="F260" s="5">
        <f t="shared" si="18"/>
        <v>37249</v>
      </c>
      <c r="G260" s="6">
        <f>SQRT(SUM($F$2:F260)/A260)</f>
        <v>1218.7174472437064</v>
      </c>
      <c r="H260" s="5">
        <f t="shared" si="19"/>
        <v>1</v>
      </c>
      <c r="I260" s="5">
        <f t="shared" si="20"/>
        <v>1</v>
      </c>
    </row>
    <row r="261" spans="1:9">
      <c r="A261">
        <v>260</v>
      </c>
      <c r="B261">
        <v>17</v>
      </c>
      <c r="C261">
        <v>9000</v>
      </c>
      <c r="D261">
        <v>9136</v>
      </c>
      <c r="E261" s="5">
        <f t="shared" si="17"/>
        <v>136</v>
      </c>
      <c r="F261" s="5">
        <f t="shared" si="18"/>
        <v>18496</v>
      </c>
      <c r="G261" s="6">
        <f>SQRT(SUM($F$2:F261)/A261)</f>
        <v>1216.4007436822658</v>
      </c>
      <c r="H261" s="5">
        <f t="shared" si="19"/>
        <v>1</v>
      </c>
      <c r="I261" s="5">
        <f t="shared" si="20"/>
        <v>1</v>
      </c>
    </row>
    <row r="262" spans="1:9">
      <c r="A262">
        <v>261</v>
      </c>
      <c r="B262">
        <v>16</v>
      </c>
      <c r="C262">
        <v>9000</v>
      </c>
      <c r="D262">
        <v>9503</v>
      </c>
      <c r="E262" s="5">
        <f t="shared" si="17"/>
        <v>503</v>
      </c>
      <c r="F262" s="5">
        <f t="shared" si="18"/>
        <v>253009</v>
      </c>
      <c r="G262" s="6">
        <f>SQRT(SUM($F$2:F262)/A262)</f>
        <v>1214.4674013597555</v>
      </c>
      <c r="H262" s="5">
        <f t="shared" si="19"/>
        <v>1</v>
      </c>
      <c r="I262" s="5">
        <f t="shared" si="20"/>
        <v>1</v>
      </c>
    </row>
    <row r="263" spans="1:9">
      <c r="A263">
        <v>262</v>
      </c>
      <c r="B263">
        <v>16</v>
      </c>
      <c r="C263">
        <v>9000</v>
      </c>
      <c r="D263">
        <v>10610</v>
      </c>
      <c r="E263" s="5">
        <f t="shared" si="17"/>
        <v>1610</v>
      </c>
      <c r="F263" s="5">
        <f t="shared" si="18"/>
        <v>2592100</v>
      </c>
      <c r="G263" s="6">
        <f>SQRT(SUM($F$2:F263)/A263)</f>
        <v>1216.2216379094248</v>
      </c>
      <c r="H263" s="5">
        <f t="shared" si="19"/>
        <v>1</v>
      </c>
      <c r="I263" s="5">
        <f t="shared" si="20"/>
        <v>0</v>
      </c>
    </row>
    <row r="264" spans="1:9">
      <c r="A264">
        <v>263</v>
      </c>
      <c r="B264">
        <v>14</v>
      </c>
      <c r="C264">
        <v>9000</v>
      </c>
      <c r="D264">
        <v>8973</v>
      </c>
      <c r="E264" s="5">
        <f t="shared" si="17"/>
        <v>27</v>
      </c>
      <c r="F264" s="5">
        <f t="shared" si="18"/>
        <v>729</v>
      </c>
      <c r="G264" s="6">
        <f>SQRT(SUM($F$2:F264)/A264)</f>
        <v>1213.9083690777943</v>
      </c>
      <c r="H264" s="5">
        <f t="shared" si="19"/>
        <v>1</v>
      </c>
      <c r="I264" s="5">
        <f t="shared" si="20"/>
        <v>1</v>
      </c>
    </row>
    <row r="265" spans="1:9">
      <c r="A265">
        <v>264</v>
      </c>
      <c r="B265">
        <v>16</v>
      </c>
      <c r="C265">
        <v>9000</v>
      </c>
      <c r="D265">
        <v>9637</v>
      </c>
      <c r="E265" s="5">
        <f t="shared" si="17"/>
        <v>637</v>
      </c>
      <c r="F265" s="5">
        <f t="shared" si="18"/>
        <v>405769</v>
      </c>
      <c r="G265" s="6">
        <f>SQRT(SUM($F$2:F265)/A265)</f>
        <v>1212.2412360557364</v>
      </c>
      <c r="H265" s="5">
        <f t="shared" si="19"/>
        <v>1</v>
      </c>
      <c r="I265" s="5">
        <f t="shared" si="20"/>
        <v>1</v>
      </c>
    </row>
    <row r="266" spans="1:9">
      <c r="A266">
        <v>265</v>
      </c>
      <c r="B266">
        <v>15</v>
      </c>
      <c r="C266">
        <v>9000</v>
      </c>
      <c r="D266">
        <v>9311</v>
      </c>
      <c r="E266" s="5">
        <f t="shared" si="17"/>
        <v>311</v>
      </c>
      <c r="F266" s="5">
        <f t="shared" si="18"/>
        <v>96721</v>
      </c>
      <c r="G266" s="6">
        <f>SQRT(SUM($F$2:F266)/A266)</f>
        <v>1210.1026433931834</v>
      </c>
      <c r="H266" s="5">
        <f t="shared" si="19"/>
        <v>1</v>
      </c>
      <c r="I266" s="5">
        <f t="shared" si="20"/>
        <v>1</v>
      </c>
    </row>
    <row r="267" spans="1:9">
      <c r="A267">
        <v>266</v>
      </c>
      <c r="B267">
        <v>15</v>
      </c>
      <c r="C267">
        <v>9000</v>
      </c>
      <c r="D267">
        <v>9668</v>
      </c>
      <c r="E267" s="5">
        <f t="shared" si="17"/>
        <v>668</v>
      </c>
      <c r="F267" s="5">
        <f t="shared" si="18"/>
        <v>446224</v>
      </c>
      <c r="G267" s="6">
        <f>SQRT(SUM($F$2:F267)/A267)</f>
        <v>1208.5201165807921</v>
      </c>
      <c r="H267" s="5">
        <f t="shared" si="19"/>
        <v>1</v>
      </c>
      <c r="I267" s="5">
        <f t="shared" si="20"/>
        <v>1</v>
      </c>
    </row>
    <row r="268" spans="1:9">
      <c r="A268">
        <v>267</v>
      </c>
      <c r="B268">
        <v>15</v>
      </c>
      <c r="C268">
        <v>9000</v>
      </c>
      <c r="D268">
        <v>8991</v>
      </c>
      <c r="E268" s="5">
        <f t="shared" si="17"/>
        <v>9</v>
      </c>
      <c r="F268" s="5">
        <f t="shared" si="18"/>
        <v>81</v>
      </c>
      <c r="G268" s="6">
        <f>SQRT(SUM($F$2:F268)/A268)</f>
        <v>1206.2549730156943</v>
      </c>
      <c r="H268" s="5">
        <f t="shared" si="19"/>
        <v>1</v>
      </c>
      <c r="I268" s="5">
        <f t="shared" si="20"/>
        <v>1</v>
      </c>
    </row>
    <row r="269" spans="1:9">
      <c r="A269">
        <v>268</v>
      </c>
      <c r="B269">
        <v>15</v>
      </c>
      <c r="C269">
        <v>9000</v>
      </c>
      <c r="D269">
        <v>9330</v>
      </c>
      <c r="E269" s="5">
        <f t="shared" si="17"/>
        <v>330</v>
      </c>
      <c r="F269" s="5">
        <f t="shared" si="18"/>
        <v>108900</v>
      </c>
      <c r="G269" s="6">
        <f>SQRT(SUM($F$2:F269)/A269)</f>
        <v>1204.1711291211707</v>
      </c>
      <c r="H269" s="5">
        <f t="shared" si="19"/>
        <v>1</v>
      </c>
      <c r="I269" s="5">
        <f t="shared" si="20"/>
        <v>1</v>
      </c>
    </row>
    <row r="270" spans="1:9">
      <c r="A270">
        <v>269</v>
      </c>
      <c r="B270">
        <v>15</v>
      </c>
      <c r="C270">
        <v>9000</v>
      </c>
      <c r="D270">
        <v>9051</v>
      </c>
      <c r="E270" s="5">
        <f t="shared" si="17"/>
        <v>51</v>
      </c>
      <c r="F270" s="5">
        <f t="shared" si="18"/>
        <v>2601</v>
      </c>
      <c r="G270" s="6">
        <f>SQRT(SUM($F$2:F270)/A270)</f>
        <v>1201.9348311326878</v>
      </c>
      <c r="H270" s="5">
        <f t="shared" si="19"/>
        <v>1</v>
      </c>
      <c r="I270" s="5">
        <f t="shared" si="20"/>
        <v>1</v>
      </c>
    </row>
    <row r="271" spans="1:9">
      <c r="A271">
        <v>270</v>
      </c>
      <c r="B271">
        <v>15</v>
      </c>
      <c r="C271">
        <v>9000</v>
      </c>
      <c r="D271">
        <v>9441</v>
      </c>
      <c r="E271" s="5">
        <f t="shared" si="17"/>
        <v>441</v>
      </c>
      <c r="F271" s="5">
        <f t="shared" si="18"/>
        <v>194481</v>
      </c>
      <c r="G271" s="6">
        <f>SQRT(SUM($F$2:F271)/A271)</f>
        <v>1200.0071218924463</v>
      </c>
      <c r="H271" s="5">
        <f t="shared" si="19"/>
        <v>1</v>
      </c>
      <c r="I271" s="5">
        <f t="shared" si="20"/>
        <v>1</v>
      </c>
    </row>
    <row r="272" spans="1:9">
      <c r="A272">
        <v>271</v>
      </c>
      <c r="B272">
        <v>15</v>
      </c>
      <c r="C272">
        <v>9000</v>
      </c>
      <c r="D272">
        <v>9024</v>
      </c>
      <c r="E272" s="5">
        <f t="shared" si="17"/>
        <v>24</v>
      </c>
      <c r="F272" s="5">
        <f t="shared" si="18"/>
        <v>576</v>
      </c>
      <c r="G272" s="6">
        <f>SQRT(SUM($F$2:F272)/A272)</f>
        <v>1197.7919276088892</v>
      </c>
      <c r="H272" s="5">
        <f t="shared" si="19"/>
        <v>1</v>
      </c>
      <c r="I272" s="5">
        <f t="shared" si="20"/>
        <v>1</v>
      </c>
    </row>
    <row r="273" spans="1:9">
      <c r="A273">
        <v>272</v>
      </c>
      <c r="B273">
        <v>15</v>
      </c>
      <c r="C273">
        <v>9000</v>
      </c>
      <c r="D273">
        <v>9495</v>
      </c>
      <c r="E273" s="5">
        <f t="shared" si="17"/>
        <v>495</v>
      </c>
      <c r="F273" s="5">
        <f t="shared" si="18"/>
        <v>245025</v>
      </c>
      <c r="G273" s="6">
        <f>SQRT(SUM($F$2:F273)/A273)</f>
        <v>1195.9647471688236</v>
      </c>
      <c r="H273" s="5">
        <f t="shared" si="19"/>
        <v>1</v>
      </c>
      <c r="I273" s="5">
        <f t="shared" si="20"/>
        <v>1</v>
      </c>
    </row>
    <row r="274" spans="1:9">
      <c r="A274">
        <v>273</v>
      </c>
      <c r="B274">
        <v>15</v>
      </c>
      <c r="C274">
        <v>9000</v>
      </c>
      <c r="D274">
        <v>9303</v>
      </c>
      <c r="E274" s="5">
        <f t="shared" si="17"/>
        <v>303</v>
      </c>
      <c r="F274" s="5">
        <f t="shared" si="18"/>
        <v>91809</v>
      </c>
      <c r="G274" s="6">
        <f>SQRT(SUM($F$2:F274)/A274)</f>
        <v>1193.913172305115</v>
      </c>
      <c r="H274" s="5">
        <f t="shared" si="19"/>
        <v>1</v>
      </c>
      <c r="I274" s="5">
        <f t="shared" si="20"/>
        <v>1</v>
      </c>
    </row>
    <row r="275" spans="1:9">
      <c r="A275">
        <v>274</v>
      </c>
      <c r="B275">
        <v>15</v>
      </c>
      <c r="C275">
        <v>9000</v>
      </c>
      <c r="D275">
        <v>8781</v>
      </c>
      <c r="E275" s="5">
        <f t="shared" si="17"/>
        <v>219</v>
      </c>
      <c r="F275" s="5">
        <f t="shared" si="18"/>
        <v>47961</v>
      </c>
      <c r="G275" s="6">
        <f>SQRT(SUM($F$2:F275)/A275)</f>
        <v>1191.8059442539814</v>
      </c>
      <c r="H275" s="5">
        <f t="shared" si="19"/>
        <v>1</v>
      </c>
      <c r="I275" s="5">
        <f t="shared" si="20"/>
        <v>1</v>
      </c>
    </row>
    <row r="276" spans="1:9">
      <c r="A276">
        <v>275</v>
      </c>
      <c r="B276">
        <v>15</v>
      </c>
      <c r="C276">
        <v>9000</v>
      </c>
      <c r="D276">
        <v>8806</v>
      </c>
      <c r="E276" s="5">
        <f t="shared" si="17"/>
        <v>194</v>
      </c>
      <c r="F276" s="5">
        <f t="shared" si="18"/>
        <v>37636</v>
      </c>
      <c r="G276" s="6">
        <f>SQRT(SUM($F$2:F276)/A276)</f>
        <v>1189.6945704293564</v>
      </c>
      <c r="H276" s="5">
        <f t="shared" si="19"/>
        <v>1</v>
      </c>
      <c r="I276" s="5">
        <f t="shared" si="20"/>
        <v>1</v>
      </c>
    </row>
    <row r="277" spans="1:9">
      <c r="A277">
        <v>276</v>
      </c>
      <c r="B277">
        <v>15</v>
      </c>
      <c r="C277">
        <v>9000</v>
      </c>
      <c r="D277">
        <v>8929</v>
      </c>
      <c r="E277" s="5">
        <f t="shared" si="17"/>
        <v>71</v>
      </c>
      <c r="F277" s="5">
        <f t="shared" si="18"/>
        <v>5041</v>
      </c>
      <c r="G277" s="6">
        <f>SQRT(SUM($F$2:F277)/A277)</f>
        <v>1187.5450609299548</v>
      </c>
      <c r="H277" s="5">
        <f t="shared" si="19"/>
        <v>1</v>
      </c>
      <c r="I277" s="5">
        <f t="shared" si="20"/>
        <v>1</v>
      </c>
    </row>
    <row r="278" spans="1:9">
      <c r="A278">
        <v>277</v>
      </c>
      <c r="B278">
        <v>15</v>
      </c>
      <c r="C278">
        <v>9000</v>
      </c>
      <c r="D278">
        <v>8952</v>
      </c>
      <c r="E278" s="5">
        <f t="shared" si="17"/>
        <v>48</v>
      </c>
      <c r="F278" s="5">
        <f t="shared" si="18"/>
        <v>2304</v>
      </c>
      <c r="G278" s="6">
        <f>SQRT(SUM($F$2:F278)/A278)</f>
        <v>1185.4030480311701</v>
      </c>
      <c r="H278" s="5">
        <f t="shared" si="19"/>
        <v>1</v>
      </c>
      <c r="I278" s="5">
        <f t="shared" si="20"/>
        <v>1</v>
      </c>
    </row>
    <row r="279" spans="1:9">
      <c r="A279">
        <v>278</v>
      </c>
      <c r="B279">
        <v>15</v>
      </c>
      <c r="C279">
        <v>9000</v>
      </c>
      <c r="D279">
        <v>9503</v>
      </c>
      <c r="E279" s="5">
        <f t="shared" si="17"/>
        <v>503</v>
      </c>
      <c r="F279" s="5">
        <f t="shared" si="18"/>
        <v>253009</v>
      </c>
      <c r="G279" s="6">
        <f>SQRT(SUM($F$2:F279)/A279)</f>
        <v>1183.6536169387082</v>
      </c>
      <c r="H279" s="5">
        <f t="shared" si="19"/>
        <v>1</v>
      </c>
      <c r="I279" s="5">
        <f t="shared" si="20"/>
        <v>1</v>
      </c>
    </row>
    <row r="280" spans="1:9">
      <c r="A280">
        <v>279</v>
      </c>
      <c r="B280">
        <v>14</v>
      </c>
      <c r="C280">
        <v>9000</v>
      </c>
      <c r="D280">
        <v>8809</v>
      </c>
      <c r="E280" s="5">
        <f t="shared" si="17"/>
        <v>191</v>
      </c>
      <c r="F280" s="5">
        <f t="shared" si="18"/>
        <v>36481</v>
      </c>
      <c r="G280" s="6">
        <f>SQRT(SUM($F$2:F280)/A280)</f>
        <v>1181.58580186479</v>
      </c>
      <c r="H280" s="5">
        <f t="shared" si="19"/>
        <v>1</v>
      </c>
      <c r="I280" s="5">
        <f t="shared" si="20"/>
        <v>1</v>
      </c>
    </row>
    <row r="281" spans="1:9">
      <c r="A281">
        <v>280</v>
      </c>
      <c r="B281">
        <v>15</v>
      </c>
      <c r="C281">
        <v>9000</v>
      </c>
      <c r="D281">
        <v>8816</v>
      </c>
      <c r="E281" s="5">
        <f t="shared" si="17"/>
        <v>184</v>
      </c>
      <c r="F281" s="5">
        <f t="shared" si="18"/>
        <v>33856</v>
      </c>
      <c r="G281" s="6">
        <f>SQRT(SUM($F$2:F281)/A281)</f>
        <v>1179.5251965455059</v>
      </c>
      <c r="H281" s="5">
        <f t="shared" si="19"/>
        <v>1</v>
      </c>
      <c r="I281" s="5">
        <f t="shared" si="20"/>
        <v>1</v>
      </c>
    </row>
    <row r="282" spans="1:9">
      <c r="A282">
        <v>281</v>
      </c>
      <c r="B282">
        <v>15</v>
      </c>
      <c r="C282">
        <v>9000</v>
      </c>
      <c r="D282">
        <v>9156</v>
      </c>
      <c r="E282" s="5">
        <f t="shared" si="17"/>
        <v>156</v>
      </c>
      <c r="F282" s="5">
        <f t="shared" si="18"/>
        <v>24336</v>
      </c>
      <c r="G282" s="6">
        <f>SQRT(SUM($F$2:F282)/A282)</f>
        <v>1177.4613033966089</v>
      </c>
      <c r="H282" s="5">
        <f t="shared" si="19"/>
        <v>1</v>
      </c>
      <c r="I282" s="5">
        <f t="shared" si="20"/>
        <v>1</v>
      </c>
    </row>
    <row r="283" spans="1:9">
      <c r="A283">
        <v>282</v>
      </c>
      <c r="B283">
        <v>15</v>
      </c>
      <c r="C283">
        <v>9000</v>
      </c>
      <c r="D283">
        <v>8784</v>
      </c>
      <c r="E283" s="5">
        <f t="shared" si="17"/>
        <v>216</v>
      </c>
      <c r="F283" s="5">
        <f t="shared" si="18"/>
        <v>46656</v>
      </c>
      <c r="G283" s="6">
        <f>SQRT(SUM($F$2:F283)/A283)</f>
        <v>1175.4421304886343</v>
      </c>
      <c r="H283" s="5">
        <f t="shared" si="19"/>
        <v>1</v>
      </c>
      <c r="I283" s="5">
        <f t="shared" si="20"/>
        <v>1</v>
      </c>
    </row>
    <row r="284" spans="1:9">
      <c r="A284">
        <v>283</v>
      </c>
      <c r="B284">
        <v>15</v>
      </c>
      <c r="C284">
        <v>9000</v>
      </c>
      <c r="D284">
        <v>8858</v>
      </c>
      <c r="E284" s="5">
        <f t="shared" si="17"/>
        <v>142</v>
      </c>
      <c r="F284" s="5">
        <f t="shared" si="18"/>
        <v>20164</v>
      </c>
      <c r="G284" s="6">
        <f>SQRT(SUM($F$2:F284)/A284)</f>
        <v>1173.3939011899727</v>
      </c>
      <c r="H284" s="5">
        <f t="shared" si="19"/>
        <v>1</v>
      </c>
      <c r="I284" s="5">
        <f t="shared" si="20"/>
        <v>1</v>
      </c>
    </row>
    <row r="285" spans="1:9">
      <c r="A285">
        <v>284</v>
      </c>
      <c r="B285">
        <v>15</v>
      </c>
      <c r="C285">
        <v>9000</v>
      </c>
      <c r="D285">
        <v>8669</v>
      </c>
      <c r="E285" s="5">
        <f t="shared" si="17"/>
        <v>331</v>
      </c>
      <c r="F285" s="5">
        <f t="shared" si="18"/>
        <v>109561</v>
      </c>
      <c r="G285" s="6">
        <f>SQRT(SUM($F$2:F285)/A285)</f>
        <v>1171.4909093562037</v>
      </c>
      <c r="H285" s="5">
        <f t="shared" si="19"/>
        <v>1</v>
      </c>
      <c r="I285" s="5">
        <f t="shared" si="20"/>
        <v>1</v>
      </c>
    </row>
    <row r="286" spans="1:9">
      <c r="A286">
        <v>285</v>
      </c>
      <c r="B286">
        <v>16</v>
      </c>
      <c r="C286">
        <v>9000</v>
      </c>
      <c r="D286">
        <v>9162</v>
      </c>
      <c r="E286" s="5">
        <f t="shared" si="17"/>
        <v>162</v>
      </c>
      <c r="F286" s="5">
        <f t="shared" si="18"/>
        <v>26244</v>
      </c>
      <c r="G286" s="6">
        <f>SQRT(SUM($F$2:F286)/A286)</f>
        <v>1169.4732267436375</v>
      </c>
      <c r="H286" s="5">
        <f t="shared" si="19"/>
        <v>1</v>
      </c>
      <c r="I286" s="5">
        <f t="shared" si="20"/>
        <v>1</v>
      </c>
    </row>
    <row r="287" spans="1:9">
      <c r="A287">
        <v>286</v>
      </c>
      <c r="B287">
        <v>15</v>
      </c>
      <c r="C287">
        <v>9000</v>
      </c>
      <c r="D287">
        <v>8952</v>
      </c>
      <c r="E287" s="5">
        <f t="shared" si="17"/>
        <v>48</v>
      </c>
      <c r="F287" s="5">
        <f t="shared" si="18"/>
        <v>2304</v>
      </c>
      <c r="G287" s="6">
        <f>SQRT(SUM($F$2:F287)/A287)</f>
        <v>1167.4303531134649</v>
      </c>
      <c r="H287" s="5">
        <f t="shared" si="19"/>
        <v>1</v>
      </c>
      <c r="I287" s="5">
        <f t="shared" si="20"/>
        <v>1</v>
      </c>
    </row>
    <row r="288" spans="1:9">
      <c r="A288">
        <v>287</v>
      </c>
      <c r="B288">
        <v>15</v>
      </c>
      <c r="C288">
        <v>9000</v>
      </c>
      <c r="D288">
        <v>9705</v>
      </c>
      <c r="E288" s="5">
        <f t="shared" si="17"/>
        <v>705</v>
      </c>
      <c r="F288" s="5">
        <f t="shared" si="18"/>
        <v>497025</v>
      </c>
      <c r="G288" s="6">
        <f>SQRT(SUM($F$2:F288)/A288)</f>
        <v>1166.1374985417572</v>
      </c>
      <c r="H288" s="5">
        <f t="shared" si="19"/>
        <v>1</v>
      </c>
      <c r="I288" s="5">
        <f t="shared" si="20"/>
        <v>1</v>
      </c>
    </row>
    <row r="289" spans="1:9">
      <c r="A289">
        <v>288</v>
      </c>
      <c r="B289">
        <v>14</v>
      </c>
      <c r="C289">
        <v>9000</v>
      </c>
      <c r="D289">
        <v>8742</v>
      </c>
      <c r="E289" s="5">
        <f t="shared" si="17"/>
        <v>258</v>
      </c>
      <c r="F289" s="5">
        <f t="shared" si="18"/>
        <v>66564</v>
      </c>
      <c r="G289" s="6">
        <f>SQRT(SUM($F$2:F289)/A289)</f>
        <v>1164.2104605816671</v>
      </c>
      <c r="H289" s="5">
        <f t="shared" si="19"/>
        <v>1</v>
      </c>
      <c r="I289" s="5">
        <f t="shared" si="20"/>
        <v>1</v>
      </c>
    </row>
    <row r="290" spans="1:9">
      <c r="A290">
        <v>289</v>
      </c>
      <c r="B290">
        <v>15</v>
      </c>
      <c r="C290">
        <v>9000</v>
      </c>
      <c r="D290">
        <v>8562</v>
      </c>
      <c r="E290" s="5">
        <f t="shared" si="17"/>
        <v>438</v>
      </c>
      <c r="F290" s="5">
        <f t="shared" si="18"/>
        <v>191844</v>
      </c>
      <c r="G290" s="6">
        <f>SQRT(SUM($F$2:F290)/A290)</f>
        <v>1162.4800641963627</v>
      </c>
      <c r="H290" s="5">
        <f t="shared" si="19"/>
        <v>1</v>
      </c>
      <c r="I290" s="5">
        <f t="shared" si="20"/>
        <v>1</v>
      </c>
    </row>
    <row r="291" spans="1:9">
      <c r="A291">
        <v>290</v>
      </c>
      <c r="B291">
        <v>16</v>
      </c>
      <c r="C291">
        <v>9000</v>
      </c>
      <c r="D291">
        <v>9404</v>
      </c>
      <c r="E291" s="5">
        <f t="shared" si="17"/>
        <v>404</v>
      </c>
      <c r="F291" s="5">
        <f t="shared" si="18"/>
        <v>163216</v>
      </c>
      <c r="G291" s="6">
        <f>SQRT(SUM($F$2:F291)/A291)</f>
        <v>1160.7165251361496</v>
      </c>
      <c r="H291" s="5">
        <f t="shared" si="19"/>
        <v>1</v>
      </c>
      <c r="I291" s="5">
        <f t="shared" si="20"/>
        <v>1</v>
      </c>
    </row>
    <row r="292" spans="1:9">
      <c r="A292">
        <v>291</v>
      </c>
      <c r="B292">
        <v>15</v>
      </c>
      <c r="C292">
        <v>9000</v>
      </c>
      <c r="D292">
        <v>9124</v>
      </c>
      <c r="E292" s="5">
        <f t="shared" si="17"/>
        <v>124</v>
      </c>
      <c r="F292" s="5">
        <f t="shared" si="18"/>
        <v>15376</v>
      </c>
      <c r="G292" s="6">
        <f>SQRT(SUM($F$2:F292)/A292)</f>
        <v>1158.7432506652194</v>
      </c>
      <c r="H292" s="5">
        <f t="shared" si="19"/>
        <v>1</v>
      </c>
      <c r="I292" s="5">
        <f t="shared" si="20"/>
        <v>1</v>
      </c>
    </row>
    <row r="293" spans="1:9">
      <c r="A293">
        <v>292</v>
      </c>
      <c r="B293">
        <v>15</v>
      </c>
      <c r="C293">
        <v>9000</v>
      </c>
      <c r="D293">
        <v>9595</v>
      </c>
      <c r="E293" s="5">
        <f t="shared" si="17"/>
        <v>595</v>
      </c>
      <c r="F293" s="5">
        <f t="shared" si="18"/>
        <v>354025</v>
      </c>
      <c r="G293" s="6">
        <f>SQRT(SUM($F$2:F293)/A293)</f>
        <v>1157.2813382623997</v>
      </c>
      <c r="H293" s="5">
        <f t="shared" si="19"/>
        <v>1</v>
      </c>
      <c r="I293" s="5">
        <f t="shared" si="20"/>
        <v>1</v>
      </c>
    </row>
    <row r="294" spans="1:9">
      <c r="A294">
        <v>293</v>
      </c>
      <c r="B294">
        <v>14</v>
      </c>
      <c r="C294">
        <v>9000</v>
      </c>
      <c r="D294">
        <v>9466</v>
      </c>
      <c r="E294" s="5">
        <f t="shared" si="17"/>
        <v>466</v>
      </c>
      <c r="F294" s="5">
        <f t="shared" si="18"/>
        <v>217156</v>
      </c>
      <c r="G294" s="6">
        <f>SQRT(SUM($F$2:F294)/A294)</f>
        <v>1155.6254810965909</v>
      </c>
      <c r="H294" s="5">
        <f t="shared" si="19"/>
        <v>1</v>
      </c>
      <c r="I294" s="5">
        <f t="shared" si="20"/>
        <v>1</v>
      </c>
    </row>
    <row r="295" spans="1:9">
      <c r="A295">
        <v>294</v>
      </c>
      <c r="B295">
        <v>14</v>
      </c>
      <c r="C295">
        <v>9000</v>
      </c>
      <c r="D295">
        <v>8725</v>
      </c>
      <c r="E295" s="5">
        <f t="shared" si="17"/>
        <v>275</v>
      </c>
      <c r="F295" s="5">
        <f t="shared" si="18"/>
        <v>75625</v>
      </c>
      <c r="G295" s="6">
        <f>SQRT(SUM($F$2:F295)/A295)</f>
        <v>1153.7699357436259</v>
      </c>
      <c r="H295" s="5">
        <f t="shared" si="19"/>
        <v>1</v>
      </c>
      <c r="I295" s="5">
        <f t="shared" si="20"/>
        <v>1</v>
      </c>
    </row>
    <row r="296" spans="1:9">
      <c r="A296">
        <v>295</v>
      </c>
      <c r="B296">
        <v>15</v>
      </c>
      <c r="C296">
        <v>9000</v>
      </c>
      <c r="D296">
        <v>8768</v>
      </c>
      <c r="E296" s="5">
        <f t="shared" si="17"/>
        <v>232</v>
      </c>
      <c r="F296" s="5">
        <f t="shared" si="18"/>
        <v>53824</v>
      </c>
      <c r="G296" s="6">
        <f>SQRT(SUM($F$2:F296)/A296)</f>
        <v>1151.8919337848686</v>
      </c>
      <c r="H296" s="5">
        <f t="shared" si="19"/>
        <v>1</v>
      </c>
      <c r="I296" s="5">
        <f t="shared" si="20"/>
        <v>1</v>
      </c>
    </row>
    <row r="297" spans="1:9">
      <c r="A297">
        <v>296</v>
      </c>
      <c r="B297">
        <v>15</v>
      </c>
      <c r="C297">
        <v>9000</v>
      </c>
      <c r="D297">
        <v>8823</v>
      </c>
      <c r="E297" s="5">
        <f t="shared" si="17"/>
        <v>177</v>
      </c>
      <c r="F297" s="5">
        <f t="shared" si="18"/>
        <v>31329</v>
      </c>
      <c r="G297" s="6">
        <f>SQRT(SUM($F$2:F297)/A297)</f>
        <v>1149.9905434393797</v>
      </c>
      <c r="H297" s="5">
        <f t="shared" si="19"/>
        <v>1</v>
      </c>
      <c r="I297" s="5">
        <f t="shared" si="20"/>
        <v>1</v>
      </c>
    </row>
    <row r="298" spans="1:9">
      <c r="A298">
        <v>297</v>
      </c>
      <c r="B298">
        <v>15</v>
      </c>
      <c r="C298">
        <v>9000</v>
      </c>
      <c r="D298">
        <v>9687</v>
      </c>
      <c r="E298" s="5">
        <f t="shared" si="17"/>
        <v>687</v>
      </c>
      <c r="F298" s="5">
        <f t="shared" si="18"/>
        <v>471969</v>
      </c>
      <c r="G298" s="6">
        <f>SQRT(SUM($F$2:F298)/A298)</f>
        <v>1148.7447856210633</v>
      </c>
      <c r="H298" s="5">
        <f t="shared" si="19"/>
        <v>1</v>
      </c>
      <c r="I298" s="5">
        <f t="shared" si="20"/>
        <v>1</v>
      </c>
    </row>
    <row r="299" spans="1:9">
      <c r="A299">
        <v>298</v>
      </c>
      <c r="B299">
        <v>14</v>
      </c>
      <c r="C299">
        <v>9000</v>
      </c>
      <c r="D299">
        <v>8707</v>
      </c>
      <c r="E299" s="5">
        <f t="shared" si="17"/>
        <v>293</v>
      </c>
      <c r="F299" s="5">
        <f t="shared" si="18"/>
        <v>85849</v>
      </c>
      <c r="G299" s="6">
        <f>SQRT(SUM($F$2:F299)/A299)</f>
        <v>1146.9413365687894</v>
      </c>
      <c r="H299" s="5">
        <f t="shared" si="19"/>
        <v>1</v>
      </c>
      <c r="I299" s="5">
        <f t="shared" si="20"/>
        <v>1</v>
      </c>
    </row>
    <row r="300" spans="1:9">
      <c r="A300">
        <v>299</v>
      </c>
      <c r="B300">
        <v>15</v>
      </c>
      <c r="C300">
        <v>9000</v>
      </c>
      <c r="D300">
        <v>9224</v>
      </c>
      <c r="E300" s="5">
        <f t="shared" si="17"/>
        <v>224</v>
      </c>
      <c r="F300" s="5">
        <f t="shared" si="18"/>
        <v>50176</v>
      </c>
      <c r="G300" s="6">
        <f>SQRT(SUM($F$2:F300)/A300)</f>
        <v>1145.0950450540593</v>
      </c>
      <c r="H300" s="5">
        <f t="shared" si="19"/>
        <v>1</v>
      </c>
      <c r="I300" s="5">
        <f t="shared" si="20"/>
        <v>1</v>
      </c>
    </row>
    <row r="301" spans="1:9">
      <c r="A301">
        <v>300</v>
      </c>
      <c r="B301">
        <v>15</v>
      </c>
      <c r="C301">
        <v>9000</v>
      </c>
      <c r="D301">
        <v>9723</v>
      </c>
      <c r="E301" s="5">
        <f t="shared" si="17"/>
        <v>723</v>
      </c>
      <c r="F301" s="5">
        <f t="shared" si="18"/>
        <v>522729</v>
      </c>
      <c r="G301" s="6">
        <f>SQRT(SUM($F$2:F301)/A301)</f>
        <v>1143.9468009192269</v>
      </c>
      <c r="H301" s="5">
        <f t="shared" si="19"/>
        <v>1</v>
      </c>
      <c r="I301" s="5">
        <f t="shared" si="20"/>
        <v>1</v>
      </c>
    </row>
    <row r="302" spans="1:9">
      <c r="A302">
        <v>301</v>
      </c>
      <c r="B302">
        <v>14</v>
      </c>
      <c r="C302">
        <v>5000</v>
      </c>
      <c r="D302">
        <v>9064</v>
      </c>
      <c r="E302" s="5">
        <f t="shared" si="17"/>
        <v>4064</v>
      </c>
      <c r="F302" s="5">
        <f t="shared" si="18"/>
        <v>16516096</v>
      </c>
      <c r="G302" s="6">
        <f>SQRT(SUM($F$2:F302)/A302)</f>
        <v>1165.8205172346709</v>
      </c>
      <c r="H302" s="5">
        <f t="shared" si="19"/>
        <v>0</v>
      </c>
      <c r="I302" s="5">
        <f t="shared" si="20"/>
        <v>0</v>
      </c>
    </row>
    <row r="303" spans="1:9">
      <c r="A303">
        <v>302</v>
      </c>
      <c r="B303">
        <v>9</v>
      </c>
      <c r="C303">
        <v>5000</v>
      </c>
      <c r="D303">
        <v>5961</v>
      </c>
      <c r="E303" s="5">
        <f t="shared" si="17"/>
        <v>961</v>
      </c>
      <c r="F303" s="5">
        <f t="shared" si="18"/>
        <v>923521</v>
      </c>
      <c r="G303" s="6">
        <f>SQRT(SUM($F$2:F303)/A303)</f>
        <v>1165.2017163285932</v>
      </c>
      <c r="H303" s="5">
        <f t="shared" si="19"/>
        <v>1</v>
      </c>
      <c r="I303" s="5">
        <f t="shared" si="20"/>
        <v>0</v>
      </c>
    </row>
    <row r="304" spans="1:9">
      <c r="A304">
        <v>303</v>
      </c>
      <c r="B304">
        <v>12</v>
      </c>
      <c r="C304">
        <v>5000</v>
      </c>
      <c r="D304">
        <v>8020</v>
      </c>
      <c r="E304" s="5">
        <f t="shared" si="17"/>
        <v>3020</v>
      </c>
      <c r="F304" s="5">
        <f t="shared" si="18"/>
        <v>9120400</v>
      </c>
      <c r="G304" s="6">
        <f>SQRT(SUM($F$2:F304)/A304)</f>
        <v>1176.1439231883169</v>
      </c>
      <c r="H304" s="5">
        <f t="shared" si="19"/>
        <v>0</v>
      </c>
      <c r="I304" s="5">
        <f t="shared" si="20"/>
        <v>0</v>
      </c>
    </row>
    <row r="305" spans="1:9">
      <c r="A305">
        <v>304</v>
      </c>
      <c r="B305">
        <v>9</v>
      </c>
      <c r="C305">
        <v>5000</v>
      </c>
      <c r="D305">
        <v>5716</v>
      </c>
      <c r="E305" s="5">
        <f t="shared" si="17"/>
        <v>716</v>
      </c>
      <c r="F305" s="5">
        <f t="shared" si="18"/>
        <v>512656</v>
      </c>
      <c r="G305" s="6">
        <f>SQRT(SUM($F$2:F305)/A305)</f>
        <v>1174.9257507335697</v>
      </c>
      <c r="H305" s="5">
        <f t="shared" si="19"/>
        <v>1</v>
      </c>
      <c r="I305" s="5">
        <f t="shared" si="20"/>
        <v>0</v>
      </c>
    </row>
    <row r="306" spans="1:9">
      <c r="A306">
        <v>305</v>
      </c>
      <c r="B306">
        <v>12</v>
      </c>
      <c r="C306">
        <v>5000</v>
      </c>
      <c r="D306">
        <v>7647</v>
      </c>
      <c r="E306" s="5">
        <f t="shared" si="17"/>
        <v>2647</v>
      </c>
      <c r="F306" s="5">
        <f t="shared" si="18"/>
        <v>7006609</v>
      </c>
      <c r="G306" s="6">
        <f>SQRT(SUM($F$2:F306)/A306)</f>
        <v>1182.7497372578894</v>
      </c>
      <c r="H306" s="5">
        <f t="shared" si="19"/>
        <v>0</v>
      </c>
      <c r="I306" s="5">
        <f t="shared" si="20"/>
        <v>0</v>
      </c>
    </row>
    <row r="307" spans="1:9">
      <c r="A307">
        <v>306</v>
      </c>
      <c r="B307">
        <v>9</v>
      </c>
      <c r="C307">
        <v>5000</v>
      </c>
      <c r="D307">
        <v>6074</v>
      </c>
      <c r="E307" s="5">
        <f t="shared" si="17"/>
        <v>1074</v>
      </c>
      <c r="F307" s="5">
        <f t="shared" si="18"/>
        <v>1153476</v>
      </c>
      <c r="G307" s="6">
        <f>SQRT(SUM($F$2:F307)/A307)</f>
        <v>1182.4106358472532</v>
      </c>
      <c r="H307" s="5">
        <f t="shared" si="19"/>
        <v>0</v>
      </c>
      <c r="I307" s="5">
        <f t="shared" si="20"/>
        <v>0</v>
      </c>
    </row>
    <row r="308" spans="1:9">
      <c r="A308">
        <v>307</v>
      </c>
      <c r="B308">
        <v>10</v>
      </c>
      <c r="C308">
        <v>5000</v>
      </c>
      <c r="D308">
        <v>6484</v>
      </c>
      <c r="E308" s="5">
        <f t="shared" si="17"/>
        <v>1484</v>
      </c>
      <c r="F308" s="5">
        <f t="shared" si="18"/>
        <v>2202256</v>
      </c>
      <c r="G308" s="6">
        <f>SQRT(SUM($F$2:F308)/A308)</f>
        <v>1183.5177772176589</v>
      </c>
      <c r="H308" s="5">
        <f t="shared" si="19"/>
        <v>0</v>
      </c>
      <c r="I308" s="5">
        <f t="shared" si="20"/>
        <v>0</v>
      </c>
    </row>
    <row r="309" spans="1:9">
      <c r="A309">
        <v>308</v>
      </c>
      <c r="B309">
        <v>9</v>
      </c>
      <c r="C309">
        <v>5000</v>
      </c>
      <c r="D309">
        <v>5802</v>
      </c>
      <c r="E309" s="5">
        <f t="shared" si="17"/>
        <v>802</v>
      </c>
      <c r="F309" s="5">
        <f t="shared" si="18"/>
        <v>643204</v>
      </c>
      <c r="G309" s="6">
        <f>SQRT(SUM($F$2:F309)/A309)</f>
        <v>1182.4782788153573</v>
      </c>
      <c r="H309" s="5">
        <f t="shared" si="19"/>
        <v>1</v>
      </c>
      <c r="I309" s="5">
        <f t="shared" si="20"/>
        <v>0</v>
      </c>
    </row>
    <row r="310" spans="1:9">
      <c r="A310">
        <v>309</v>
      </c>
      <c r="B310">
        <v>10</v>
      </c>
      <c r="C310">
        <v>5000</v>
      </c>
      <c r="D310">
        <v>7110</v>
      </c>
      <c r="E310" s="5">
        <f t="shared" si="17"/>
        <v>2110</v>
      </c>
      <c r="F310" s="5">
        <f t="shared" si="18"/>
        <v>4452100</v>
      </c>
      <c r="G310" s="6">
        <f>SQRT(SUM($F$2:F310)/A310)</f>
        <v>1186.6498530680428</v>
      </c>
      <c r="H310" s="5">
        <f t="shared" si="19"/>
        <v>0</v>
      </c>
      <c r="I310" s="5">
        <f t="shared" si="20"/>
        <v>0</v>
      </c>
    </row>
    <row r="311" spans="1:9">
      <c r="A311">
        <v>310</v>
      </c>
      <c r="B311">
        <v>8</v>
      </c>
      <c r="C311">
        <v>5000</v>
      </c>
      <c r="D311">
        <v>5498</v>
      </c>
      <c r="E311" s="5">
        <f t="shared" si="17"/>
        <v>498</v>
      </c>
      <c r="F311" s="5">
        <f t="shared" si="18"/>
        <v>248004</v>
      </c>
      <c r="G311" s="6">
        <f>SQRT(SUM($F$2:F311)/A311)</f>
        <v>1185.0719414666828</v>
      </c>
      <c r="H311" s="5">
        <f t="shared" si="19"/>
        <v>1</v>
      </c>
      <c r="I311" s="5">
        <f t="shared" si="20"/>
        <v>1</v>
      </c>
    </row>
    <row r="312" spans="1:9">
      <c r="A312">
        <v>311</v>
      </c>
      <c r="B312">
        <v>9</v>
      </c>
      <c r="C312">
        <v>5000</v>
      </c>
      <c r="D312">
        <v>5756</v>
      </c>
      <c r="E312" s="5">
        <f t="shared" si="17"/>
        <v>756</v>
      </c>
      <c r="F312" s="5">
        <f t="shared" si="18"/>
        <v>571536</v>
      </c>
      <c r="G312" s="6">
        <f>SQRT(SUM($F$2:F312)/A312)</f>
        <v>1183.9415110585983</v>
      </c>
      <c r="H312" s="5">
        <f t="shared" si="19"/>
        <v>1</v>
      </c>
      <c r="I312" s="5">
        <f t="shared" si="20"/>
        <v>0</v>
      </c>
    </row>
    <row r="313" spans="1:9">
      <c r="A313">
        <v>312</v>
      </c>
      <c r="B313">
        <v>9</v>
      </c>
      <c r="C313">
        <v>5000</v>
      </c>
      <c r="D313">
        <v>5828</v>
      </c>
      <c r="E313" s="5">
        <f t="shared" si="17"/>
        <v>828</v>
      </c>
      <c r="F313" s="5">
        <f t="shared" si="18"/>
        <v>685584</v>
      </c>
      <c r="G313" s="6">
        <f>SQRT(SUM($F$2:F313)/A313)</f>
        <v>1182.9717671707458</v>
      </c>
      <c r="H313" s="5">
        <f t="shared" si="19"/>
        <v>1</v>
      </c>
      <c r="I313" s="5">
        <f t="shared" si="20"/>
        <v>0</v>
      </c>
    </row>
    <row r="314" spans="1:9">
      <c r="A314">
        <v>313</v>
      </c>
      <c r="B314">
        <v>9</v>
      </c>
      <c r="C314">
        <v>5000</v>
      </c>
      <c r="D314">
        <v>5399</v>
      </c>
      <c r="E314" s="5">
        <f t="shared" si="17"/>
        <v>399</v>
      </c>
      <c r="F314" s="5">
        <f t="shared" si="18"/>
        <v>159201</v>
      </c>
      <c r="G314" s="6">
        <f>SQRT(SUM($F$2:F314)/A314)</f>
        <v>1181.295828260565</v>
      </c>
      <c r="H314" s="5">
        <f t="shared" si="19"/>
        <v>1</v>
      </c>
      <c r="I314" s="5">
        <f t="shared" si="20"/>
        <v>1</v>
      </c>
    </row>
    <row r="315" spans="1:9">
      <c r="A315">
        <v>314</v>
      </c>
      <c r="B315">
        <v>9</v>
      </c>
      <c r="C315">
        <v>5000</v>
      </c>
      <c r="D315">
        <v>4895</v>
      </c>
      <c r="E315" s="5">
        <f t="shared" si="17"/>
        <v>105</v>
      </c>
      <c r="F315" s="5">
        <f t="shared" si="18"/>
        <v>11025</v>
      </c>
      <c r="G315" s="6">
        <f>SQRT(SUM($F$2:F315)/A315)</f>
        <v>1179.4281689583661</v>
      </c>
      <c r="H315" s="5">
        <f t="shared" si="19"/>
        <v>1</v>
      </c>
      <c r="I315" s="5">
        <f t="shared" si="20"/>
        <v>1</v>
      </c>
    </row>
    <row r="316" spans="1:9">
      <c r="A316">
        <v>315</v>
      </c>
      <c r="B316">
        <v>10</v>
      </c>
      <c r="C316">
        <v>5000</v>
      </c>
      <c r="D316">
        <v>4974</v>
      </c>
      <c r="E316" s="5">
        <f t="shared" si="17"/>
        <v>26</v>
      </c>
      <c r="F316" s="5">
        <f t="shared" si="18"/>
        <v>676</v>
      </c>
      <c r="G316" s="6">
        <f>SQRT(SUM($F$2:F316)/A316)</f>
        <v>1177.5554838139549</v>
      </c>
      <c r="H316" s="5">
        <f t="shared" si="19"/>
        <v>1</v>
      </c>
      <c r="I316" s="5">
        <f t="shared" si="20"/>
        <v>1</v>
      </c>
    </row>
    <row r="317" spans="1:9">
      <c r="A317">
        <v>316</v>
      </c>
      <c r="B317">
        <v>9</v>
      </c>
      <c r="C317">
        <v>5000</v>
      </c>
      <c r="D317">
        <v>1507</v>
      </c>
      <c r="E317" s="5">
        <f t="shared" si="17"/>
        <v>3493</v>
      </c>
      <c r="F317" s="5">
        <f t="shared" si="18"/>
        <v>12201049</v>
      </c>
      <c r="G317" s="6">
        <f>SQRT(SUM($F$2:F317)/A317)</f>
        <v>1191.9982132982957</v>
      </c>
      <c r="H317" s="5">
        <f t="shared" si="19"/>
        <v>0</v>
      </c>
      <c r="I317" s="5">
        <f t="shared" si="20"/>
        <v>0</v>
      </c>
    </row>
    <row r="318" spans="1:9">
      <c r="A318">
        <v>317</v>
      </c>
      <c r="B318">
        <v>14</v>
      </c>
      <c r="C318">
        <v>5000</v>
      </c>
      <c r="D318">
        <v>4309</v>
      </c>
      <c r="E318" s="5">
        <f t="shared" si="17"/>
        <v>691</v>
      </c>
      <c r="F318" s="5">
        <f t="shared" si="18"/>
        <v>477481</v>
      </c>
      <c r="G318" s="6">
        <f>SQRT(SUM($F$2:F318)/A318)</f>
        <v>1190.7492525021314</v>
      </c>
      <c r="H318" s="5">
        <f t="shared" si="19"/>
        <v>1</v>
      </c>
      <c r="I318" s="5">
        <f t="shared" si="20"/>
        <v>0</v>
      </c>
    </row>
    <row r="319" spans="1:9">
      <c r="A319">
        <v>318</v>
      </c>
      <c r="B319">
        <v>11</v>
      </c>
      <c r="C319">
        <v>5000</v>
      </c>
      <c r="D319">
        <v>5963</v>
      </c>
      <c r="E319" s="5">
        <f t="shared" si="17"/>
        <v>963</v>
      </c>
      <c r="F319" s="5">
        <f t="shared" si="18"/>
        <v>927369</v>
      </c>
      <c r="G319" s="6">
        <f>SQRT(SUM($F$2:F319)/A319)</f>
        <v>1190.1013751016626</v>
      </c>
      <c r="H319" s="5">
        <f t="shared" si="19"/>
        <v>1</v>
      </c>
      <c r="I319" s="5">
        <f t="shared" si="20"/>
        <v>0</v>
      </c>
    </row>
    <row r="320" spans="1:9">
      <c r="A320">
        <v>319</v>
      </c>
      <c r="B320">
        <v>9</v>
      </c>
      <c r="C320">
        <v>5000</v>
      </c>
      <c r="D320">
        <v>5220</v>
      </c>
      <c r="E320" s="5">
        <f t="shared" si="17"/>
        <v>220</v>
      </c>
      <c r="F320" s="5">
        <f t="shared" si="18"/>
        <v>48400</v>
      </c>
      <c r="G320" s="6">
        <f>SQRT(SUM($F$2:F320)/A320)</f>
        <v>1188.2983909063923</v>
      </c>
      <c r="H320" s="5">
        <f t="shared" si="19"/>
        <v>1</v>
      </c>
      <c r="I320" s="5">
        <f t="shared" si="20"/>
        <v>1</v>
      </c>
    </row>
    <row r="321" spans="1:9">
      <c r="A321">
        <v>320</v>
      </c>
      <c r="B321">
        <v>10</v>
      </c>
      <c r="C321">
        <v>5000</v>
      </c>
      <c r="D321">
        <v>5963</v>
      </c>
      <c r="E321" s="5">
        <f t="shared" si="17"/>
        <v>963</v>
      </c>
      <c r="F321" s="5">
        <f t="shared" si="18"/>
        <v>927369</v>
      </c>
      <c r="G321" s="6">
        <f>SQRT(SUM($F$2:F321)/A321)</f>
        <v>1187.660906203871</v>
      </c>
      <c r="H321" s="5">
        <f t="shared" si="19"/>
        <v>1</v>
      </c>
      <c r="I321" s="5">
        <f t="shared" si="20"/>
        <v>0</v>
      </c>
    </row>
    <row r="322" spans="1:9">
      <c r="A322">
        <v>321</v>
      </c>
      <c r="B322">
        <v>9</v>
      </c>
      <c r="C322">
        <v>5000</v>
      </c>
      <c r="D322">
        <v>5608</v>
      </c>
      <c r="E322" s="5">
        <f t="shared" si="17"/>
        <v>608</v>
      </c>
      <c r="F322" s="5">
        <f t="shared" si="18"/>
        <v>369664</v>
      </c>
      <c r="G322" s="6">
        <f>SQRT(SUM($F$2:F322)/A322)</f>
        <v>1186.2950006893043</v>
      </c>
      <c r="H322" s="5">
        <f t="shared" si="19"/>
        <v>1</v>
      </c>
      <c r="I322" s="5">
        <f t="shared" si="20"/>
        <v>0</v>
      </c>
    </row>
    <row r="323" spans="1:9">
      <c r="A323">
        <v>322</v>
      </c>
      <c r="B323">
        <v>9</v>
      </c>
      <c r="C323">
        <v>5000</v>
      </c>
      <c r="D323">
        <v>5722</v>
      </c>
      <c r="E323" s="5">
        <f t="shared" ref="E323:E386" si="21">ABS(C323-D323)</f>
        <v>722</v>
      </c>
      <c r="F323" s="5">
        <f t="shared" ref="F323:F386" si="22">POWER(E323,2)</f>
        <v>521284</v>
      </c>
      <c r="G323" s="6">
        <f>SQRT(SUM($F$2:F323)/A323)</f>
        <v>1185.1346924001655</v>
      </c>
      <c r="H323" s="5">
        <f t="shared" ref="H323:H386" si="23">IF(ABS(E323)/C323&gt;0.2,0,1)</f>
        <v>1</v>
      </c>
      <c r="I323" s="5">
        <f t="shared" ref="I323:I386" si="24">IF(ABS(E323)/C323&gt;0.1,0,1)</f>
        <v>0</v>
      </c>
    </row>
    <row r="324" spans="1:9">
      <c r="A324">
        <v>323</v>
      </c>
      <c r="B324">
        <v>9</v>
      </c>
      <c r="C324">
        <v>5000</v>
      </c>
      <c r="D324">
        <v>5312</v>
      </c>
      <c r="E324" s="5">
        <f t="shared" si="21"/>
        <v>312</v>
      </c>
      <c r="F324" s="5">
        <f t="shared" si="22"/>
        <v>97344</v>
      </c>
      <c r="G324" s="6">
        <f>SQRT(SUM($F$2:F324)/A324)</f>
        <v>1183.4260346834371</v>
      </c>
      <c r="H324" s="5">
        <f t="shared" si="23"/>
        <v>1</v>
      </c>
      <c r="I324" s="5">
        <f t="shared" si="24"/>
        <v>1</v>
      </c>
    </row>
    <row r="325" spans="1:9">
      <c r="A325">
        <v>324</v>
      </c>
      <c r="B325">
        <v>9</v>
      </c>
      <c r="C325">
        <v>5000</v>
      </c>
      <c r="D325">
        <v>5352</v>
      </c>
      <c r="E325" s="5">
        <f t="shared" si="21"/>
        <v>352</v>
      </c>
      <c r="F325" s="5">
        <f t="shared" si="22"/>
        <v>123904</v>
      </c>
      <c r="G325" s="6">
        <f>SQRT(SUM($F$2:F325)/A325)</f>
        <v>1181.7601605911809</v>
      </c>
      <c r="H325" s="5">
        <f t="shared" si="23"/>
        <v>1</v>
      </c>
      <c r="I325" s="5">
        <f t="shared" si="24"/>
        <v>1</v>
      </c>
    </row>
    <row r="326" spans="1:9">
      <c r="A326">
        <v>325</v>
      </c>
      <c r="B326">
        <v>9</v>
      </c>
      <c r="C326">
        <v>5000</v>
      </c>
      <c r="D326">
        <v>5853</v>
      </c>
      <c r="E326" s="5">
        <f t="shared" si="21"/>
        <v>853</v>
      </c>
      <c r="F326" s="5">
        <f t="shared" si="22"/>
        <v>727609</v>
      </c>
      <c r="G326" s="6">
        <f>SQRT(SUM($F$2:F326)/A326)</f>
        <v>1180.888976739395</v>
      </c>
      <c r="H326" s="5">
        <f t="shared" si="23"/>
        <v>1</v>
      </c>
      <c r="I326" s="5">
        <f t="shared" si="24"/>
        <v>0</v>
      </c>
    </row>
    <row r="327" spans="1:9">
      <c r="A327">
        <v>326</v>
      </c>
      <c r="B327">
        <v>8</v>
      </c>
      <c r="C327">
        <v>5000</v>
      </c>
      <c r="D327">
        <v>5095</v>
      </c>
      <c r="E327" s="5">
        <f t="shared" si="21"/>
        <v>95</v>
      </c>
      <c r="F327" s="5">
        <f t="shared" si="22"/>
        <v>9025</v>
      </c>
      <c r="G327" s="6">
        <f>SQRT(SUM($F$2:F327)/A327)</f>
        <v>1179.0881459111617</v>
      </c>
      <c r="H327" s="5">
        <f t="shared" si="23"/>
        <v>1</v>
      </c>
      <c r="I327" s="5">
        <f t="shared" si="24"/>
        <v>1</v>
      </c>
    </row>
    <row r="328" spans="1:9">
      <c r="A328">
        <v>327</v>
      </c>
      <c r="B328">
        <v>9</v>
      </c>
      <c r="C328">
        <v>5000</v>
      </c>
      <c r="D328">
        <v>5522</v>
      </c>
      <c r="E328" s="5">
        <f t="shared" si="21"/>
        <v>522</v>
      </c>
      <c r="F328" s="5">
        <f t="shared" si="22"/>
        <v>272484</v>
      </c>
      <c r="G328" s="6">
        <f>SQRT(SUM($F$2:F328)/A328)</f>
        <v>1177.6377264162775</v>
      </c>
      <c r="H328" s="5">
        <f t="shared" si="23"/>
        <v>1</v>
      </c>
      <c r="I328" s="5">
        <f t="shared" si="24"/>
        <v>0</v>
      </c>
    </row>
    <row r="329" spans="1:9">
      <c r="A329">
        <v>328</v>
      </c>
      <c r="B329">
        <v>9</v>
      </c>
      <c r="C329">
        <v>5000</v>
      </c>
      <c r="D329">
        <v>5612</v>
      </c>
      <c r="E329" s="5">
        <f t="shared" si="21"/>
        <v>612</v>
      </c>
      <c r="F329" s="5">
        <f t="shared" si="22"/>
        <v>374544</v>
      </c>
      <c r="G329" s="6">
        <f>SQRT(SUM($F$2:F329)/A329)</f>
        <v>1176.3266446867553</v>
      </c>
      <c r="H329" s="5">
        <f t="shared" si="23"/>
        <v>1</v>
      </c>
      <c r="I329" s="5">
        <f t="shared" si="24"/>
        <v>0</v>
      </c>
    </row>
    <row r="330" spans="1:9">
      <c r="A330">
        <v>329</v>
      </c>
      <c r="B330">
        <v>8</v>
      </c>
      <c r="C330">
        <v>5000</v>
      </c>
      <c r="D330">
        <v>4884</v>
      </c>
      <c r="E330" s="5">
        <f t="shared" si="21"/>
        <v>116</v>
      </c>
      <c r="F330" s="5">
        <f t="shared" si="22"/>
        <v>13456</v>
      </c>
      <c r="G330" s="6">
        <f>SQRT(SUM($F$2:F330)/A330)</f>
        <v>1174.5549645468454</v>
      </c>
      <c r="H330" s="5">
        <f t="shared" si="23"/>
        <v>1</v>
      </c>
      <c r="I330" s="5">
        <f t="shared" si="24"/>
        <v>1</v>
      </c>
    </row>
    <row r="331" spans="1:9">
      <c r="A331">
        <v>330</v>
      </c>
      <c r="B331">
        <v>9</v>
      </c>
      <c r="C331">
        <v>5000</v>
      </c>
      <c r="D331">
        <v>5677</v>
      </c>
      <c r="E331" s="5">
        <f t="shared" si="21"/>
        <v>677</v>
      </c>
      <c r="F331" s="5">
        <f t="shared" si="22"/>
        <v>458329</v>
      </c>
      <c r="G331" s="6">
        <f>SQRT(SUM($F$2:F331)/A331)</f>
        <v>1173.3659688987477</v>
      </c>
      <c r="H331" s="5">
        <f t="shared" si="23"/>
        <v>1</v>
      </c>
      <c r="I331" s="5">
        <f t="shared" si="24"/>
        <v>0</v>
      </c>
    </row>
    <row r="332" spans="1:9">
      <c r="A332">
        <v>331</v>
      </c>
      <c r="B332">
        <v>8</v>
      </c>
      <c r="C332">
        <v>5000</v>
      </c>
      <c r="D332">
        <v>5559</v>
      </c>
      <c r="E332" s="5">
        <f t="shared" si="21"/>
        <v>559</v>
      </c>
      <c r="F332" s="5">
        <f t="shared" si="22"/>
        <v>312481</v>
      </c>
      <c r="G332" s="6">
        <f>SQRT(SUM($F$2:F332)/A332)</f>
        <v>1171.9949952462148</v>
      </c>
      <c r="H332" s="5">
        <f t="shared" si="23"/>
        <v>1</v>
      </c>
      <c r="I332" s="5">
        <f t="shared" si="24"/>
        <v>0</v>
      </c>
    </row>
    <row r="333" spans="1:9">
      <c r="A333">
        <v>332</v>
      </c>
      <c r="B333">
        <v>8</v>
      </c>
      <c r="C333">
        <v>5000</v>
      </c>
      <c r="D333">
        <v>6075</v>
      </c>
      <c r="E333" s="5">
        <f t="shared" si="21"/>
        <v>1075</v>
      </c>
      <c r="F333" s="5">
        <f t="shared" si="22"/>
        <v>1155625</v>
      </c>
      <c r="G333" s="6">
        <f>SQRT(SUM($F$2:F333)/A333)</f>
        <v>1171.714897577401</v>
      </c>
      <c r="H333" s="5">
        <f t="shared" si="23"/>
        <v>0</v>
      </c>
      <c r="I333" s="5">
        <f t="shared" si="24"/>
        <v>0</v>
      </c>
    </row>
    <row r="334" spans="1:9">
      <c r="A334">
        <v>333</v>
      </c>
      <c r="B334">
        <v>7</v>
      </c>
      <c r="C334">
        <v>5000</v>
      </c>
      <c r="D334">
        <v>5384</v>
      </c>
      <c r="E334" s="5">
        <f t="shared" si="21"/>
        <v>384</v>
      </c>
      <c r="F334" s="5">
        <f t="shared" si="22"/>
        <v>147456</v>
      </c>
      <c r="G334" s="6">
        <f>SQRT(SUM($F$2:F334)/A334)</f>
        <v>1170.1434705803138</v>
      </c>
      <c r="H334" s="5">
        <f t="shared" si="23"/>
        <v>1</v>
      </c>
      <c r="I334" s="5">
        <f t="shared" si="24"/>
        <v>1</v>
      </c>
    </row>
    <row r="335" spans="1:9">
      <c r="A335">
        <v>334</v>
      </c>
      <c r="B335">
        <v>8</v>
      </c>
      <c r="C335">
        <v>5000</v>
      </c>
      <c r="D335">
        <v>5715</v>
      </c>
      <c r="E335" s="5">
        <f t="shared" si="21"/>
        <v>715</v>
      </c>
      <c r="F335" s="5">
        <f t="shared" si="22"/>
        <v>511225</v>
      </c>
      <c r="G335" s="6">
        <f>SQRT(SUM($F$2:F335)/A335)</f>
        <v>1169.0452717090939</v>
      </c>
      <c r="H335" s="5">
        <f t="shared" si="23"/>
        <v>1</v>
      </c>
      <c r="I335" s="5">
        <f t="shared" si="24"/>
        <v>0</v>
      </c>
    </row>
    <row r="336" spans="1:9">
      <c r="A336">
        <v>335</v>
      </c>
      <c r="B336">
        <v>7</v>
      </c>
      <c r="C336">
        <v>5000</v>
      </c>
      <c r="D336">
        <v>4463</v>
      </c>
      <c r="E336" s="5">
        <f t="shared" si="21"/>
        <v>537</v>
      </c>
      <c r="F336" s="5">
        <f t="shared" si="22"/>
        <v>288369</v>
      </c>
      <c r="G336" s="6">
        <f>SQRT(SUM($F$2:F336)/A336)</f>
        <v>1167.6677814178115</v>
      </c>
      <c r="H336" s="5">
        <f t="shared" si="23"/>
        <v>1</v>
      </c>
      <c r="I336" s="5">
        <f t="shared" si="24"/>
        <v>0</v>
      </c>
    </row>
    <row r="337" spans="1:9">
      <c r="A337">
        <v>336</v>
      </c>
      <c r="B337">
        <v>9</v>
      </c>
      <c r="C337">
        <v>5000</v>
      </c>
      <c r="D337">
        <v>6597</v>
      </c>
      <c r="E337" s="5">
        <f t="shared" si="21"/>
        <v>1597</v>
      </c>
      <c r="F337" s="5">
        <f t="shared" si="22"/>
        <v>2550409</v>
      </c>
      <c r="G337" s="6">
        <f>SQRT(SUM($F$2:F337)/A337)</f>
        <v>1169.1794856406168</v>
      </c>
      <c r="H337" s="5">
        <f t="shared" si="23"/>
        <v>0</v>
      </c>
      <c r="I337" s="5">
        <f t="shared" si="24"/>
        <v>0</v>
      </c>
    </row>
    <row r="338" spans="1:9">
      <c r="A338">
        <v>337</v>
      </c>
      <c r="B338">
        <v>6</v>
      </c>
      <c r="C338">
        <v>5000</v>
      </c>
      <c r="D338">
        <v>4836</v>
      </c>
      <c r="E338" s="5">
        <f t="shared" si="21"/>
        <v>164</v>
      </c>
      <c r="F338" s="5">
        <f t="shared" si="22"/>
        <v>26896</v>
      </c>
      <c r="G338" s="6">
        <f>SQRT(SUM($F$2:F338)/A338)</f>
        <v>1167.4776902665119</v>
      </c>
      <c r="H338" s="5">
        <f t="shared" si="23"/>
        <v>1</v>
      </c>
      <c r="I338" s="5">
        <f t="shared" si="24"/>
        <v>1</v>
      </c>
    </row>
    <row r="339" spans="1:9">
      <c r="A339">
        <v>338</v>
      </c>
      <c r="B339">
        <v>8</v>
      </c>
      <c r="C339">
        <v>5000</v>
      </c>
      <c r="D339">
        <v>6039</v>
      </c>
      <c r="E339" s="5">
        <f t="shared" si="21"/>
        <v>1039</v>
      </c>
      <c r="F339" s="5">
        <f t="shared" si="22"/>
        <v>1079521</v>
      </c>
      <c r="G339" s="6">
        <f>SQRT(SUM($F$2:F339)/A339)</f>
        <v>1167.1184385931626</v>
      </c>
      <c r="H339" s="5">
        <f t="shared" si="23"/>
        <v>0</v>
      </c>
      <c r="I339" s="5">
        <f t="shared" si="24"/>
        <v>0</v>
      </c>
    </row>
    <row r="340" spans="1:9">
      <c r="A340">
        <v>339</v>
      </c>
      <c r="B340">
        <v>6</v>
      </c>
      <c r="C340">
        <v>5000</v>
      </c>
      <c r="D340">
        <v>4882</v>
      </c>
      <c r="E340" s="5">
        <f t="shared" si="21"/>
        <v>118</v>
      </c>
      <c r="F340" s="5">
        <f t="shared" si="22"/>
        <v>13924</v>
      </c>
      <c r="G340" s="6">
        <f>SQRT(SUM($F$2:F340)/A340)</f>
        <v>1165.4133757097461</v>
      </c>
      <c r="H340" s="5">
        <f t="shared" si="23"/>
        <v>1</v>
      </c>
      <c r="I340" s="5">
        <f t="shared" si="24"/>
        <v>1</v>
      </c>
    </row>
    <row r="341" spans="1:9">
      <c r="A341">
        <v>340</v>
      </c>
      <c r="B341">
        <v>8</v>
      </c>
      <c r="C341">
        <v>5000</v>
      </c>
      <c r="D341">
        <v>5731</v>
      </c>
      <c r="E341" s="5">
        <f t="shared" si="21"/>
        <v>731</v>
      </c>
      <c r="F341" s="5">
        <f t="shared" si="22"/>
        <v>534361</v>
      </c>
      <c r="G341" s="6">
        <f>SQRT(SUM($F$2:F341)/A341)</f>
        <v>1164.3733570920808</v>
      </c>
      <c r="H341" s="5">
        <f t="shared" si="23"/>
        <v>1</v>
      </c>
      <c r="I341" s="5">
        <f t="shared" si="24"/>
        <v>0</v>
      </c>
    </row>
    <row r="342" spans="1:9">
      <c r="A342">
        <v>341</v>
      </c>
      <c r="B342">
        <v>7</v>
      </c>
      <c r="C342">
        <v>5000</v>
      </c>
      <c r="D342">
        <v>4390</v>
      </c>
      <c r="E342" s="5">
        <f t="shared" si="21"/>
        <v>610</v>
      </c>
      <c r="F342" s="5">
        <f t="shared" si="22"/>
        <v>372100</v>
      </c>
      <c r="G342" s="6">
        <f>SQRT(SUM($F$2:F342)/A342)</f>
        <v>1163.133984409857</v>
      </c>
      <c r="H342" s="5">
        <f t="shared" si="23"/>
        <v>1</v>
      </c>
      <c r="I342" s="5">
        <f t="shared" si="24"/>
        <v>0</v>
      </c>
    </row>
    <row r="343" spans="1:9">
      <c r="A343">
        <v>342</v>
      </c>
      <c r="B343">
        <v>8</v>
      </c>
      <c r="C343">
        <v>5000</v>
      </c>
      <c r="D343">
        <v>5029</v>
      </c>
      <c r="E343" s="5">
        <f t="shared" si="21"/>
        <v>29</v>
      </c>
      <c r="F343" s="5">
        <f t="shared" si="22"/>
        <v>841</v>
      </c>
      <c r="G343" s="6">
        <f>SQRT(SUM($F$2:F343)/A343)</f>
        <v>1161.4333098948614</v>
      </c>
      <c r="H343" s="5">
        <f t="shared" si="23"/>
        <v>1</v>
      </c>
      <c r="I343" s="5">
        <f t="shared" si="24"/>
        <v>1</v>
      </c>
    </row>
    <row r="344" spans="1:9">
      <c r="A344">
        <v>343</v>
      </c>
      <c r="B344">
        <v>7</v>
      </c>
      <c r="C344">
        <v>5000</v>
      </c>
      <c r="D344">
        <v>4950</v>
      </c>
      <c r="E344" s="5">
        <f t="shared" si="21"/>
        <v>50</v>
      </c>
      <c r="F344" s="5">
        <f t="shared" si="22"/>
        <v>2500</v>
      </c>
      <c r="G344" s="6">
        <f>SQRT(SUM($F$2:F344)/A344)</f>
        <v>1159.7421649715197</v>
      </c>
      <c r="H344" s="5">
        <f t="shared" si="23"/>
        <v>1</v>
      </c>
      <c r="I344" s="5">
        <f t="shared" si="24"/>
        <v>1</v>
      </c>
    </row>
    <row r="345" spans="1:9">
      <c r="A345">
        <v>344</v>
      </c>
      <c r="B345">
        <v>8</v>
      </c>
      <c r="C345">
        <v>5000</v>
      </c>
      <c r="D345">
        <v>5460</v>
      </c>
      <c r="E345" s="5">
        <f t="shared" si="21"/>
        <v>460</v>
      </c>
      <c r="F345" s="5">
        <f t="shared" si="22"/>
        <v>211600</v>
      </c>
      <c r="G345" s="6">
        <f>SQRT(SUM($F$2:F345)/A345)</f>
        <v>1158.3208175108784</v>
      </c>
      <c r="H345" s="5">
        <f t="shared" si="23"/>
        <v>1</v>
      </c>
      <c r="I345" s="5">
        <f t="shared" si="24"/>
        <v>1</v>
      </c>
    </row>
    <row r="346" spans="1:9">
      <c r="A346">
        <v>345</v>
      </c>
      <c r="B346">
        <v>7</v>
      </c>
      <c r="C346">
        <v>5000</v>
      </c>
      <c r="D346">
        <v>4822</v>
      </c>
      <c r="E346" s="5">
        <f t="shared" si="21"/>
        <v>178</v>
      </c>
      <c r="F346" s="5">
        <f t="shared" si="22"/>
        <v>31684</v>
      </c>
      <c r="G346" s="6">
        <f>SQRT(SUM($F$2:F346)/A346)</f>
        <v>1156.6805729440116</v>
      </c>
      <c r="H346" s="5">
        <f t="shared" si="23"/>
        <v>1</v>
      </c>
      <c r="I346" s="5">
        <f t="shared" si="24"/>
        <v>1</v>
      </c>
    </row>
    <row r="347" spans="1:9">
      <c r="A347">
        <v>346</v>
      </c>
      <c r="B347">
        <v>8</v>
      </c>
      <c r="C347">
        <v>5000</v>
      </c>
      <c r="D347">
        <v>6115</v>
      </c>
      <c r="E347" s="5">
        <f t="shared" si="21"/>
        <v>1115</v>
      </c>
      <c r="F347" s="5">
        <f t="shared" si="22"/>
        <v>1243225</v>
      </c>
      <c r="G347" s="6">
        <f>SQRT(SUM($F$2:F347)/A347)</f>
        <v>1156.5622732509974</v>
      </c>
      <c r="H347" s="5">
        <f t="shared" si="23"/>
        <v>0</v>
      </c>
      <c r="I347" s="5">
        <f t="shared" si="24"/>
        <v>0</v>
      </c>
    </row>
    <row r="348" spans="1:9">
      <c r="A348">
        <v>347</v>
      </c>
      <c r="B348">
        <v>6</v>
      </c>
      <c r="C348">
        <v>5000</v>
      </c>
      <c r="D348">
        <v>4023</v>
      </c>
      <c r="E348" s="5">
        <f t="shared" si="21"/>
        <v>977</v>
      </c>
      <c r="F348" s="5">
        <f t="shared" si="22"/>
        <v>954529</v>
      </c>
      <c r="G348" s="6">
        <f>SQRT(SUM($F$2:F348)/A348)</f>
        <v>1156.0848741814932</v>
      </c>
      <c r="H348" s="5">
        <f t="shared" si="23"/>
        <v>1</v>
      </c>
      <c r="I348" s="5">
        <f t="shared" si="24"/>
        <v>0</v>
      </c>
    </row>
    <row r="349" spans="1:9">
      <c r="A349">
        <v>348</v>
      </c>
      <c r="B349">
        <v>8</v>
      </c>
      <c r="C349">
        <v>5000</v>
      </c>
      <c r="D349">
        <v>5830</v>
      </c>
      <c r="E349" s="5">
        <f t="shared" si="21"/>
        <v>830</v>
      </c>
      <c r="F349" s="5">
        <f t="shared" si="22"/>
        <v>688900</v>
      </c>
      <c r="G349" s="6">
        <f>SQRT(SUM($F$2:F349)/A349)</f>
        <v>1155.2797168382776</v>
      </c>
      <c r="H349" s="5">
        <f t="shared" si="23"/>
        <v>1</v>
      </c>
      <c r="I349" s="5">
        <f t="shared" si="24"/>
        <v>0</v>
      </c>
    </row>
    <row r="350" spans="1:9">
      <c r="A350">
        <v>349</v>
      </c>
      <c r="B350">
        <v>6</v>
      </c>
      <c r="C350">
        <v>5000</v>
      </c>
      <c r="D350">
        <v>4903</v>
      </c>
      <c r="E350" s="5">
        <f t="shared" si="21"/>
        <v>97</v>
      </c>
      <c r="F350" s="5">
        <f t="shared" si="22"/>
        <v>9409</v>
      </c>
      <c r="G350" s="6">
        <f>SQRT(SUM($F$2:F350)/A350)</f>
        <v>1153.6350857939374</v>
      </c>
      <c r="H350" s="5">
        <f t="shared" si="23"/>
        <v>1</v>
      </c>
      <c r="I350" s="5">
        <f t="shared" si="24"/>
        <v>1</v>
      </c>
    </row>
    <row r="351" spans="1:9">
      <c r="A351">
        <v>350</v>
      </c>
      <c r="B351">
        <v>7</v>
      </c>
      <c r="C351">
        <v>5000</v>
      </c>
      <c r="D351">
        <v>4875</v>
      </c>
      <c r="E351" s="5">
        <f t="shared" si="21"/>
        <v>125</v>
      </c>
      <c r="F351" s="5">
        <f t="shared" si="22"/>
        <v>15625</v>
      </c>
      <c r="G351" s="6">
        <f>SQRT(SUM($F$2:F351)/A351)</f>
        <v>1152.0052331230345</v>
      </c>
      <c r="H351" s="5">
        <f t="shared" si="23"/>
        <v>1</v>
      </c>
      <c r="I351" s="5">
        <f t="shared" si="24"/>
        <v>1</v>
      </c>
    </row>
    <row r="352" spans="1:9">
      <c r="A352">
        <v>351</v>
      </c>
      <c r="B352">
        <v>7</v>
      </c>
      <c r="C352">
        <v>5000</v>
      </c>
      <c r="D352">
        <v>5436</v>
      </c>
      <c r="E352" s="5">
        <f t="shared" si="21"/>
        <v>436</v>
      </c>
      <c r="F352" s="5">
        <f t="shared" si="22"/>
        <v>190096</v>
      </c>
      <c r="G352" s="6">
        <f>SQRT(SUM($F$2:F352)/A352)</f>
        <v>1150.5984024674656</v>
      </c>
      <c r="H352" s="5">
        <f t="shared" si="23"/>
        <v>1</v>
      </c>
      <c r="I352" s="5">
        <f t="shared" si="24"/>
        <v>1</v>
      </c>
    </row>
    <row r="353" spans="1:9">
      <c r="A353">
        <v>352</v>
      </c>
      <c r="B353">
        <v>7</v>
      </c>
      <c r="C353">
        <v>5000</v>
      </c>
      <c r="D353">
        <v>5046</v>
      </c>
      <c r="E353" s="5">
        <f t="shared" si="21"/>
        <v>46</v>
      </c>
      <c r="F353" s="5">
        <f t="shared" si="22"/>
        <v>2116</v>
      </c>
      <c r="G353" s="6">
        <f>SQRT(SUM($F$2:F353)/A353)</f>
        <v>1148.9654833014706</v>
      </c>
      <c r="H353" s="5">
        <f t="shared" si="23"/>
        <v>1</v>
      </c>
      <c r="I353" s="5">
        <f t="shared" si="24"/>
        <v>1</v>
      </c>
    </row>
    <row r="354" spans="1:9">
      <c r="A354">
        <v>353</v>
      </c>
      <c r="B354">
        <v>7</v>
      </c>
      <c r="C354">
        <v>5000</v>
      </c>
      <c r="D354">
        <v>4368</v>
      </c>
      <c r="E354" s="5">
        <f t="shared" si="21"/>
        <v>632</v>
      </c>
      <c r="F354" s="5">
        <f t="shared" si="22"/>
        <v>399424</v>
      </c>
      <c r="G354" s="6">
        <f>SQRT(SUM($F$2:F354)/A354)</f>
        <v>1147.8298972791301</v>
      </c>
      <c r="H354" s="5">
        <f t="shared" si="23"/>
        <v>1</v>
      </c>
      <c r="I354" s="5">
        <f t="shared" si="24"/>
        <v>0</v>
      </c>
    </row>
    <row r="355" spans="1:9">
      <c r="A355">
        <v>354</v>
      </c>
      <c r="B355">
        <v>8</v>
      </c>
      <c r="C355">
        <v>5000</v>
      </c>
      <c r="D355">
        <v>4499</v>
      </c>
      <c r="E355" s="5">
        <f t="shared" si="21"/>
        <v>501</v>
      </c>
      <c r="F355" s="5">
        <f t="shared" si="22"/>
        <v>251001</v>
      </c>
      <c r="G355" s="6">
        <f>SQRT(SUM($F$2:F355)/A355)</f>
        <v>1146.5167796367834</v>
      </c>
      <c r="H355" s="5">
        <f t="shared" si="23"/>
        <v>1</v>
      </c>
      <c r="I355" s="5">
        <f t="shared" si="24"/>
        <v>0</v>
      </c>
    </row>
    <row r="356" spans="1:9">
      <c r="A356">
        <v>355</v>
      </c>
      <c r="B356">
        <v>8</v>
      </c>
      <c r="C356">
        <v>5000</v>
      </c>
      <c r="D356">
        <v>5233</v>
      </c>
      <c r="E356" s="5">
        <f t="shared" si="21"/>
        <v>233</v>
      </c>
      <c r="F356" s="5">
        <f t="shared" si="22"/>
        <v>54289</v>
      </c>
      <c r="G356" s="6">
        <f>SQRT(SUM($F$2:F356)/A356)</f>
        <v>1144.9676125562753</v>
      </c>
      <c r="H356" s="5">
        <f t="shared" si="23"/>
        <v>1</v>
      </c>
      <c r="I356" s="5">
        <f t="shared" si="24"/>
        <v>1</v>
      </c>
    </row>
    <row r="357" spans="1:9">
      <c r="A357">
        <v>356</v>
      </c>
      <c r="B357">
        <v>7</v>
      </c>
      <c r="C357">
        <v>5000</v>
      </c>
      <c r="D357">
        <v>4922</v>
      </c>
      <c r="E357" s="5">
        <f t="shared" si="21"/>
        <v>78</v>
      </c>
      <c r="F357" s="5">
        <f t="shared" si="22"/>
        <v>6084</v>
      </c>
      <c r="G357" s="6">
        <f>SQRT(SUM($F$2:F357)/A357)</f>
        <v>1143.3658546275071</v>
      </c>
      <c r="H357" s="5">
        <f t="shared" si="23"/>
        <v>1</v>
      </c>
      <c r="I357" s="5">
        <f t="shared" si="24"/>
        <v>1</v>
      </c>
    </row>
    <row r="358" spans="1:9">
      <c r="A358">
        <v>357</v>
      </c>
      <c r="B358">
        <v>7</v>
      </c>
      <c r="C358">
        <v>5000</v>
      </c>
      <c r="D358">
        <v>4707</v>
      </c>
      <c r="E358" s="5">
        <f t="shared" si="21"/>
        <v>293</v>
      </c>
      <c r="F358" s="5">
        <f t="shared" si="22"/>
        <v>85849</v>
      </c>
      <c r="G358" s="6">
        <f>SQRT(SUM($F$2:F358)/A358)</f>
        <v>1141.8686819572265</v>
      </c>
      <c r="H358" s="5">
        <f t="shared" si="23"/>
        <v>1</v>
      </c>
      <c r="I358" s="5">
        <f t="shared" si="24"/>
        <v>1</v>
      </c>
    </row>
    <row r="359" spans="1:9">
      <c r="A359">
        <v>358</v>
      </c>
      <c r="B359">
        <v>8</v>
      </c>
      <c r="C359">
        <v>5000</v>
      </c>
      <c r="D359">
        <v>5802</v>
      </c>
      <c r="E359" s="5">
        <f t="shared" si="21"/>
        <v>802</v>
      </c>
      <c r="F359" s="5">
        <f t="shared" si="22"/>
        <v>643204</v>
      </c>
      <c r="G359" s="6">
        <f>SQRT(SUM($F$2:F359)/A359)</f>
        <v>1141.0603260116291</v>
      </c>
      <c r="H359" s="5">
        <f t="shared" si="23"/>
        <v>1</v>
      </c>
      <c r="I359" s="5">
        <f t="shared" si="24"/>
        <v>0</v>
      </c>
    </row>
    <row r="360" spans="1:9">
      <c r="A360">
        <v>359</v>
      </c>
      <c r="B360">
        <v>6</v>
      </c>
      <c r="C360">
        <v>5000</v>
      </c>
      <c r="D360">
        <v>4315</v>
      </c>
      <c r="E360" s="5">
        <f t="shared" si="21"/>
        <v>685</v>
      </c>
      <c r="F360" s="5">
        <f t="shared" si="22"/>
        <v>469225</v>
      </c>
      <c r="G360" s="6">
        <f>SQRT(SUM($F$2:F360)/A360)</f>
        <v>1140.0433799106042</v>
      </c>
      <c r="H360" s="5">
        <f t="shared" si="23"/>
        <v>1</v>
      </c>
      <c r="I360" s="5">
        <f t="shared" si="24"/>
        <v>0</v>
      </c>
    </row>
    <row r="361" spans="1:9">
      <c r="A361">
        <v>360</v>
      </c>
      <c r="B361">
        <v>8</v>
      </c>
      <c r="C361">
        <v>5000</v>
      </c>
      <c r="D361">
        <v>5219</v>
      </c>
      <c r="E361" s="5">
        <f t="shared" si="21"/>
        <v>219</v>
      </c>
      <c r="F361" s="5">
        <f t="shared" si="22"/>
        <v>47961</v>
      </c>
      <c r="G361" s="6">
        <f>SQRT(SUM($F$2:F361)/A361)</f>
        <v>1138.5173948312486</v>
      </c>
      <c r="H361" s="5">
        <f t="shared" si="23"/>
        <v>1</v>
      </c>
      <c r="I361" s="5">
        <f t="shared" si="24"/>
        <v>1</v>
      </c>
    </row>
    <row r="362" spans="1:9">
      <c r="A362">
        <v>361</v>
      </c>
      <c r="B362">
        <v>7</v>
      </c>
      <c r="C362">
        <v>5000</v>
      </c>
      <c r="D362">
        <v>4312</v>
      </c>
      <c r="E362" s="5">
        <f t="shared" si="21"/>
        <v>688</v>
      </c>
      <c r="F362" s="5">
        <f t="shared" si="22"/>
        <v>473344</v>
      </c>
      <c r="G362" s="6">
        <f>SQRT(SUM($F$2:F362)/A362)</f>
        <v>1137.5158980350773</v>
      </c>
      <c r="H362" s="5">
        <f t="shared" si="23"/>
        <v>1</v>
      </c>
      <c r="I362" s="5">
        <f t="shared" si="24"/>
        <v>0</v>
      </c>
    </row>
    <row r="363" spans="1:9">
      <c r="A363">
        <v>362</v>
      </c>
      <c r="B363">
        <v>8</v>
      </c>
      <c r="C363">
        <v>5000</v>
      </c>
      <c r="D363">
        <v>5339</v>
      </c>
      <c r="E363" s="5">
        <f t="shared" si="21"/>
        <v>339</v>
      </c>
      <c r="F363" s="5">
        <f t="shared" si="22"/>
        <v>114921</v>
      </c>
      <c r="G363" s="6">
        <f>SQRT(SUM($F$2:F363)/A363)</f>
        <v>1136.083382960368</v>
      </c>
      <c r="H363" s="5">
        <f t="shared" si="23"/>
        <v>1</v>
      </c>
      <c r="I363" s="5">
        <f t="shared" si="24"/>
        <v>1</v>
      </c>
    </row>
    <row r="364" spans="1:9">
      <c r="A364">
        <v>363</v>
      </c>
      <c r="B364">
        <v>7</v>
      </c>
      <c r="C364">
        <v>5000</v>
      </c>
      <c r="D364">
        <v>5011</v>
      </c>
      <c r="E364" s="5">
        <f t="shared" si="21"/>
        <v>11</v>
      </c>
      <c r="F364" s="5">
        <f t="shared" si="22"/>
        <v>121</v>
      </c>
      <c r="G364" s="6">
        <f>SQRT(SUM($F$2:F364)/A364)</f>
        <v>1134.5175975115419</v>
      </c>
      <c r="H364" s="5">
        <f t="shared" si="23"/>
        <v>1</v>
      </c>
      <c r="I364" s="5">
        <f t="shared" si="24"/>
        <v>1</v>
      </c>
    </row>
    <row r="365" spans="1:9">
      <c r="A365">
        <v>364</v>
      </c>
      <c r="B365">
        <v>7</v>
      </c>
      <c r="C365">
        <v>5000</v>
      </c>
      <c r="D365">
        <v>5777</v>
      </c>
      <c r="E365" s="5">
        <f t="shared" si="21"/>
        <v>777</v>
      </c>
      <c r="F365" s="5">
        <f t="shared" si="22"/>
        <v>603729</v>
      </c>
      <c r="G365" s="6">
        <f>SQRT(SUM($F$2:F365)/A365)</f>
        <v>1133.6898620419533</v>
      </c>
      <c r="H365" s="5">
        <f t="shared" si="23"/>
        <v>1</v>
      </c>
      <c r="I365" s="5">
        <f t="shared" si="24"/>
        <v>0</v>
      </c>
    </row>
    <row r="366" spans="1:9">
      <c r="A366">
        <v>365</v>
      </c>
      <c r="B366">
        <v>6</v>
      </c>
      <c r="C366">
        <v>5000</v>
      </c>
      <c r="D366">
        <v>5017</v>
      </c>
      <c r="E366" s="5">
        <f t="shared" si="21"/>
        <v>17</v>
      </c>
      <c r="F366" s="5">
        <f t="shared" si="22"/>
        <v>289</v>
      </c>
      <c r="G366" s="6">
        <f>SQRT(SUM($F$2:F366)/A366)</f>
        <v>1132.1361467573238</v>
      </c>
      <c r="H366" s="5">
        <f t="shared" si="23"/>
        <v>1</v>
      </c>
      <c r="I366" s="5">
        <f t="shared" si="24"/>
        <v>1</v>
      </c>
    </row>
    <row r="367" spans="1:9">
      <c r="A367">
        <v>366</v>
      </c>
      <c r="B367">
        <v>7</v>
      </c>
      <c r="C367">
        <v>5000</v>
      </c>
      <c r="D367">
        <v>5473</v>
      </c>
      <c r="E367" s="5">
        <f t="shared" si="21"/>
        <v>473</v>
      </c>
      <c r="F367" s="5">
        <f t="shared" si="22"/>
        <v>223729</v>
      </c>
      <c r="G367" s="6">
        <f>SQRT(SUM($F$2:F367)/A367)</f>
        <v>1130.8587601991353</v>
      </c>
      <c r="H367" s="5">
        <f t="shared" si="23"/>
        <v>1</v>
      </c>
      <c r="I367" s="5">
        <f t="shared" si="24"/>
        <v>1</v>
      </c>
    </row>
    <row r="368" spans="1:9">
      <c r="A368">
        <v>367</v>
      </c>
      <c r="B368">
        <v>7</v>
      </c>
      <c r="C368">
        <v>5000</v>
      </c>
      <c r="D368">
        <v>5336</v>
      </c>
      <c r="E368" s="5">
        <f t="shared" si="21"/>
        <v>336</v>
      </c>
      <c r="F368" s="5">
        <f t="shared" si="22"/>
        <v>112896</v>
      </c>
      <c r="G368" s="6">
        <f>SQRT(SUM($F$2:F368)/A368)</f>
        <v>1129.4532182463709</v>
      </c>
      <c r="H368" s="5">
        <f t="shared" si="23"/>
        <v>1</v>
      </c>
      <c r="I368" s="5">
        <f t="shared" si="24"/>
        <v>1</v>
      </c>
    </row>
    <row r="369" spans="1:9">
      <c r="A369">
        <v>368</v>
      </c>
      <c r="B369">
        <v>7</v>
      </c>
      <c r="C369">
        <v>5000</v>
      </c>
      <c r="D369">
        <v>4902</v>
      </c>
      <c r="E369" s="5">
        <f t="shared" si="21"/>
        <v>98</v>
      </c>
      <c r="F369" s="5">
        <f t="shared" si="22"/>
        <v>9604</v>
      </c>
      <c r="G369" s="6">
        <f>SQRT(SUM($F$2:F369)/A369)</f>
        <v>1127.9291601059845</v>
      </c>
      <c r="H369" s="5">
        <f t="shared" si="23"/>
        <v>1</v>
      </c>
      <c r="I369" s="5">
        <f t="shared" si="24"/>
        <v>1</v>
      </c>
    </row>
    <row r="370" spans="1:9">
      <c r="A370">
        <v>369</v>
      </c>
      <c r="B370">
        <v>7</v>
      </c>
      <c r="C370">
        <v>5000</v>
      </c>
      <c r="D370">
        <v>5147</v>
      </c>
      <c r="E370" s="5">
        <f t="shared" si="21"/>
        <v>147</v>
      </c>
      <c r="F370" s="5">
        <f t="shared" si="22"/>
        <v>21609</v>
      </c>
      <c r="G370" s="6">
        <f>SQRT(SUM($F$2:F370)/A370)</f>
        <v>1126.4257583879603</v>
      </c>
      <c r="H370" s="5">
        <f t="shared" si="23"/>
        <v>1</v>
      </c>
      <c r="I370" s="5">
        <f t="shared" si="24"/>
        <v>1</v>
      </c>
    </row>
    <row r="371" spans="1:9">
      <c r="A371">
        <v>370</v>
      </c>
      <c r="B371">
        <v>7</v>
      </c>
      <c r="C371">
        <v>5000</v>
      </c>
      <c r="D371">
        <v>5849</v>
      </c>
      <c r="E371" s="5">
        <f t="shared" si="21"/>
        <v>849</v>
      </c>
      <c r="F371" s="5">
        <f t="shared" si="22"/>
        <v>720801</v>
      </c>
      <c r="G371" s="6">
        <f>SQRT(SUM($F$2:F371)/A371)</f>
        <v>1125.7681005501161</v>
      </c>
      <c r="H371" s="5">
        <f t="shared" si="23"/>
        <v>1</v>
      </c>
      <c r="I371" s="5">
        <f t="shared" si="24"/>
        <v>0</v>
      </c>
    </row>
    <row r="372" spans="1:9">
      <c r="A372">
        <v>371</v>
      </c>
      <c r="B372">
        <v>6</v>
      </c>
      <c r="C372">
        <v>5000</v>
      </c>
      <c r="D372">
        <v>4783</v>
      </c>
      <c r="E372" s="5">
        <f t="shared" si="21"/>
        <v>217</v>
      </c>
      <c r="F372" s="5">
        <f t="shared" si="22"/>
        <v>47089</v>
      </c>
      <c r="G372" s="6">
        <f>SQRT(SUM($F$2:F372)/A372)</f>
        <v>1124.306316233424</v>
      </c>
      <c r="H372" s="5">
        <f t="shared" si="23"/>
        <v>1</v>
      </c>
      <c r="I372" s="5">
        <f t="shared" si="24"/>
        <v>1</v>
      </c>
    </row>
    <row r="373" spans="1:9">
      <c r="A373">
        <v>372</v>
      </c>
      <c r="B373">
        <v>7</v>
      </c>
      <c r="C373">
        <v>5000</v>
      </c>
      <c r="D373">
        <v>4970</v>
      </c>
      <c r="E373" s="5">
        <f t="shared" si="21"/>
        <v>30</v>
      </c>
      <c r="F373" s="5">
        <f t="shared" si="22"/>
        <v>900</v>
      </c>
      <c r="G373" s="6">
        <f>SQRT(SUM($F$2:F373)/A373)</f>
        <v>1122.7952122758973</v>
      </c>
      <c r="H373" s="5">
        <f t="shared" si="23"/>
        <v>1</v>
      </c>
      <c r="I373" s="5">
        <f t="shared" si="24"/>
        <v>1</v>
      </c>
    </row>
    <row r="374" spans="1:9">
      <c r="A374">
        <v>373</v>
      </c>
      <c r="B374">
        <v>7</v>
      </c>
      <c r="C374">
        <v>5000</v>
      </c>
      <c r="D374">
        <v>5320</v>
      </c>
      <c r="E374" s="5">
        <f t="shared" si="21"/>
        <v>320</v>
      </c>
      <c r="F374" s="5">
        <f t="shared" si="22"/>
        <v>102400</v>
      </c>
      <c r="G374" s="6">
        <f>SQRT(SUM($F$2:F374)/A374)</f>
        <v>1121.4115255567308</v>
      </c>
      <c r="H374" s="5">
        <f t="shared" si="23"/>
        <v>1</v>
      </c>
      <c r="I374" s="5">
        <f t="shared" si="24"/>
        <v>1</v>
      </c>
    </row>
    <row r="375" spans="1:9">
      <c r="A375">
        <v>374</v>
      </c>
      <c r="B375">
        <v>6</v>
      </c>
      <c r="C375">
        <v>5000</v>
      </c>
      <c r="D375">
        <v>3572</v>
      </c>
      <c r="E375" s="5">
        <f t="shared" si="21"/>
        <v>1428</v>
      </c>
      <c r="F375" s="5">
        <f t="shared" si="22"/>
        <v>2039184</v>
      </c>
      <c r="G375" s="6">
        <f>SQRT(SUM($F$2:F375)/A375)</f>
        <v>1122.3429525811423</v>
      </c>
      <c r="H375" s="5">
        <f t="shared" si="23"/>
        <v>0</v>
      </c>
      <c r="I375" s="5">
        <f t="shared" si="24"/>
        <v>0</v>
      </c>
    </row>
    <row r="376" spans="1:9">
      <c r="A376">
        <v>375</v>
      </c>
      <c r="B376">
        <v>9</v>
      </c>
      <c r="C376">
        <v>5000</v>
      </c>
      <c r="D376">
        <v>3975</v>
      </c>
      <c r="E376" s="5">
        <f t="shared" si="21"/>
        <v>1025</v>
      </c>
      <c r="F376" s="5">
        <f t="shared" si="22"/>
        <v>1050625</v>
      </c>
      <c r="G376" s="6">
        <f>SQRT(SUM($F$2:F376)/A376)</f>
        <v>1122.0946008841381</v>
      </c>
      <c r="H376" s="5">
        <f t="shared" si="23"/>
        <v>0</v>
      </c>
      <c r="I376" s="5">
        <f t="shared" si="24"/>
        <v>0</v>
      </c>
    </row>
    <row r="377" spans="1:9">
      <c r="A377">
        <v>376</v>
      </c>
      <c r="B377">
        <v>8</v>
      </c>
      <c r="C377">
        <v>5000</v>
      </c>
      <c r="D377">
        <v>1981</v>
      </c>
      <c r="E377" s="5">
        <f t="shared" si="21"/>
        <v>3019</v>
      </c>
      <c r="F377" s="5">
        <f t="shared" si="22"/>
        <v>9114361</v>
      </c>
      <c r="G377" s="6">
        <f>SQRT(SUM($F$2:F377)/A377)</f>
        <v>1131.3655266036853</v>
      </c>
      <c r="H377" s="5">
        <f t="shared" si="23"/>
        <v>0</v>
      </c>
      <c r="I377" s="5">
        <f t="shared" si="24"/>
        <v>0</v>
      </c>
    </row>
    <row r="378" spans="1:9">
      <c r="A378">
        <v>377</v>
      </c>
      <c r="B378">
        <v>11</v>
      </c>
      <c r="C378">
        <v>5000</v>
      </c>
      <c r="D378">
        <v>3611</v>
      </c>
      <c r="E378" s="5">
        <f t="shared" si="21"/>
        <v>1389</v>
      </c>
      <c r="F378" s="5">
        <f t="shared" si="22"/>
        <v>1929321</v>
      </c>
      <c r="G378" s="6">
        <f>SQRT(SUM($F$2:F378)/A378)</f>
        <v>1132.1264609607122</v>
      </c>
      <c r="H378" s="5">
        <f t="shared" si="23"/>
        <v>0</v>
      </c>
      <c r="I378" s="5">
        <f t="shared" si="24"/>
        <v>0</v>
      </c>
    </row>
    <row r="379" spans="1:9">
      <c r="A379">
        <v>378</v>
      </c>
      <c r="B379">
        <v>10</v>
      </c>
      <c r="C379">
        <v>5000</v>
      </c>
      <c r="D379">
        <v>5473</v>
      </c>
      <c r="E379" s="5">
        <f t="shared" si="21"/>
        <v>473</v>
      </c>
      <c r="F379" s="5">
        <f t="shared" si="22"/>
        <v>223729</v>
      </c>
      <c r="G379" s="6">
        <f>SQRT(SUM($F$2:F379)/A379)</f>
        <v>1130.889663590985</v>
      </c>
      <c r="H379" s="5">
        <f t="shared" si="23"/>
        <v>1</v>
      </c>
      <c r="I379" s="5">
        <f t="shared" si="24"/>
        <v>1</v>
      </c>
    </row>
    <row r="380" spans="1:9">
      <c r="A380">
        <v>379</v>
      </c>
      <c r="B380">
        <v>8</v>
      </c>
      <c r="C380">
        <v>5000</v>
      </c>
      <c r="D380">
        <v>4510</v>
      </c>
      <c r="E380" s="5">
        <f t="shared" si="21"/>
        <v>490</v>
      </c>
      <c r="F380" s="5">
        <f t="shared" si="22"/>
        <v>240100</v>
      </c>
      <c r="G380" s="6">
        <f>SQRT(SUM($F$2:F380)/A380)</f>
        <v>1129.6771680253539</v>
      </c>
      <c r="H380" s="5">
        <f t="shared" si="23"/>
        <v>1</v>
      </c>
      <c r="I380" s="5">
        <f t="shared" si="24"/>
        <v>1</v>
      </c>
    </row>
    <row r="381" spans="1:9">
      <c r="A381">
        <v>380</v>
      </c>
      <c r="B381">
        <v>9</v>
      </c>
      <c r="C381">
        <v>5000</v>
      </c>
      <c r="D381">
        <v>5136</v>
      </c>
      <c r="E381" s="5">
        <f t="shared" si="21"/>
        <v>136</v>
      </c>
      <c r="F381" s="5">
        <f t="shared" si="22"/>
        <v>18496</v>
      </c>
      <c r="G381" s="6">
        <f>SQRT(SUM($F$2:F381)/A381)</f>
        <v>1128.2113428832943</v>
      </c>
      <c r="H381" s="5">
        <f t="shared" si="23"/>
        <v>1</v>
      </c>
      <c r="I381" s="5">
        <f t="shared" si="24"/>
        <v>1</v>
      </c>
    </row>
    <row r="382" spans="1:9">
      <c r="A382">
        <v>381</v>
      </c>
      <c r="B382">
        <v>8</v>
      </c>
      <c r="C382">
        <v>5000</v>
      </c>
      <c r="D382">
        <v>4450</v>
      </c>
      <c r="E382" s="5">
        <f t="shared" si="21"/>
        <v>550</v>
      </c>
      <c r="F382" s="5">
        <f t="shared" si="22"/>
        <v>302500</v>
      </c>
      <c r="G382" s="6">
        <f>SQRT(SUM($F$2:F382)/A382)</f>
        <v>1127.0820535260852</v>
      </c>
      <c r="H382" s="5">
        <f t="shared" si="23"/>
        <v>1</v>
      </c>
      <c r="I382" s="5">
        <f t="shared" si="24"/>
        <v>0</v>
      </c>
    </row>
    <row r="383" spans="1:9">
      <c r="A383">
        <v>382</v>
      </c>
      <c r="B383">
        <v>9</v>
      </c>
      <c r="C383">
        <v>5000</v>
      </c>
      <c r="D383">
        <v>5303</v>
      </c>
      <c r="E383" s="5">
        <f t="shared" si="21"/>
        <v>303</v>
      </c>
      <c r="F383" s="5">
        <f t="shared" si="22"/>
        <v>91809</v>
      </c>
      <c r="G383" s="6">
        <f>SQRT(SUM($F$2:F383)/A383)</f>
        <v>1125.7126026985509</v>
      </c>
      <c r="H383" s="5">
        <f t="shared" si="23"/>
        <v>1</v>
      </c>
      <c r="I383" s="5">
        <f t="shared" si="24"/>
        <v>1</v>
      </c>
    </row>
    <row r="384" spans="1:9">
      <c r="A384">
        <v>383</v>
      </c>
      <c r="B384">
        <v>8</v>
      </c>
      <c r="C384">
        <v>5000</v>
      </c>
      <c r="D384">
        <v>6534</v>
      </c>
      <c r="E384" s="5">
        <f t="shared" si="21"/>
        <v>1534</v>
      </c>
      <c r="F384" s="5">
        <f t="shared" si="22"/>
        <v>2353156</v>
      </c>
      <c r="G384" s="6">
        <f>SQRT(SUM($F$2:F384)/A384)</f>
        <v>1126.9712430970119</v>
      </c>
      <c r="H384" s="5">
        <f t="shared" si="23"/>
        <v>0</v>
      </c>
      <c r="I384" s="5">
        <f t="shared" si="24"/>
        <v>0</v>
      </c>
    </row>
    <row r="385" spans="1:9">
      <c r="A385">
        <v>384</v>
      </c>
      <c r="B385">
        <v>7</v>
      </c>
      <c r="C385">
        <v>5000</v>
      </c>
      <c r="D385">
        <v>5042</v>
      </c>
      <c r="E385" s="5">
        <f t="shared" si="21"/>
        <v>42</v>
      </c>
      <c r="F385" s="5">
        <f t="shared" si="22"/>
        <v>1764</v>
      </c>
      <c r="G385" s="6">
        <f>SQRT(SUM($F$2:F385)/A385)</f>
        <v>1125.5049167854991</v>
      </c>
      <c r="H385" s="5">
        <f t="shared" si="23"/>
        <v>1</v>
      </c>
      <c r="I385" s="5">
        <f t="shared" si="24"/>
        <v>1</v>
      </c>
    </row>
    <row r="386" spans="1:9">
      <c r="A386">
        <v>385</v>
      </c>
      <c r="B386">
        <v>8</v>
      </c>
      <c r="C386">
        <v>5000</v>
      </c>
      <c r="D386">
        <v>5848</v>
      </c>
      <c r="E386" s="5">
        <f t="shared" si="21"/>
        <v>848</v>
      </c>
      <c r="F386" s="5">
        <f t="shared" si="22"/>
        <v>719104</v>
      </c>
      <c r="G386" s="6">
        <f>SQRT(SUM($F$2:F386)/A386)</f>
        <v>1124.8728066625272</v>
      </c>
      <c r="H386" s="5">
        <f t="shared" si="23"/>
        <v>1</v>
      </c>
      <c r="I386" s="5">
        <f t="shared" si="24"/>
        <v>0</v>
      </c>
    </row>
    <row r="387" spans="1:9">
      <c r="A387">
        <v>386</v>
      </c>
      <c r="B387">
        <v>7</v>
      </c>
      <c r="C387">
        <v>5000</v>
      </c>
      <c r="D387">
        <v>5158</v>
      </c>
      <c r="E387" s="5">
        <f t="shared" ref="E387:E450" si="25">ABS(C387-D387)</f>
        <v>158</v>
      </c>
      <c r="F387" s="5">
        <f t="shared" ref="F387:F450" si="26">POWER(E387,2)</f>
        <v>24964</v>
      </c>
      <c r="G387" s="6">
        <f>SQRT(SUM($F$2:F387)/A387)</f>
        <v>1123.4435566019622</v>
      </c>
      <c r="H387" s="5">
        <f t="shared" ref="H387:H450" si="27">IF(ABS(E387)/C387&gt;0.2,0,1)</f>
        <v>1</v>
      </c>
      <c r="I387" s="5">
        <f t="shared" ref="I387:I450" si="28">IF(ABS(E387)/C387&gt;0.1,0,1)</f>
        <v>1</v>
      </c>
    </row>
    <row r="388" spans="1:9">
      <c r="A388">
        <v>387</v>
      </c>
      <c r="B388">
        <v>8</v>
      </c>
      <c r="C388">
        <v>5000</v>
      </c>
      <c r="D388">
        <v>5144</v>
      </c>
      <c r="E388" s="5">
        <f t="shared" si="25"/>
        <v>144</v>
      </c>
      <c r="F388" s="5">
        <f t="shared" si="26"/>
        <v>20736</v>
      </c>
      <c r="G388" s="6">
        <f>SQRT(SUM($F$2:F388)/A388)</f>
        <v>1122.0150178399565</v>
      </c>
      <c r="H388" s="5">
        <f t="shared" si="27"/>
        <v>1</v>
      </c>
      <c r="I388" s="5">
        <f t="shared" si="28"/>
        <v>1</v>
      </c>
    </row>
    <row r="389" spans="1:9">
      <c r="A389">
        <v>388</v>
      </c>
      <c r="B389">
        <v>8</v>
      </c>
      <c r="C389">
        <v>5000</v>
      </c>
      <c r="D389">
        <v>6244</v>
      </c>
      <c r="E389" s="5">
        <f t="shared" si="25"/>
        <v>1244</v>
      </c>
      <c r="F389" s="5">
        <f t="shared" si="26"/>
        <v>1547536</v>
      </c>
      <c r="G389" s="6">
        <f>SQRT(SUM($F$2:F389)/A389)</f>
        <v>1122.3464535764658</v>
      </c>
      <c r="H389" s="5">
        <f t="shared" si="27"/>
        <v>0</v>
      </c>
      <c r="I389" s="5">
        <f t="shared" si="28"/>
        <v>0</v>
      </c>
    </row>
    <row r="390" spans="1:9">
      <c r="A390">
        <v>389</v>
      </c>
      <c r="B390">
        <v>6</v>
      </c>
      <c r="C390">
        <v>5000</v>
      </c>
      <c r="D390">
        <v>4463</v>
      </c>
      <c r="E390" s="5">
        <f t="shared" si="25"/>
        <v>537</v>
      </c>
      <c r="F390" s="5">
        <f t="shared" si="26"/>
        <v>288369</v>
      </c>
      <c r="G390" s="6">
        <f>SQRT(SUM($F$2:F390)/A390)</f>
        <v>1121.2335465057085</v>
      </c>
      <c r="H390" s="5">
        <f t="shared" si="27"/>
        <v>1</v>
      </c>
      <c r="I390" s="5">
        <f t="shared" si="28"/>
        <v>0</v>
      </c>
    </row>
    <row r="391" spans="1:9">
      <c r="A391">
        <v>390</v>
      </c>
      <c r="B391">
        <v>8</v>
      </c>
      <c r="C391">
        <v>5000</v>
      </c>
      <c r="D391">
        <v>5658</v>
      </c>
      <c r="E391" s="5">
        <f t="shared" si="25"/>
        <v>658</v>
      </c>
      <c r="F391" s="5">
        <f t="shared" si="26"/>
        <v>432964</v>
      </c>
      <c r="G391" s="6">
        <f>SQRT(SUM($F$2:F391)/A391)</f>
        <v>1120.290734929657</v>
      </c>
      <c r="H391" s="5">
        <f t="shared" si="27"/>
        <v>1</v>
      </c>
      <c r="I391" s="5">
        <f t="shared" si="28"/>
        <v>0</v>
      </c>
    </row>
    <row r="392" spans="1:9">
      <c r="A392">
        <v>391</v>
      </c>
      <c r="B392">
        <v>7</v>
      </c>
      <c r="C392">
        <v>5000</v>
      </c>
      <c r="D392">
        <v>5324</v>
      </c>
      <c r="E392" s="5">
        <f t="shared" si="25"/>
        <v>324</v>
      </c>
      <c r="F392" s="5">
        <f t="shared" si="26"/>
        <v>104976</v>
      </c>
      <c r="G392" s="6">
        <f>SQRT(SUM($F$2:F392)/A392)</f>
        <v>1118.9771944221334</v>
      </c>
      <c r="H392" s="5">
        <f t="shared" si="27"/>
        <v>1</v>
      </c>
      <c r="I392" s="5">
        <f t="shared" si="28"/>
        <v>1</v>
      </c>
    </row>
    <row r="393" spans="1:9">
      <c r="A393">
        <v>392</v>
      </c>
      <c r="B393">
        <v>7</v>
      </c>
      <c r="C393">
        <v>5000</v>
      </c>
      <c r="D393">
        <v>4602</v>
      </c>
      <c r="E393" s="5">
        <f t="shared" si="25"/>
        <v>398</v>
      </c>
      <c r="F393" s="5">
        <f t="shared" si="26"/>
        <v>158404</v>
      </c>
      <c r="G393" s="6">
        <f>SQRT(SUM($F$2:F393)/A393)</f>
        <v>1117.729795347768</v>
      </c>
      <c r="H393" s="5">
        <f t="shared" si="27"/>
        <v>1</v>
      </c>
      <c r="I393" s="5">
        <f t="shared" si="28"/>
        <v>1</v>
      </c>
    </row>
    <row r="394" spans="1:9">
      <c r="A394">
        <v>393</v>
      </c>
      <c r="B394">
        <v>8</v>
      </c>
      <c r="C394">
        <v>5000</v>
      </c>
      <c r="D394">
        <v>5742</v>
      </c>
      <c r="E394" s="5">
        <f t="shared" si="25"/>
        <v>742</v>
      </c>
      <c r="F394" s="5">
        <f t="shared" si="26"/>
        <v>550564</v>
      </c>
      <c r="G394" s="6">
        <f>SQRT(SUM($F$2:F394)/A394)</f>
        <v>1116.9341478284393</v>
      </c>
      <c r="H394" s="5">
        <f t="shared" si="27"/>
        <v>1</v>
      </c>
      <c r="I394" s="5">
        <f t="shared" si="28"/>
        <v>0</v>
      </c>
    </row>
    <row r="395" spans="1:9">
      <c r="A395">
        <v>394</v>
      </c>
      <c r="B395">
        <v>7</v>
      </c>
      <c r="C395">
        <v>5000</v>
      </c>
      <c r="D395">
        <v>5485</v>
      </c>
      <c r="E395" s="5">
        <f t="shared" si="25"/>
        <v>485</v>
      </c>
      <c r="F395" s="5">
        <f t="shared" si="26"/>
        <v>235225</v>
      </c>
      <c r="G395" s="6">
        <f>SQRT(SUM($F$2:F395)/A395)</f>
        <v>1115.783383267395</v>
      </c>
      <c r="H395" s="5">
        <f t="shared" si="27"/>
        <v>1</v>
      </c>
      <c r="I395" s="5">
        <f t="shared" si="28"/>
        <v>1</v>
      </c>
    </row>
    <row r="396" spans="1:9">
      <c r="A396">
        <v>395</v>
      </c>
      <c r="B396">
        <v>7</v>
      </c>
      <c r="C396">
        <v>5000</v>
      </c>
      <c r="D396">
        <v>5385</v>
      </c>
      <c r="E396" s="5">
        <f t="shared" si="25"/>
        <v>385</v>
      </c>
      <c r="F396" s="5">
        <f t="shared" si="26"/>
        <v>148225</v>
      </c>
      <c r="G396" s="6">
        <f>SQRT(SUM($F$2:F396)/A396)</f>
        <v>1114.5384615519022</v>
      </c>
      <c r="H396" s="5">
        <f t="shared" si="27"/>
        <v>1</v>
      </c>
      <c r="I396" s="5">
        <f t="shared" si="28"/>
        <v>1</v>
      </c>
    </row>
    <row r="397" spans="1:9">
      <c r="A397">
        <v>396</v>
      </c>
      <c r="B397">
        <v>7</v>
      </c>
      <c r="C397">
        <v>5000</v>
      </c>
      <c r="D397">
        <v>5222</v>
      </c>
      <c r="E397" s="5">
        <f t="shared" si="25"/>
        <v>222</v>
      </c>
      <c r="F397" s="5">
        <f t="shared" si="26"/>
        <v>49284</v>
      </c>
      <c r="G397" s="6">
        <f>SQRT(SUM($F$2:F397)/A397)</f>
        <v>1113.18622803322</v>
      </c>
      <c r="H397" s="5">
        <f t="shared" si="27"/>
        <v>1</v>
      </c>
      <c r="I397" s="5">
        <f t="shared" si="28"/>
        <v>1</v>
      </c>
    </row>
    <row r="398" spans="1:9">
      <c r="A398">
        <v>397</v>
      </c>
      <c r="B398">
        <v>7</v>
      </c>
      <c r="C398">
        <v>5000</v>
      </c>
      <c r="D398">
        <v>4570</v>
      </c>
      <c r="E398" s="5">
        <f t="shared" si="25"/>
        <v>430</v>
      </c>
      <c r="F398" s="5">
        <f t="shared" si="26"/>
        <v>184900</v>
      </c>
      <c r="G398" s="6">
        <f>SQRT(SUM($F$2:F398)/A398)</f>
        <v>1111.9927842126756</v>
      </c>
      <c r="H398" s="5">
        <f t="shared" si="27"/>
        <v>1</v>
      </c>
      <c r="I398" s="5">
        <f t="shared" si="28"/>
        <v>1</v>
      </c>
    </row>
    <row r="399" spans="1:9">
      <c r="A399">
        <v>398</v>
      </c>
      <c r="B399">
        <v>8</v>
      </c>
      <c r="C399">
        <v>5000</v>
      </c>
      <c r="D399">
        <v>5986</v>
      </c>
      <c r="E399" s="5">
        <f t="shared" si="25"/>
        <v>986</v>
      </c>
      <c r="F399" s="5">
        <f t="shared" si="26"/>
        <v>972196</v>
      </c>
      <c r="G399" s="6">
        <f>SQRT(SUM($F$2:F399)/A399)</f>
        <v>1111.6941132827581</v>
      </c>
      <c r="H399" s="5">
        <f t="shared" si="27"/>
        <v>1</v>
      </c>
      <c r="I399" s="5">
        <f t="shared" si="28"/>
        <v>0</v>
      </c>
    </row>
    <row r="400" spans="1:9">
      <c r="A400">
        <v>399</v>
      </c>
      <c r="B400">
        <v>6</v>
      </c>
      <c r="C400">
        <v>5000</v>
      </c>
      <c r="D400">
        <v>4440</v>
      </c>
      <c r="E400" s="5">
        <f t="shared" si="25"/>
        <v>560</v>
      </c>
      <c r="F400" s="5">
        <f t="shared" si="26"/>
        <v>313600</v>
      </c>
      <c r="G400" s="6">
        <f>SQRT(SUM($F$2:F400)/A400)</f>
        <v>1110.6540250719488</v>
      </c>
      <c r="H400" s="5">
        <f t="shared" si="27"/>
        <v>1</v>
      </c>
      <c r="I400" s="5">
        <f t="shared" si="28"/>
        <v>0</v>
      </c>
    </row>
    <row r="401" spans="1:9">
      <c r="A401">
        <v>400</v>
      </c>
      <c r="B401">
        <v>8</v>
      </c>
      <c r="C401">
        <v>5000</v>
      </c>
      <c r="D401">
        <v>6462</v>
      </c>
      <c r="E401" s="5">
        <f t="shared" si="25"/>
        <v>1462</v>
      </c>
      <c r="F401" s="5">
        <f t="shared" si="26"/>
        <v>2137444</v>
      </c>
      <c r="G401" s="6">
        <f>SQRT(SUM($F$2:F401)/A401)</f>
        <v>1111.6708561890071</v>
      </c>
      <c r="H401" s="5">
        <f t="shared" si="27"/>
        <v>0</v>
      </c>
      <c r="I401" s="5">
        <f t="shared" si="28"/>
        <v>0</v>
      </c>
    </row>
    <row r="402" spans="1:9">
      <c r="A402">
        <v>401</v>
      </c>
      <c r="B402">
        <v>1</v>
      </c>
      <c r="C402">
        <v>6000</v>
      </c>
      <c r="D402">
        <v>846</v>
      </c>
      <c r="E402" s="5">
        <f t="shared" si="25"/>
        <v>5154</v>
      </c>
      <c r="F402" s="5">
        <f t="shared" si="26"/>
        <v>26563716</v>
      </c>
      <c r="G402" s="6">
        <f>SQRT(SUM($F$2:F402)/A402)</f>
        <v>1139.7253825509558</v>
      </c>
      <c r="H402" s="5">
        <f t="shared" si="27"/>
        <v>0</v>
      </c>
      <c r="I402" s="5">
        <f t="shared" si="28"/>
        <v>0</v>
      </c>
    </row>
    <row r="403" spans="1:9">
      <c r="A403">
        <v>402</v>
      </c>
      <c r="B403">
        <v>7</v>
      </c>
      <c r="C403">
        <v>6000</v>
      </c>
      <c r="D403">
        <v>4947</v>
      </c>
      <c r="E403" s="5">
        <f t="shared" si="25"/>
        <v>1053</v>
      </c>
      <c r="F403" s="5">
        <f t="shared" si="26"/>
        <v>1108809</v>
      </c>
      <c r="G403" s="6">
        <f>SQRT(SUM($F$2:F403)/A403)</f>
        <v>1139.5178368492143</v>
      </c>
      <c r="H403" s="5">
        <f t="shared" si="27"/>
        <v>1</v>
      </c>
      <c r="I403" s="5">
        <f t="shared" si="28"/>
        <v>0</v>
      </c>
    </row>
    <row r="404" spans="1:9">
      <c r="A404">
        <v>403</v>
      </c>
      <c r="B404">
        <v>3</v>
      </c>
      <c r="C404">
        <v>6000</v>
      </c>
      <c r="D404">
        <v>2774</v>
      </c>
      <c r="E404" s="5">
        <f t="shared" si="25"/>
        <v>3226</v>
      </c>
      <c r="F404" s="5">
        <f t="shared" si="26"/>
        <v>10407076</v>
      </c>
      <c r="G404" s="6">
        <f>SQRT(SUM($F$2:F404)/A404)</f>
        <v>1149.3923715691435</v>
      </c>
      <c r="H404" s="5">
        <f t="shared" si="27"/>
        <v>0</v>
      </c>
      <c r="I404" s="5">
        <f t="shared" si="28"/>
        <v>0</v>
      </c>
    </row>
    <row r="405" spans="1:9">
      <c r="A405">
        <v>404</v>
      </c>
      <c r="B405">
        <v>6</v>
      </c>
      <c r="C405">
        <v>6000</v>
      </c>
      <c r="D405">
        <v>5383</v>
      </c>
      <c r="E405" s="5">
        <f t="shared" si="25"/>
        <v>617</v>
      </c>
      <c r="F405" s="5">
        <f t="shared" si="26"/>
        <v>380689</v>
      </c>
      <c r="G405" s="6">
        <f>SQRT(SUM($F$2:F405)/A405)</f>
        <v>1148.3793218408643</v>
      </c>
      <c r="H405" s="5">
        <f t="shared" si="27"/>
        <v>1</v>
      </c>
      <c r="I405" s="5">
        <f t="shared" si="28"/>
        <v>0</v>
      </c>
    </row>
    <row r="406" spans="1:9">
      <c r="A406">
        <v>405</v>
      </c>
      <c r="B406">
        <v>3</v>
      </c>
      <c r="C406">
        <v>6000</v>
      </c>
      <c r="D406">
        <v>2852</v>
      </c>
      <c r="E406" s="5">
        <f t="shared" si="25"/>
        <v>3148</v>
      </c>
      <c r="F406" s="5">
        <f t="shared" si="26"/>
        <v>9909904</v>
      </c>
      <c r="G406" s="6">
        <f>SQRT(SUM($F$2:F406)/A406)</f>
        <v>1157.5783908073774</v>
      </c>
      <c r="H406" s="5">
        <f t="shared" si="27"/>
        <v>0</v>
      </c>
      <c r="I406" s="5">
        <f t="shared" si="28"/>
        <v>0</v>
      </c>
    </row>
    <row r="407" spans="1:9">
      <c r="A407">
        <v>406</v>
      </c>
      <c r="B407">
        <v>7</v>
      </c>
      <c r="C407">
        <v>6000</v>
      </c>
      <c r="D407">
        <v>5599</v>
      </c>
      <c r="E407" s="5">
        <f t="shared" si="25"/>
        <v>401</v>
      </c>
      <c r="F407" s="5">
        <f t="shared" si="26"/>
        <v>160801</v>
      </c>
      <c r="G407" s="6">
        <f>SQRT(SUM($F$2:F407)/A407)</f>
        <v>1156.3231944613326</v>
      </c>
      <c r="H407" s="5">
        <f t="shared" si="27"/>
        <v>1</v>
      </c>
      <c r="I407" s="5">
        <f t="shared" si="28"/>
        <v>1</v>
      </c>
    </row>
    <row r="408" spans="1:9">
      <c r="A408">
        <v>407</v>
      </c>
      <c r="B408">
        <v>4</v>
      </c>
      <c r="C408">
        <v>6000</v>
      </c>
      <c r="D408">
        <v>3631</v>
      </c>
      <c r="E408" s="5">
        <f t="shared" si="25"/>
        <v>2369</v>
      </c>
      <c r="F408" s="5">
        <f t="shared" si="26"/>
        <v>5612161</v>
      </c>
      <c r="G408" s="6">
        <f>SQRT(SUM($F$2:F408)/A408)</f>
        <v>1160.8562384671957</v>
      </c>
      <c r="H408" s="5">
        <f t="shared" si="27"/>
        <v>0</v>
      </c>
      <c r="I408" s="5">
        <f t="shared" si="28"/>
        <v>0</v>
      </c>
    </row>
    <row r="409" spans="1:9">
      <c r="A409">
        <v>408</v>
      </c>
      <c r="B409">
        <v>7</v>
      </c>
      <c r="C409">
        <v>6000</v>
      </c>
      <c r="D409">
        <v>5400</v>
      </c>
      <c r="E409" s="5">
        <f t="shared" si="25"/>
        <v>600</v>
      </c>
      <c r="F409" s="5">
        <f t="shared" si="26"/>
        <v>360000</v>
      </c>
      <c r="G409" s="6">
        <f>SQRT(SUM($F$2:F409)/A409)</f>
        <v>1159.813195954333</v>
      </c>
      <c r="H409" s="5">
        <f t="shared" si="27"/>
        <v>1</v>
      </c>
      <c r="I409" s="5">
        <f t="shared" si="28"/>
        <v>1</v>
      </c>
    </row>
    <row r="410" spans="1:9">
      <c r="A410">
        <v>409</v>
      </c>
      <c r="B410">
        <v>5</v>
      </c>
      <c r="C410">
        <v>6000</v>
      </c>
      <c r="D410">
        <v>4830</v>
      </c>
      <c r="E410" s="5">
        <f t="shared" si="25"/>
        <v>1170</v>
      </c>
      <c r="F410" s="5">
        <f t="shared" si="26"/>
        <v>1368900</v>
      </c>
      <c r="G410" s="6">
        <f>SQRT(SUM($F$2:F410)/A410)</f>
        <v>1159.8382116750654</v>
      </c>
      <c r="H410" s="5">
        <f t="shared" si="27"/>
        <v>1</v>
      </c>
      <c r="I410" s="5">
        <f t="shared" si="28"/>
        <v>0</v>
      </c>
    </row>
    <row r="411" spans="1:9">
      <c r="A411">
        <v>410</v>
      </c>
      <c r="B411">
        <v>6</v>
      </c>
      <c r="C411">
        <v>6000</v>
      </c>
      <c r="D411">
        <v>5505</v>
      </c>
      <c r="E411" s="5">
        <f t="shared" si="25"/>
        <v>495</v>
      </c>
      <c r="F411" s="5">
        <f t="shared" si="26"/>
        <v>245025</v>
      </c>
      <c r="G411" s="6">
        <f>SQRT(SUM($F$2:F411)/A411)</f>
        <v>1158.6808289665598</v>
      </c>
      <c r="H411" s="5">
        <f t="shared" si="27"/>
        <v>1</v>
      </c>
      <c r="I411" s="5">
        <f t="shared" si="28"/>
        <v>1</v>
      </c>
    </row>
    <row r="412" spans="1:9">
      <c r="A412">
        <v>411</v>
      </c>
      <c r="B412">
        <v>5</v>
      </c>
      <c r="C412">
        <v>6000</v>
      </c>
      <c r="D412">
        <v>3785</v>
      </c>
      <c r="E412" s="5">
        <f t="shared" si="25"/>
        <v>2215</v>
      </c>
      <c r="F412" s="5">
        <f t="shared" si="26"/>
        <v>4906225</v>
      </c>
      <c r="G412" s="6">
        <f>SQRT(SUM($F$2:F412)/A412)</f>
        <v>1162.4164601226148</v>
      </c>
      <c r="H412" s="5">
        <f t="shared" si="27"/>
        <v>0</v>
      </c>
      <c r="I412" s="5">
        <f t="shared" si="28"/>
        <v>0</v>
      </c>
    </row>
    <row r="413" spans="1:9">
      <c r="A413">
        <v>412</v>
      </c>
      <c r="B413">
        <v>8</v>
      </c>
      <c r="C413">
        <v>6000</v>
      </c>
      <c r="D413">
        <v>5912</v>
      </c>
      <c r="E413" s="5">
        <f t="shared" si="25"/>
        <v>88</v>
      </c>
      <c r="F413" s="5">
        <f t="shared" si="26"/>
        <v>7744</v>
      </c>
      <c r="G413" s="6">
        <f>SQRT(SUM($F$2:F413)/A413)</f>
        <v>1161.0129982213098</v>
      </c>
      <c r="H413" s="5">
        <f t="shared" si="27"/>
        <v>1</v>
      </c>
      <c r="I413" s="5">
        <f t="shared" si="28"/>
        <v>1</v>
      </c>
    </row>
    <row r="414" spans="1:9">
      <c r="A414">
        <v>413</v>
      </c>
      <c r="B414">
        <v>5</v>
      </c>
      <c r="C414">
        <v>6000</v>
      </c>
      <c r="D414">
        <v>4151</v>
      </c>
      <c r="E414" s="5">
        <f t="shared" si="25"/>
        <v>1849</v>
      </c>
      <c r="F414" s="5">
        <f t="shared" si="26"/>
        <v>3418801</v>
      </c>
      <c r="G414" s="6">
        <f>SQRT(SUM($F$2:F414)/A414)</f>
        <v>1163.1703857333084</v>
      </c>
      <c r="H414" s="5">
        <f t="shared" si="27"/>
        <v>0</v>
      </c>
      <c r="I414" s="5">
        <f t="shared" si="28"/>
        <v>0</v>
      </c>
    </row>
    <row r="415" spans="1:9">
      <c r="A415">
        <v>414</v>
      </c>
      <c r="B415">
        <v>8</v>
      </c>
      <c r="C415">
        <v>6000</v>
      </c>
      <c r="D415">
        <v>5688</v>
      </c>
      <c r="E415" s="5">
        <f t="shared" si="25"/>
        <v>312</v>
      </c>
      <c r="F415" s="5">
        <f t="shared" si="26"/>
        <v>97344</v>
      </c>
      <c r="G415" s="6">
        <f>SQRT(SUM($F$2:F415)/A415)</f>
        <v>1161.8659322161247</v>
      </c>
      <c r="H415" s="5">
        <f t="shared" si="27"/>
        <v>1</v>
      </c>
      <c r="I415" s="5">
        <f t="shared" si="28"/>
        <v>1</v>
      </c>
    </row>
    <row r="416" spans="1:9">
      <c r="A416">
        <v>415</v>
      </c>
      <c r="B416">
        <v>6</v>
      </c>
      <c r="C416">
        <v>6000</v>
      </c>
      <c r="D416">
        <v>4823</v>
      </c>
      <c r="E416" s="5">
        <f t="shared" si="25"/>
        <v>1177</v>
      </c>
      <c r="F416" s="5">
        <f t="shared" si="26"/>
        <v>1385329</v>
      </c>
      <c r="G416" s="6">
        <f>SQRT(SUM($F$2:F416)/A416)</f>
        <v>1161.9026367770225</v>
      </c>
      <c r="H416" s="5">
        <f t="shared" si="27"/>
        <v>1</v>
      </c>
      <c r="I416" s="5">
        <f t="shared" si="28"/>
        <v>0</v>
      </c>
    </row>
    <row r="417" spans="1:9">
      <c r="A417">
        <v>416</v>
      </c>
      <c r="B417">
        <v>7</v>
      </c>
      <c r="C417">
        <v>6000</v>
      </c>
      <c r="D417">
        <v>5460</v>
      </c>
      <c r="E417" s="5">
        <f t="shared" si="25"/>
        <v>540</v>
      </c>
      <c r="F417" s="5">
        <f t="shared" si="26"/>
        <v>291600</v>
      </c>
      <c r="G417" s="6">
        <f>SQRT(SUM($F$2:F417)/A417)</f>
        <v>1160.8072466789254</v>
      </c>
      <c r="H417" s="5">
        <f t="shared" si="27"/>
        <v>1</v>
      </c>
      <c r="I417" s="5">
        <f t="shared" si="28"/>
        <v>1</v>
      </c>
    </row>
    <row r="418" spans="1:9">
      <c r="A418">
        <v>417</v>
      </c>
      <c r="B418">
        <v>7</v>
      </c>
      <c r="C418">
        <v>6000</v>
      </c>
      <c r="D418">
        <v>6205</v>
      </c>
      <c r="E418" s="5">
        <f t="shared" si="25"/>
        <v>205</v>
      </c>
      <c r="F418" s="5">
        <f t="shared" si="26"/>
        <v>42025</v>
      </c>
      <c r="G418" s="6">
        <f>SQRT(SUM($F$2:F418)/A418)</f>
        <v>1159.4580165259677</v>
      </c>
      <c r="H418" s="5">
        <f t="shared" si="27"/>
        <v>1</v>
      </c>
      <c r="I418" s="5">
        <f t="shared" si="28"/>
        <v>1</v>
      </c>
    </row>
    <row r="419" spans="1:9">
      <c r="A419">
        <v>418</v>
      </c>
      <c r="B419">
        <v>6</v>
      </c>
      <c r="C419">
        <v>6000</v>
      </c>
      <c r="D419">
        <v>5199</v>
      </c>
      <c r="E419" s="5">
        <f t="shared" si="25"/>
        <v>801</v>
      </c>
      <c r="F419" s="5">
        <f t="shared" si="26"/>
        <v>641601</v>
      </c>
      <c r="G419" s="6">
        <f>SQRT(SUM($F$2:F419)/A419)</f>
        <v>1158.732795508766</v>
      </c>
      <c r="H419" s="5">
        <f t="shared" si="27"/>
        <v>1</v>
      </c>
      <c r="I419" s="5">
        <f t="shared" si="28"/>
        <v>0</v>
      </c>
    </row>
    <row r="420" spans="1:9">
      <c r="A420">
        <v>419</v>
      </c>
      <c r="B420">
        <v>7</v>
      </c>
      <c r="C420">
        <v>6000</v>
      </c>
      <c r="D420">
        <v>5809</v>
      </c>
      <c r="E420" s="5">
        <f t="shared" si="25"/>
        <v>191</v>
      </c>
      <c r="F420" s="5">
        <f t="shared" si="26"/>
        <v>36481</v>
      </c>
      <c r="G420" s="6">
        <f>SQRT(SUM($F$2:F420)/A420)</f>
        <v>1157.3868476165605</v>
      </c>
      <c r="H420" s="5">
        <f t="shared" si="27"/>
        <v>1</v>
      </c>
      <c r="I420" s="5">
        <f t="shared" si="28"/>
        <v>1</v>
      </c>
    </row>
    <row r="421" spans="1:9">
      <c r="A421">
        <v>420</v>
      </c>
      <c r="B421">
        <v>7</v>
      </c>
      <c r="C421">
        <v>6000</v>
      </c>
      <c r="D421">
        <v>5649</v>
      </c>
      <c r="E421" s="5">
        <f t="shared" si="25"/>
        <v>351</v>
      </c>
      <c r="F421" s="5">
        <f t="shared" si="26"/>
        <v>123201</v>
      </c>
      <c r="G421" s="6">
        <f>SQRT(SUM($F$2:F421)/A421)</f>
        <v>1156.1350524587556</v>
      </c>
      <c r="H421" s="5">
        <f t="shared" si="27"/>
        <v>1</v>
      </c>
      <c r="I421" s="5">
        <f t="shared" si="28"/>
        <v>1</v>
      </c>
    </row>
    <row r="422" spans="1:9">
      <c r="A422">
        <v>421</v>
      </c>
      <c r="B422">
        <v>7</v>
      </c>
      <c r="C422">
        <v>6000</v>
      </c>
      <c r="D422">
        <v>4971</v>
      </c>
      <c r="E422" s="5">
        <f t="shared" si="25"/>
        <v>1029</v>
      </c>
      <c r="F422" s="5">
        <f t="shared" si="26"/>
        <v>1058841</v>
      </c>
      <c r="G422" s="6">
        <f>SQRT(SUM($F$2:F422)/A422)</f>
        <v>1155.8496376251107</v>
      </c>
      <c r="H422" s="5">
        <f t="shared" si="27"/>
        <v>1</v>
      </c>
      <c r="I422" s="5">
        <f t="shared" si="28"/>
        <v>0</v>
      </c>
    </row>
    <row r="423" spans="1:9">
      <c r="A423">
        <v>422</v>
      </c>
      <c r="B423">
        <v>8</v>
      </c>
      <c r="C423">
        <v>6000</v>
      </c>
      <c r="D423">
        <v>5350</v>
      </c>
      <c r="E423" s="5">
        <f t="shared" si="25"/>
        <v>650</v>
      </c>
      <c r="F423" s="5">
        <f t="shared" si="26"/>
        <v>422500</v>
      </c>
      <c r="G423" s="6">
        <f>SQRT(SUM($F$2:F423)/A423)</f>
        <v>1154.9128626780234</v>
      </c>
      <c r="H423" s="5">
        <f t="shared" si="27"/>
        <v>1</v>
      </c>
      <c r="I423" s="5">
        <f t="shared" si="28"/>
        <v>0</v>
      </c>
    </row>
    <row r="424" spans="1:9">
      <c r="A424">
        <v>423</v>
      </c>
      <c r="B424">
        <v>8</v>
      </c>
      <c r="C424">
        <v>6000</v>
      </c>
      <c r="D424">
        <v>4450</v>
      </c>
      <c r="E424" s="5">
        <f t="shared" si="25"/>
        <v>1550</v>
      </c>
      <c r="F424" s="5">
        <f t="shared" si="26"/>
        <v>2402500</v>
      </c>
      <c r="G424" s="6">
        <f>SQRT(SUM($F$2:F424)/A424)</f>
        <v>1156.006116698338</v>
      </c>
      <c r="H424" s="5">
        <f t="shared" si="27"/>
        <v>0</v>
      </c>
      <c r="I424" s="5">
        <f t="shared" si="28"/>
        <v>0</v>
      </c>
    </row>
    <row r="425" spans="1:9">
      <c r="A425">
        <v>424</v>
      </c>
      <c r="B425">
        <v>9</v>
      </c>
      <c r="C425">
        <v>6000</v>
      </c>
      <c r="D425">
        <v>1641</v>
      </c>
      <c r="E425" s="5">
        <f t="shared" si="25"/>
        <v>4359</v>
      </c>
      <c r="F425" s="5">
        <f t="shared" si="26"/>
        <v>19000881</v>
      </c>
      <c r="G425" s="6">
        <f>SQRT(SUM($F$2:F425)/A425)</f>
        <v>1173.887461056815</v>
      </c>
      <c r="H425" s="5">
        <f t="shared" si="27"/>
        <v>0</v>
      </c>
      <c r="I425" s="5">
        <f t="shared" si="28"/>
        <v>0</v>
      </c>
    </row>
    <row r="426" spans="1:9">
      <c r="A426">
        <v>425</v>
      </c>
      <c r="B426">
        <v>13</v>
      </c>
      <c r="C426">
        <v>6000</v>
      </c>
      <c r="D426">
        <v>2506</v>
      </c>
      <c r="E426" s="5">
        <f t="shared" si="25"/>
        <v>3494</v>
      </c>
      <c r="F426" s="5">
        <f t="shared" si="26"/>
        <v>12208036</v>
      </c>
      <c r="G426" s="6">
        <f>SQRT(SUM($F$2:F426)/A426)</f>
        <v>1184.691597495513</v>
      </c>
      <c r="H426" s="5">
        <f t="shared" si="27"/>
        <v>0</v>
      </c>
      <c r="I426" s="5">
        <f t="shared" si="28"/>
        <v>0</v>
      </c>
    </row>
    <row r="427" spans="1:9">
      <c r="A427">
        <v>426</v>
      </c>
      <c r="B427">
        <v>13</v>
      </c>
      <c r="C427">
        <v>6000</v>
      </c>
      <c r="D427">
        <v>7658</v>
      </c>
      <c r="E427" s="5">
        <f t="shared" si="25"/>
        <v>1658</v>
      </c>
      <c r="F427" s="5">
        <f t="shared" si="26"/>
        <v>2748964</v>
      </c>
      <c r="G427" s="6">
        <f>SQRT(SUM($F$2:F427)/A427)</f>
        <v>1186.0238450523934</v>
      </c>
      <c r="H427" s="5">
        <f t="shared" si="27"/>
        <v>0</v>
      </c>
      <c r="I427" s="5">
        <f t="shared" si="28"/>
        <v>0</v>
      </c>
    </row>
    <row r="428" spans="1:9">
      <c r="A428">
        <v>427</v>
      </c>
      <c r="B428">
        <v>7</v>
      </c>
      <c r="C428">
        <v>6000</v>
      </c>
      <c r="D428">
        <v>4420</v>
      </c>
      <c r="E428" s="5">
        <f t="shared" si="25"/>
        <v>1580</v>
      </c>
      <c r="F428" s="5">
        <f t="shared" si="26"/>
        <v>2496400</v>
      </c>
      <c r="G428" s="6">
        <f>SQRT(SUM($F$2:F428)/A428)</f>
        <v>1187.0992640733402</v>
      </c>
      <c r="H428" s="5">
        <f t="shared" si="27"/>
        <v>0</v>
      </c>
      <c r="I428" s="5">
        <f t="shared" si="28"/>
        <v>0</v>
      </c>
    </row>
    <row r="429" spans="1:9">
      <c r="A429">
        <v>428</v>
      </c>
      <c r="B429">
        <v>11</v>
      </c>
      <c r="C429">
        <v>6000</v>
      </c>
      <c r="D429">
        <v>7213</v>
      </c>
      <c r="E429" s="5">
        <f t="shared" si="25"/>
        <v>1213</v>
      </c>
      <c r="F429" s="5">
        <f t="shared" si="26"/>
        <v>1471369</v>
      </c>
      <c r="G429" s="6">
        <f>SQRT(SUM($F$2:F429)/A429)</f>
        <v>1187.1604384168368</v>
      </c>
      <c r="H429" s="5">
        <f t="shared" si="27"/>
        <v>0</v>
      </c>
      <c r="I429" s="5">
        <f t="shared" si="28"/>
        <v>0</v>
      </c>
    </row>
    <row r="430" spans="1:9">
      <c r="A430">
        <v>429</v>
      </c>
      <c r="B430">
        <v>8</v>
      </c>
      <c r="C430">
        <v>6000</v>
      </c>
      <c r="D430">
        <v>4821</v>
      </c>
      <c r="E430" s="5">
        <f t="shared" si="25"/>
        <v>1179</v>
      </c>
      <c r="F430" s="5">
        <f t="shared" si="26"/>
        <v>1390041</v>
      </c>
      <c r="G430" s="6">
        <f>SQRT(SUM($F$2:F430)/A430)</f>
        <v>1187.1414816423094</v>
      </c>
      <c r="H430" s="5">
        <f t="shared" si="27"/>
        <v>1</v>
      </c>
      <c r="I430" s="5">
        <f t="shared" si="28"/>
        <v>0</v>
      </c>
    </row>
    <row r="431" spans="1:9">
      <c r="A431">
        <v>430</v>
      </c>
      <c r="B431">
        <v>11</v>
      </c>
      <c r="C431">
        <v>6000</v>
      </c>
      <c r="D431">
        <v>7150</v>
      </c>
      <c r="E431" s="5">
        <f t="shared" si="25"/>
        <v>1150</v>
      </c>
      <c r="F431" s="5">
        <f t="shared" si="26"/>
        <v>1322500</v>
      </c>
      <c r="G431" s="6">
        <f>SQRT(SUM($F$2:F431)/A431)</f>
        <v>1187.0564542520272</v>
      </c>
      <c r="H431" s="5">
        <f t="shared" si="27"/>
        <v>1</v>
      </c>
      <c r="I431" s="5">
        <f t="shared" si="28"/>
        <v>0</v>
      </c>
    </row>
    <row r="432" spans="1:9">
      <c r="A432">
        <v>431</v>
      </c>
      <c r="B432">
        <v>8</v>
      </c>
      <c r="C432">
        <v>6000</v>
      </c>
      <c r="D432">
        <v>4719</v>
      </c>
      <c r="E432" s="5">
        <f t="shared" si="25"/>
        <v>1281</v>
      </c>
      <c r="F432" s="5">
        <f t="shared" si="26"/>
        <v>1640961</v>
      </c>
      <c r="G432" s="6">
        <f>SQRT(SUM($F$2:F432)/A432)</f>
        <v>1187.2830240167377</v>
      </c>
      <c r="H432" s="5">
        <f t="shared" si="27"/>
        <v>0</v>
      </c>
      <c r="I432" s="5">
        <f t="shared" si="28"/>
        <v>0</v>
      </c>
    </row>
    <row r="433" spans="1:9">
      <c r="A433">
        <v>432</v>
      </c>
      <c r="B433">
        <v>11</v>
      </c>
      <c r="C433">
        <v>6000</v>
      </c>
      <c r="D433">
        <v>6620</v>
      </c>
      <c r="E433" s="5">
        <f t="shared" si="25"/>
        <v>620</v>
      </c>
      <c r="F433" s="5">
        <f t="shared" si="26"/>
        <v>384400</v>
      </c>
      <c r="G433" s="6">
        <f>SQRT(SUM($F$2:F433)/A433)</f>
        <v>1186.2831601734515</v>
      </c>
      <c r="H433" s="5">
        <f t="shared" si="27"/>
        <v>1</v>
      </c>
      <c r="I433" s="5">
        <f t="shared" si="28"/>
        <v>0</v>
      </c>
    </row>
    <row r="434" spans="1:9">
      <c r="A434">
        <v>433</v>
      </c>
      <c r="B434">
        <v>9</v>
      </c>
      <c r="C434">
        <v>6000</v>
      </c>
      <c r="D434">
        <v>5722</v>
      </c>
      <c r="E434" s="5">
        <f t="shared" si="25"/>
        <v>278</v>
      </c>
      <c r="F434" s="5">
        <f t="shared" si="26"/>
        <v>77284</v>
      </c>
      <c r="G434" s="6">
        <f>SQRT(SUM($F$2:F434)/A434)</f>
        <v>1184.9878396585207</v>
      </c>
      <c r="H434" s="5">
        <f t="shared" si="27"/>
        <v>1</v>
      </c>
      <c r="I434" s="5">
        <f t="shared" si="28"/>
        <v>1</v>
      </c>
    </row>
    <row r="435" spans="1:9">
      <c r="A435">
        <v>434</v>
      </c>
      <c r="B435">
        <v>10</v>
      </c>
      <c r="C435">
        <v>6000</v>
      </c>
      <c r="D435">
        <v>5847</v>
      </c>
      <c r="E435" s="5">
        <f t="shared" si="25"/>
        <v>153</v>
      </c>
      <c r="F435" s="5">
        <f t="shared" si="26"/>
        <v>23409</v>
      </c>
      <c r="G435" s="6">
        <f>SQRT(SUM($F$2:F435)/A435)</f>
        <v>1183.6446438256471</v>
      </c>
      <c r="H435" s="5">
        <f t="shared" si="27"/>
        <v>1</v>
      </c>
      <c r="I435" s="5">
        <f t="shared" si="28"/>
        <v>1</v>
      </c>
    </row>
    <row r="436" spans="1:9">
      <c r="A436">
        <v>435</v>
      </c>
      <c r="B436">
        <v>10</v>
      </c>
      <c r="C436">
        <v>6000</v>
      </c>
      <c r="D436">
        <v>6744</v>
      </c>
      <c r="E436" s="5">
        <f t="shared" si="25"/>
        <v>744</v>
      </c>
      <c r="F436" s="5">
        <f t="shared" si="26"/>
        <v>553536</v>
      </c>
      <c r="G436" s="6">
        <f>SQRT(SUM($F$2:F436)/A436)</f>
        <v>1182.8213796224493</v>
      </c>
      <c r="H436" s="5">
        <f t="shared" si="27"/>
        <v>1</v>
      </c>
      <c r="I436" s="5">
        <f t="shared" si="28"/>
        <v>0</v>
      </c>
    </row>
    <row r="437" spans="1:9">
      <c r="A437">
        <v>436</v>
      </c>
      <c r="B437">
        <v>8</v>
      </c>
      <c r="C437">
        <v>6000</v>
      </c>
      <c r="D437">
        <v>5837</v>
      </c>
      <c r="E437" s="5">
        <f t="shared" si="25"/>
        <v>163</v>
      </c>
      <c r="F437" s="5">
        <f t="shared" si="26"/>
        <v>26569</v>
      </c>
      <c r="G437" s="6">
        <f>SQRT(SUM($F$2:F437)/A437)</f>
        <v>1181.4899433505695</v>
      </c>
      <c r="H437" s="5">
        <f t="shared" si="27"/>
        <v>1</v>
      </c>
      <c r="I437" s="5">
        <f t="shared" si="28"/>
        <v>1</v>
      </c>
    </row>
    <row r="438" spans="1:9">
      <c r="A438">
        <v>437</v>
      </c>
      <c r="B438">
        <v>9</v>
      </c>
      <c r="C438">
        <v>6000</v>
      </c>
      <c r="D438">
        <v>6300</v>
      </c>
      <c r="E438" s="5">
        <f t="shared" si="25"/>
        <v>300</v>
      </c>
      <c r="F438" s="5">
        <f t="shared" si="26"/>
        <v>90000</v>
      </c>
      <c r="G438" s="6">
        <f>SQRT(SUM($F$2:F438)/A438)</f>
        <v>1180.2246033770334</v>
      </c>
      <c r="H438" s="5">
        <f t="shared" si="27"/>
        <v>1</v>
      </c>
      <c r="I438" s="5">
        <f t="shared" si="28"/>
        <v>1</v>
      </c>
    </row>
    <row r="439" spans="1:9">
      <c r="A439">
        <v>438</v>
      </c>
      <c r="B439">
        <v>9</v>
      </c>
      <c r="C439">
        <v>6000</v>
      </c>
      <c r="D439">
        <v>6261</v>
      </c>
      <c r="E439" s="5">
        <f t="shared" si="25"/>
        <v>261</v>
      </c>
      <c r="F439" s="5">
        <f t="shared" si="26"/>
        <v>68121</v>
      </c>
      <c r="G439" s="6">
        <f>SQRT(SUM($F$2:F439)/A439)</f>
        <v>1178.9425075350618</v>
      </c>
      <c r="H439" s="5">
        <f t="shared" si="27"/>
        <v>1</v>
      </c>
      <c r="I439" s="5">
        <f t="shared" si="28"/>
        <v>1</v>
      </c>
    </row>
    <row r="440" spans="1:9">
      <c r="A440">
        <v>439</v>
      </c>
      <c r="B440">
        <v>9</v>
      </c>
      <c r="C440">
        <v>6000</v>
      </c>
      <c r="D440">
        <v>5487</v>
      </c>
      <c r="E440" s="5">
        <f t="shared" si="25"/>
        <v>513</v>
      </c>
      <c r="F440" s="5">
        <f t="shared" si="26"/>
        <v>263169</v>
      </c>
      <c r="G440" s="6">
        <f>SQRT(SUM($F$2:F440)/A440)</f>
        <v>1177.8534876073479</v>
      </c>
      <c r="H440" s="5">
        <f t="shared" si="27"/>
        <v>1</v>
      </c>
      <c r="I440" s="5">
        <f t="shared" si="28"/>
        <v>1</v>
      </c>
    </row>
    <row r="441" spans="1:9">
      <c r="A441">
        <v>440</v>
      </c>
      <c r="B441">
        <v>10</v>
      </c>
      <c r="C441">
        <v>6000</v>
      </c>
      <c r="D441">
        <v>6375</v>
      </c>
      <c r="E441" s="5">
        <f t="shared" si="25"/>
        <v>375</v>
      </c>
      <c r="F441" s="5">
        <f t="shared" si="26"/>
        <v>140625</v>
      </c>
      <c r="G441" s="6">
        <f>SQRT(SUM($F$2:F441)/A441)</f>
        <v>1176.6500744602333</v>
      </c>
      <c r="H441" s="5">
        <f t="shared" si="27"/>
        <v>1</v>
      </c>
      <c r="I441" s="5">
        <f t="shared" si="28"/>
        <v>1</v>
      </c>
    </row>
    <row r="442" spans="1:9">
      <c r="A442">
        <v>441</v>
      </c>
      <c r="B442">
        <v>9</v>
      </c>
      <c r="C442">
        <v>6000</v>
      </c>
      <c r="D442">
        <v>5975</v>
      </c>
      <c r="E442" s="5">
        <f t="shared" si="25"/>
        <v>25</v>
      </c>
      <c r="F442" s="5">
        <f t="shared" si="26"/>
        <v>625</v>
      </c>
      <c r="G442" s="6">
        <f>SQRT(SUM($F$2:F442)/A442)</f>
        <v>1175.3158498628254</v>
      </c>
      <c r="H442" s="5">
        <f t="shared" si="27"/>
        <v>1</v>
      </c>
      <c r="I442" s="5">
        <f t="shared" si="28"/>
        <v>1</v>
      </c>
    </row>
    <row r="443" spans="1:9">
      <c r="A443">
        <v>442</v>
      </c>
      <c r="B443">
        <v>9</v>
      </c>
      <c r="C443">
        <v>6000</v>
      </c>
      <c r="D443">
        <v>6780</v>
      </c>
      <c r="E443" s="5">
        <f t="shared" si="25"/>
        <v>780</v>
      </c>
      <c r="F443" s="5">
        <f t="shared" si="26"/>
        <v>608400</v>
      </c>
      <c r="G443" s="6">
        <f>SQRT(SUM($F$2:F443)/A443)</f>
        <v>1174.5716461911547</v>
      </c>
      <c r="H443" s="5">
        <f t="shared" si="27"/>
        <v>1</v>
      </c>
      <c r="I443" s="5">
        <f t="shared" si="28"/>
        <v>0</v>
      </c>
    </row>
    <row r="444" spans="1:9">
      <c r="A444">
        <v>443</v>
      </c>
      <c r="B444">
        <v>8</v>
      </c>
      <c r="C444">
        <v>6000</v>
      </c>
      <c r="D444">
        <v>6101</v>
      </c>
      <c r="E444" s="5">
        <f t="shared" si="25"/>
        <v>101</v>
      </c>
      <c r="F444" s="5">
        <f t="shared" si="26"/>
        <v>10201</v>
      </c>
      <c r="G444" s="6">
        <f>SQRT(SUM($F$2:F444)/A444)</f>
        <v>1173.2550089503509</v>
      </c>
      <c r="H444" s="5">
        <f t="shared" si="27"/>
        <v>1</v>
      </c>
      <c r="I444" s="5">
        <f t="shared" si="28"/>
        <v>1</v>
      </c>
    </row>
    <row r="445" spans="1:9">
      <c r="A445">
        <v>444</v>
      </c>
      <c r="B445">
        <v>9</v>
      </c>
      <c r="C445">
        <v>6000</v>
      </c>
      <c r="D445">
        <v>7159</v>
      </c>
      <c r="E445" s="5">
        <f t="shared" si="25"/>
        <v>1159</v>
      </c>
      <c r="F445" s="5">
        <f t="shared" si="26"/>
        <v>1343281</v>
      </c>
      <c r="G445" s="6">
        <f>SQRT(SUM($F$2:F445)/A445)</f>
        <v>1173.2230976830183</v>
      </c>
      <c r="H445" s="5">
        <f t="shared" si="27"/>
        <v>1</v>
      </c>
      <c r="I445" s="5">
        <f t="shared" si="28"/>
        <v>0</v>
      </c>
    </row>
    <row r="446" spans="1:9">
      <c r="A446">
        <v>445</v>
      </c>
      <c r="B446">
        <v>7</v>
      </c>
      <c r="C446">
        <v>6000</v>
      </c>
      <c r="D446">
        <v>5213</v>
      </c>
      <c r="E446" s="5">
        <f t="shared" si="25"/>
        <v>787</v>
      </c>
      <c r="F446" s="5">
        <f t="shared" si="26"/>
        <v>619369</v>
      </c>
      <c r="G446" s="6">
        <f>SQRT(SUM($F$2:F446)/A446)</f>
        <v>1172.4978148562566</v>
      </c>
      <c r="H446" s="5">
        <f t="shared" si="27"/>
        <v>1</v>
      </c>
      <c r="I446" s="5">
        <f t="shared" si="28"/>
        <v>0</v>
      </c>
    </row>
    <row r="447" spans="1:9">
      <c r="A447">
        <v>446</v>
      </c>
      <c r="B447">
        <v>10</v>
      </c>
      <c r="C447">
        <v>6000</v>
      </c>
      <c r="D447">
        <v>7947</v>
      </c>
      <c r="E447" s="5">
        <f t="shared" si="25"/>
        <v>1947</v>
      </c>
      <c r="F447" s="5">
        <f t="shared" si="26"/>
        <v>3790809</v>
      </c>
      <c r="G447" s="6">
        <f>SQRT(SUM($F$2:F447)/A447)</f>
        <v>1174.8056417825569</v>
      </c>
      <c r="H447" s="5">
        <f t="shared" si="27"/>
        <v>0</v>
      </c>
      <c r="I447" s="5">
        <f t="shared" si="28"/>
        <v>0</v>
      </c>
    </row>
    <row r="448" spans="1:9">
      <c r="A448">
        <v>447</v>
      </c>
      <c r="B448">
        <v>6</v>
      </c>
      <c r="C448">
        <v>6000</v>
      </c>
      <c r="D448">
        <v>5362</v>
      </c>
      <c r="E448" s="5">
        <f t="shared" si="25"/>
        <v>638</v>
      </c>
      <c r="F448" s="5">
        <f t="shared" si="26"/>
        <v>407044</v>
      </c>
      <c r="G448" s="6">
        <f>SQRT(SUM($F$2:F448)/A448)</f>
        <v>1173.8787348428843</v>
      </c>
      <c r="H448" s="5">
        <f t="shared" si="27"/>
        <v>1</v>
      </c>
      <c r="I448" s="5">
        <f t="shared" si="28"/>
        <v>0</v>
      </c>
    </row>
    <row r="449" spans="1:9">
      <c r="A449">
        <v>448</v>
      </c>
      <c r="B449">
        <v>9</v>
      </c>
      <c r="C449">
        <v>6000</v>
      </c>
      <c r="D449">
        <v>5837</v>
      </c>
      <c r="E449" s="5">
        <f t="shared" si="25"/>
        <v>163</v>
      </c>
      <c r="F449" s="5">
        <f t="shared" si="26"/>
        <v>26569</v>
      </c>
      <c r="G449" s="6">
        <f>SQRT(SUM($F$2:F449)/A449)</f>
        <v>1172.5931589932875</v>
      </c>
      <c r="H449" s="5">
        <f t="shared" si="27"/>
        <v>1</v>
      </c>
      <c r="I449" s="5">
        <f t="shared" si="28"/>
        <v>1</v>
      </c>
    </row>
    <row r="450" spans="1:9">
      <c r="A450">
        <v>449</v>
      </c>
      <c r="B450">
        <v>9</v>
      </c>
      <c r="C450">
        <v>6000</v>
      </c>
      <c r="D450">
        <v>5835</v>
      </c>
      <c r="E450" s="5">
        <f t="shared" si="25"/>
        <v>165</v>
      </c>
      <c r="F450" s="5">
        <f t="shared" si="26"/>
        <v>27225</v>
      </c>
      <c r="G450" s="6">
        <f>SQRT(SUM($F$2:F450)/A450)</f>
        <v>1171.3125316373087</v>
      </c>
      <c r="H450" s="5">
        <f t="shared" si="27"/>
        <v>1</v>
      </c>
      <c r="I450" s="5">
        <f t="shared" si="28"/>
        <v>1</v>
      </c>
    </row>
    <row r="451" spans="1:9">
      <c r="A451">
        <v>450</v>
      </c>
      <c r="B451">
        <v>9</v>
      </c>
      <c r="C451">
        <v>6000</v>
      </c>
      <c r="D451">
        <v>5622</v>
      </c>
      <c r="E451" s="5">
        <f t="shared" ref="E451:E514" si="29">ABS(C451-D451)</f>
        <v>378</v>
      </c>
      <c r="F451" s="5">
        <f t="shared" ref="F451:F514" si="30">POWER(E451,2)</f>
        <v>142884</v>
      </c>
      <c r="G451" s="6">
        <f>SQRT(SUM($F$2:F451)/A451)</f>
        <v>1170.1460326718959</v>
      </c>
      <c r="H451" s="5">
        <f t="shared" ref="H451:H514" si="31">IF(ABS(E451)/C451&gt;0.2,0,1)</f>
        <v>1</v>
      </c>
      <c r="I451" s="5">
        <f t="shared" ref="I451:I514" si="32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6128</v>
      </c>
      <c r="E452" s="5">
        <f t="shared" si="29"/>
        <v>128</v>
      </c>
      <c r="F452" s="5">
        <f t="shared" si="30"/>
        <v>16384</v>
      </c>
      <c r="G452" s="6">
        <f>SQRT(SUM($F$2:F452)/A452)</f>
        <v>1168.8635733972881</v>
      </c>
      <c r="H452" s="5">
        <f t="shared" si="31"/>
        <v>1</v>
      </c>
      <c r="I452" s="5">
        <f t="shared" si="32"/>
        <v>1</v>
      </c>
    </row>
    <row r="453" spans="1:9">
      <c r="A453">
        <v>452</v>
      </c>
      <c r="B453">
        <v>8</v>
      </c>
      <c r="C453">
        <v>6000</v>
      </c>
      <c r="D453">
        <v>5211</v>
      </c>
      <c r="E453" s="5">
        <f t="shared" si="29"/>
        <v>789</v>
      </c>
      <c r="F453" s="5">
        <f t="shared" si="30"/>
        <v>622521</v>
      </c>
      <c r="G453" s="6">
        <f>SQRT(SUM($F$2:F453)/A453)</f>
        <v>1168.1595150726921</v>
      </c>
      <c r="H453" s="5">
        <f t="shared" si="31"/>
        <v>1</v>
      </c>
      <c r="I453" s="5">
        <f t="shared" si="32"/>
        <v>0</v>
      </c>
    </row>
    <row r="454" spans="1:9">
      <c r="A454">
        <v>453</v>
      </c>
      <c r="B454">
        <v>10</v>
      </c>
      <c r="C454">
        <v>6000</v>
      </c>
      <c r="D454">
        <v>6681</v>
      </c>
      <c r="E454" s="5">
        <f t="shared" si="29"/>
        <v>681</v>
      </c>
      <c r="F454" s="5">
        <f t="shared" si="30"/>
        <v>463761</v>
      </c>
      <c r="G454" s="6">
        <f>SQRT(SUM($F$2:F454)/A454)</f>
        <v>1167.3080368866363</v>
      </c>
      <c r="H454" s="5">
        <f t="shared" si="31"/>
        <v>1</v>
      </c>
      <c r="I454" s="5">
        <f t="shared" si="32"/>
        <v>0</v>
      </c>
    </row>
    <row r="455" spans="1:9">
      <c r="A455">
        <v>454</v>
      </c>
      <c r="B455">
        <v>8</v>
      </c>
      <c r="C455">
        <v>6000</v>
      </c>
      <c r="D455">
        <v>5330</v>
      </c>
      <c r="E455" s="5">
        <f t="shared" si="29"/>
        <v>670</v>
      </c>
      <c r="F455" s="5">
        <f t="shared" si="30"/>
        <v>448900</v>
      </c>
      <c r="G455" s="6">
        <f>SQRT(SUM($F$2:F455)/A455)</f>
        <v>1166.4456610473596</v>
      </c>
      <c r="H455" s="5">
        <f t="shared" si="31"/>
        <v>1</v>
      </c>
      <c r="I455" s="5">
        <f t="shared" si="32"/>
        <v>0</v>
      </c>
    </row>
    <row r="456" spans="1:9">
      <c r="A456">
        <v>455</v>
      </c>
      <c r="B456">
        <v>10</v>
      </c>
      <c r="C456">
        <v>6000</v>
      </c>
      <c r="D456">
        <v>6341</v>
      </c>
      <c r="E456" s="5">
        <f t="shared" si="29"/>
        <v>341</v>
      </c>
      <c r="F456" s="5">
        <f t="shared" si="30"/>
        <v>116281</v>
      </c>
      <c r="G456" s="6">
        <f>SQRT(SUM($F$2:F456)/A456)</f>
        <v>1165.2728105799615</v>
      </c>
      <c r="H456" s="5">
        <f t="shared" si="31"/>
        <v>1</v>
      </c>
      <c r="I456" s="5">
        <f t="shared" si="32"/>
        <v>1</v>
      </c>
    </row>
    <row r="457" spans="1:9">
      <c r="A457">
        <v>456</v>
      </c>
      <c r="B457">
        <v>8</v>
      </c>
      <c r="C457">
        <v>6000</v>
      </c>
      <c r="D457">
        <v>5111</v>
      </c>
      <c r="E457" s="5">
        <f t="shared" si="29"/>
        <v>889</v>
      </c>
      <c r="F457" s="5">
        <f t="shared" si="30"/>
        <v>790321</v>
      </c>
      <c r="G457" s="6">
        <f>SQRT(SUM($F$2:F457)/A457)</f>
        <v>1164.7386481185608</v>
      </c>
      <c r="H457" s="5">
        <f t="shared" si="31"/>
        <v>1</v>
      </c>
      <c r="I457" s="5">
        <f t="shared" si="32"/>
        <v>0</v>
      </c>
    </row>
    <row r="458" spans="1:9">
      <c r="A458">
        <v>457</v>
      </c>
      <c r="B458">
        <v>10</v>
      </c>
      <c r="C458">
        <v>6000</v>
      </c>
      <c r="D458">
        <v>6281</v>
      </c>
      <c r="E458" s="5">
        <f t="shared" si="29"/>
        <v>281</v>
      </c>
      <c r="F458" s="5">
        <f t="shared" si="30"/>
        <v>78961</v>
      </c>
      <c r="G458" s="6">
        <f>SQRT(SUM($F$2:F458)/A458)</f>
        <v>1163.5378696799821</v>
      </c>
      <c r="H458" s="5">
        <f t="shared" si="31"/>
        <v>1</v>
      </c>
      <c r="I458" s="5">
        <f t="shared" si="32"/>
        <v>1</v>
      </c>
    </row>
    <row r="459" spans="1:9">
      <c r="A459">
        <v>458</v>
      </c>
      <c r="B459">
        <v>9</v>
      </c>
      <c r="C459">
        <v>6000</v>
      </c>
      <c r="D459">
        <v>5844</v>
      </c>
      <c r="E459" s="5">
        <f t="shared" si="29"/>
        <v>156</v>
      </c>
      <c r="F459" s="5">
        <f t="shared" si="30"/>
        <v>24336</v>
      </c>
      <c r="G459" s="6">
        <f>SQRT(SUM($F$2:F459)/A459)</f>
        <v>1162.2897959928048</v>
      </c>
      <c r="H459" s="5">
        <f t="shared" si="31"/>
        <v>1</v>
      </c>
      <c r="I459" s="5">
        <f t="shared" si="32"/>
        <v>1</v>
      </c>
    </row>
    <row r="460" spans="1:9">
      <c r="A460">
        <v>459</v>
      </c>
      <c r="B460">
        <v>9</v>
      </c>
      <c r="C460">
        <v>6000</v>
      </c>
      <c r="D460">
        <v>5948</v>
      </c>
      <c r="E460" s="5">
        <f t="shared" si="29"/>
        <v>52</v>
      </c>
      <c r="F460" s="5">
        <f t="shared" si="30"/>
        <v>2704</v>
      </c>
      <c r="G460" s="6">
        <f>SQRT(SUM($F$2:F460)/A460)</f>
        <v>1161.0255317619203</v>
      </c>
      <c r="H460" s="5">
        <f t="shared" si="31"/>
        <v>1</v>
      </c>
      <c r="I460" s="5">
        <f t="shared" si="32"/>
        <v>1</v>
      </c>
    </row>
    <row r="461" spans="1:9">
      <c r="A461">
        <v>460</v>
      </c>
      <c r="B461">
        <v>9</v>
      </c>
      <c r="C461">
        <v>6000</v>
      </c>
      <c r="D461">
        <v>5429</v>
      </c>
      <c r="E461" s="5">
        <f t="shared" si="29"/>
        <v>571</v>
      </c>
      <c r="F461" s="5">
        <f t="shared" si="30"/>
        <v>326041</v>
      </c>
      <c r="G461" s="6">
        <f>SQRT(SUM($F$2:F461)/A461)</f>
        <v>1160.0683937858446</v>
      </c>
      <c r="H461" s="5">
        <f t="shared" si="31"/>
        <v>1</v>
      </c>
      <c r="I461" s="5">
        <f t="shared" si="32"/>
        <v>1</v>
      </c>
    </row>
    <row r="462" spans="1:9">
      <c r="A462">
        <v>461</v>
      </c>
      <c r="B462">
        <v>10</v>
      </c>
      <c r="C462">
        <v>6000</v>
      </c>
      <c r="D462">
        <v>6648</v>
      </c>
      <c r="E462" s="5">
        <f t="shared" si="29"/>
        <v>648</v>
      </c>
      <c r="F462" s="5">
        <f t="shared" si="30"/>
        <v>419904</v>
      </c>
      <c r="G462" s="6">
        <f>SQRT(SUM($F$2:F462)/A462)</f>
        <v>1159.2024485407283</v>
      </c>
      <c r="H462" s="5">
        <f t="shared" si="31"/>
        <v>1</v>
      </c>
      <c r="I462" s="5">
        <f t="shared" si="32"/>
        <v>0</v>
      </c>
    </row>
    <row r="463" spans="1:9">
      <c r="A463">
        <v>462</v>
      </c>
      <c r="B463">
        <v>8</v>
      </c>
      <c r="C463">
        <v>6000</v>
      </c>
      <c r="D463">
        <v>5439</v>
      </c>
      <c r="E463" s="5">
        <f t="shared" si="29"/>
        <v>561</v>
      </c>
      <c r="F463" s="5">
        <f t="shared" si="30"/>
        <v>314721</v>
      </c>
      <c r="G463" s="6">
        <f>SQRT(SUM($F$2:F463)/A463)</f>
        <v>1158.2413308630807</v>
      </c>
      <c r="H463" s="5">
        <f t="shared" si="31"/>
        <v>1</v>
      </c>
      <c r="I463" s="5">
        <f t="shared" si="32"/>
        <v>1</v>
      </c>
    </row>
    <row r="464" spans="1:9">
      <c r="A464">
        <v>463</v>
      </c>
      <c r="B464">
        <v>10</v>
      </c>
      <c r="C464">
        <v>6000</v>
      </c>
      <c r="D464">
        <v>6470</v>
      </c>
      <c r="E464" s="5">
        <f t="shared" si="29"/>
        <v>470</v>
      </c>
      <c r="F464" s="5">
        <f t="shared" si="30"/>
        <v>220900</v>
      </c>
      <c r="G464" s="6">
        <f>SQRT(SUM($F$2:F464)/A464)</f>
        <v>1157.1960199161242</v>
      </c>
      <c r="H464" s="5">
        <f t="shared" si="31"/>
        <v>1</v>
      </c>
      <c r="I464" s="5">
        <f t="shared" si="32"/>
        <v>1</v>
      </c>
    </row>
    <row r="465" spans="1:9">
      <c r="A465">
        <v>464</v>
      </c>
      <c r="B465">
        <v>8</v>
      </c>
      <c r="C465">
        <v>6000</v>
      </c>
      <c r="D465">
        <v>5647</v>
      </c>
      <c r="E465" s="5">
        <f t="shared" si="29"/>
        <v>353</v>
      </c>
      <c r="F465" s="5">
        <f t="shared" si="30"/>
        <v>124609</v>
      </c>
      <c r="G465" s="6">
        <f>SQRT(SUM($F$2:F465)/A465)</f>
        <v>1156.0645247324337</v>
      </c>
      <c r="H465" s="5">
        <f t="shared" si="31"/>
        <v>1</v>
      </c>
      <c r="I465" s="5">
        <f t="shared" si="32"/>
        <v>1</v>
      </c>
    </row>
    <row r="466" spans="1:9">
      <c r="A466">
        <v>465</v>
      </c>
      <c r="B466">
        <v>9</v>
      </c>
      <c r="C466">
        <v>6000</v>
      </c>
      <c r="D466">
        <v>5383</v>
      </c>
      <c r="E466" s="5">
        <f t="shared" si="29"/>
        <v>617</v>
      </c>
      <c r="F466" s="5">
        <f t="shared" si="30"/>
        <v>380689</v>
      </c>
      <c r="G466" s="6">
        <f>SQRT(SUM($F$2:F466)/A466)</f>
        <v>1155.1751857088254</v>
      </c>
      <c r="H466" s="5">
        <f t="shared" si="31"/>
        <v>1</v>
      </c>
      <c r="I466" s="5">
        <f t="shared" si="32"/>
        <v>0</v>
      </c>
    </row>
    <row r="467" spans="1:9">
      <c r="A467">
        <v>466</v>
      </c>
      <c r="B467">
        <v>10</v>
      </c>
      <c r="C467">
        <v>6000</v>
      </c>
      <c r="D467">
        <v>6924</v>
      </c>
      <c r="E467" s="5">
        <f t="shared" si="29"/>
        <v>924</v>
      </c>
      <c r="F467" s="5">
        <f t="shared" si="30"/>
        <v>853776</v>
      </c>
      <c r="G467" s="6">
        <f>SQRT(SUM($F$2:F467)/A467)</f>
        <v>1154.7286538180724</v>
      </c>
      <c r="H467" s="5">
        <f t="shared" si="31"/>
        <v>1</v>
      </c>
      <c r="I467" s="5">
        <f t="shared" si="32"/>
        <v>0</v>
      </c>
    </row>
    <row r="468" spans="1:9">
      <c r="A468">
        <v>467</v>
      </c>
      <c r="B468">
        <v>8</v>
      </c>
      <c r="C468">
        <v>6000</v>
      </c>
      <c r="D468">
        <v>4956</v>
      </c>
      <c r="E468" s="5">
        <f t="shared" si="29"/>
        <v>1044</v>
      </c>
      <c r="F468" s="5">
        <f t="shared" si="30"/>
        <v>1089936</v>
      </c>
      <c r="G468" s="6">
        <f>SQRT(SUM($F$2:F468)/A468)</f>
        <v>1154.5028936635524</v>
      </c>
      <c r="H468" s="5">
        <f t="shared" si="31"/>
        <v>1</v>
      </c>
      <c r="I468" s="5">
        <f t="shared" si="32"/>
        <v>0</v>
      </c>
    </row>
    <row r="469" spans="1:9">
      <c r="A469">
        <v>468</v>
      </c>
      <c r="B469">
        <v>10</v>
      </c>
      <c r="C469">
        <v>6000</v>
      </c>
      <c r="D469">
        <v>6361</v>
      </c>
      <c r="E469" s="5">
        <f t="shared" si="29"/>
        <v>361</v>
      </c>
      <c r="F469" s="5">
        <f t="shared" si="30"/>
        <v>130321</v>
      </c>
      <c r="G469" s="6">
        <f>SQRT(SUM($F$2:F469)/A469)</f>
        <v>1153.3895124897606</v>
      </c>
      <c r="H469" s="5">
        <f t="shared" si="31"/>
        <v>1</v>
      </c>
      <c r="I469" s="5">
        <f t="shared" si="32"/>
        <v>1</v>
      </c>
    </row>
    <row r="470" spans="1:9">
      <c r="A470">
        <v>469</v>
      </c>
      <c r="B470">
        <v>9</v>
      </c>
      <c r="C470">
        <v>6000</v>
      </c>
      <c r="D470">
        <v>5446</v>
      </c>
      <c r="E470" s="5">
        <f t="shared" si="29"/>
        <v>554</v>
      </c>
      <c r="F470" s="5">
        <f t="shared" si="30"/>
        <v>306916</v>
      </c>
      <c r="G470" s="6">
        <f>SQRT(SUM($F$2:F470)/A470)</f>
        <v>1152.4431857472482</v>
      </c>
      <c r="H470" s="5">
        <f t="shared" si="31"/>
        <v>1</v>
      </c>
      <c r="I470" s="5">
        <f t="shared" si="32"/>
        <v>1</v>
      </c>
    </row>
    <row r="471" spans="1:9">
      <c r="A471">
        <v>470</v>
      </c>
      <c r="B471">
        <v>10</v>
      </c>
      <c r="C471">
        <v>6000</v>
      </c>
      <c r="D471">
        <v>6357</v>
      </c>
      <c r="E471" s="5">
        <f t="shared" si="29"/>
        <v>357</v>
      </c>
      <c r="F471" s="5">
        <f t="shared" si="30"/>
        <v>127449</v>
      </c>
      <c r="G471" s="6">
        <f>SQRT(SUM($F$2:F471)/A471)</f>
        <v>1151.3342980895891</v>
      </c>
      <c r="H471" s="5">
        <f t="shared" si="31"/>
        <v>1</v>
      </c>
      <c r="I471" s="5">
        <f t="shared" si="32"/>
        <v>1</v>
      </c>
    </row>
    <row r="472" spans="1:9">
      <c r="A472">
        <v>471</v>
      </c>
      <c r="B472">
        <v>9</v>
      </c>
      <c r="C472">
        <v>6000</v>
      </c>
      <c r="D472">
        <v>5166</v>
      </c>
      <c r="E472" s="5">
        <f t="shared" si="29"/>
        <v>834</v>
      </c>
      <c r="F472" s="5">
        <f t="shared" si="30"/>
        <v>695556</v>
      </c>
      <c r="G472" s="6">
        <f>SQRT(SUM($F$2:F472)/A472)</f>
        <v>1150.7532555685857</v>
      </c>
      <c r="H472" s="5">
        <f t="shared" si="31"/>
        <v>1</v>
      </c>
      <c r="I472" s="5">
        <f t="shared" si="32"/>
        <v>0</v>
      </c>
    </row>
    <row r="473" spans="1:9">
      <c r="A473">
        <v>472</v>
      </c>
      <c r="B473">
        <v>10</v>
      </c>
      <c r="C473">
        <v>6000</v>
      </c>
      <c r="D473">
        <v>6810</v>
      </c>
      <c r="E473" s="5">
        <f t="shared" si="29"/>
        <v>810</v>
      </c>
      <c r="F473" s="5">
        <f t="shared" si="30"/>
        <v>656100</v>
      </c>
      <c r="G473" s="6">
        <f>SQRT(SUM($F$2:F473)/A473)</f>
        <v>1150.1380434833884</v>
      </c>
      <c r="H473" s="5">
        <f t="shared" si="31"/>
        <v>1</v>
      </c>
      <c r="I473" s="5">
        <f t="shared" si="32"/>
        <v>0</v>
      </c>
    </row>
    <row r="474" spans="1:9">
      <c r="A474">
        <v>473</v>
      </c>
      <c r="B474">
        <v>8</v>
      </c>
      <c r="C474">
        <v>6000</v>
      </c>
      <c r="D474">
        <v>4470</v>
      </c>
      <c r="E474" s="5">
        <f t="shared" si="29"/>
        <v>1530</v>
      </c>
      <c r="F474" s="5">
        <f t="shared" si="30"/>
        <v>2340900</v>
      </c>
      <c r="G474" s="6">
        <f>SQRT(SUM($F$2:F474)/A474)</f>
        <v>1151.0733744289453</v>
      </c>
      <c r="H474" s="5">
        <f t="shared" si="31"/>
        <v>0</v>
      </c>
      <c r="I474" s="5">
        <f t="shared" si="32"/>
        <v>0</v>
      </c>
    </row>
    <row r="475" spans="1:9">
      <c r="A475">
        <v>474</v>
      </c>
      <c r="B475">
        <v>11</v>
      </c>
      <c r="C475">
        <v>6000</v>
      </c>
      <c r="D475">
        <v>6845</v>
      </c>
      <c r="E475" s="5">
        <f t="shared" si="29"/>
        <v>845</v>
      </c>
      <c r="F475" s="5">
        <f t="shared" si="30"/>
        <v>714025</v>
      </c>
      <c r="G475" s="6">
        <f>SQRT(SUM($F$2:F475)/A475)</f>
        <v>1150.5133636772759</v>
      </c>
      <c r="H475" s="5">
        <f t="shared" si="31"/>
        <v>1</v>
      </c>
      <c r="I475" s="5">
        <f t="shared" si="32"/>
        <v>0</v>
      </c>
    </row>
    <row r="476" spans="1:9">
      <c r="A476">
        <v>475</v>
      </c>
      <c r="B476">
        <v>8</v>
      </c>
      <c r="C476">
        <v>6000</v>
      </c>
      <c r="D476">
        <v>5102</v>
      </c>
      <c r="E476" s="5">
        <f t="shared" si="29"/>
        <v>898</v>
      </c>
      <c r="F476" s="5">
        <f t="shared" si="30"/>
        <v>806404</v>
      </c>
      <c r="G476" s="6">
        <f>SQRT(SUM($F$2:F476)/A476)</f>
        <v>1150.039997473772</v>
      </c>
      <c r="H476" s="5">
        <f t="shared" si="31"/>
        <v>1</v>
      </c>
      <c r="I476" s="5">
        <f t="shared" si="32"/>
        <v>0</v>
      </c>
    </row>
    <row r="477" spans="1:9">
      <c r="A477">
        <v>476</v>
      </c>
      <c r="B477">
        <v>11</v>
      </c>
      <c r="C477">
        <v>6000</v>
      </c>
      <c r="D477">
        <v>6652</v>
      </c>
      <c r="E477" s="5">
        <f t="shared" si="29"/>
        <v>652</v>
      </c>
      <c r="F477" s="5">
        <f t="shared" si="30"/>
        <v>425104</v>
      </c>
      <c r="G477" s="6">
        <f>SQRT(SUM($F$2:F477)/A477)</f>
        <v>1149.2199601498064</v>
      </c>
      <c r="H477" s="5">
        <f t="shared" si="31"/>
        <v>1</v>
      </c>
      <c r="I477" s="5">
        <f t="shared" si="32"/>
        <v>0</v>
      </c>
    </row>
    <row r="478" spans="1:9">
      <c r="A478">
        <v>477</v>
      </c>
      <c r="B478">
        <v>9</v>
      </c>
      <c r="C478">
        <v>6000</v>
      </c>
      <c r="D478">
        <v>5226</v>
      </c>
      <c r="E478" s="5">
        <f t="shared" si="29"/>
        <v>774</v>
      </c>
      <c r="F478" s="5">
        <f t="shared" si="30"/>
        <v>599076</v>
      </c>
      <c r="G478" s="6">
        <f>SQRT(SUM($F$2:F478)/A478)</f>
        <v>1148.5615632478002</v>
      </c>
      <c r="H478" s="5">
        <f t="shared" si="31"/>
        <v>1</v>
      </c>
      <c r="I478" s="5">
        <f t="shared" si="32"/>
        <v>0</v>
      </c>
    </row>
    <row r="479" spans="1:9">
      <c r="A479">
        <v>478</v>
      </c>
      <c r="B479">
        <v>10</v>
      </c>
      <c r="C479">
        <v>6000</v>
      </c>
      <c r="D479">
        <v>6386</v>
      </c>
      <c r="E479" s="5">
        <f t="shared" si="29"/>
        <v>386</v>
      </c>
      <c r="F479" s="5">
        <f t="shared" si="30"/>
        <v>148996</v>
      </c>
      <c r="G479" s="6">
        <f>SQRT(SUM($F$2:F479)/A479)</f>
        <v>1147.4953386838899</v>
      </c>
      <c r="H479" s="5">
        <f t="shared" si="31"/>
        <v>1</v>
      </c>
      <c r="I479" s="5">
        <f t="shared" si="32"/>
        <v>1</v>
      </c>
    </row>
    <row r="480" spans="1:9">
      <c r="A480">
        <v>479</v>
      </c>
      <c r="B480">
        <v>9</v>
      </c>
      <c r="C480">
        <v>6000</v>
      </c>
      <c r="D480">
        <v>5976</v>
      </c>
      <c r="E480" s="5">
        <f t="shared" si="29"/>
        <v>24</v>
      </c>
      <c r="F480" s="5">
        <f t="shared" si="30"/>
        <v>576</v>
      </c>
      <c r="G480" s="6">
        <f>SQRT(SUM($F$2:F480)/A480)</f>
        <v>1146.2974343219976</v>
      </c>
      <c r="H480" s="5">
        <f t="shared" si="31"/>
        <v>1</v>
      </c>
      <c r="I480" s="5">
        <f t="shared" si="32"/>
        <v>1</v>
      </c>
    </row>
    <row r="481" spans="1:9">
      <c r="A481">
        <v>480</v>
      </c>
      <c r="B481">
        <v>10</v>
      </c>
      <c r="C481">
        <v>6000</v>
      </c>
      <c r="D481">
        <v>5756</v>
      </c>
      <c r="E481" s="5">
        <f t="shared" si="29"/>
        <v>244</v>
      </c>
      <c r="F481" s="5">
        <f t="shared" si="30"/>
        <v>59536</v>
      </c>
      <c r="G481" s="6">
        <f>SQRT(SUM($F$2:F481)/A481)</f>
        <v>1145.1569088266174</v>
      </c>
      <c r="H481" s="5">
        <f t="shared" si="31"/>
        <v>1</v>
      </c>
      <c r="I481" s="5">
        <f t="shared" si="32"/>
        <v>1</v>
      </c>
    </row>
    <row r="482" spans="1:9">
      <c r="A482">
        <v>481</v>
      </c>
      <c r="B482">
        <v>10</v>
      </c>
      <c r="C482">
        <v>6000</v>
      </c>
      <c r="D482">
        <v>6359</v>
      </c>
      <c r="E482" s="5">
        <f t="shared" si="29"/>
        <v>359</v>
      </c>
      <c r="F482" s="5">
        <f t="shared" si="30"/>
        <v>128881</v>
      </c>
      <c r="G482" s="6">
        <f>SQRT(SUM($F$2:F482)/A482)</f>
        <v>1144.0830035093252</v>
      </c>
      <c r="H482" s="5">
        <f t="shared" si="31"/>
        <v>1</v>
      </c>
      <c r="I482" s="5">
        <f t="shared" si="32"/>
        <v>1</v>
      </c>
    </row>
    <row r="483" spans="1:9">
      <c r="A483">
        <v>482</v>
      </c>
      <c r="B483">
        <v>9</v>
      </c>
      <c r="C483">
        <v>6000</v>
      </c>
      <c r="D483">
        <v>5353</v>
      </c>
      <c r="E483" s="5">
        <f t="shared" si="29"/>
        <v>647</v>
      </c>
      <c r="F483" s="5">
        <f t="shared" si="30"/>
        <v>418609</v>
      </c>
      <c r="G483" s="6">
        <f>SQRT(SUM($F$2:F483)/A483)</f>
        <v>1143.2754647860431</v>
      </c>
      <c r="H483" s="5">
        <f t="shared" si="31"/>
        <v>1</v>
      </c>
      <c r="I483" s="5">
        <f t="shared" si="32"/>
        <v>0</v>
      </c>
    </row>
    <row r="484" spans="1:9">
      <c r="A484">
        <v>483</v>
      </c>
      <c r="B484">
        <v>10</v>
      </c>
      <c r="C484">
        <v>6000</v>
      </c>
      <c r="D484">
        <v>4950</v>
      </c>
      <c r="E484" s="5">
        <f t="shared" si="29"/>
        <v>1050</v>
      </c>
      <c r="F484" s="5">
        <f t="shared" si="30"/>
        <v>1102500</v>
      </c>
      <c r="G484" s="6">
        <f>SQRT(SUM($F$2:F484)/A484)</f>
        <v>1143.0902107067773</v>
      </c>
      <c r="H484" s="5">
        <f t="shared" si="31"/>
        <v>1</v>
      </c>
      <c r="I484" s="5">
        <f t="shared" si="32"/>
        <v>0</v>
      </c>
    </row>
    <row r="485" spans="1:9">
      <c r="A485">
        <v>484</v>
      </c>
      <c r="B485">
        <v>11</v>
      </c>
      <c r="C485">
        <v>6000</v>
      </c>
      <c r="D485">
        <v>2808</v>
      </c>
      <c r="E485" s="5">
        <f t="shared" si="29"/>
        <v>3192</v>
      </c>
      <c r="F485" s="5">
        <f t="shared" si="30"/>
        <v>10188864</v>
      </c>
      <c r="G485" s="6">
        <f>SQRT(SUM($F$2:F485)/A485)</f>
        <v>1151.0894408456913</v>
      </c>
      <c r="H485" s="5">
        <f t="shared" si="31"/>
        <v>0</v>
      </c>
      <c r="I485" s="5">
        <f t="shared" si="32"/>
        <v>0</v>
      </c>
    </row>
    <row r="486" spans="1:9">
      <c r="A486">
        <v>485</v>
      </c>
      <c r="B486">
        <v>14</v>
      </c>
      <c r="C486">
        <v>6000</v>
      </c>
      <c r="D486">
        <v>8513</v>
      </c>
      <c r="E486" s="5">
        <f t="shared" si="29"/>
        <v>2513</v>
      </c>
      <c r="F486" s="5">
        <f t="shared" si="30"/>
        <v>6315169</v>
      </c>
      <c r="G486" s="6">
        <f>SQRT(SUM($F$2:F486)/A486)</f>
        <v>1155.5500399573186</v>
      </c>
      <c r="H486" s="5">
        <f t="shared" si="31"/>
        <v>0</v>
      </c>
      <c r="I486" s="5">
        <f t="shared" si="32"/>
        <v>0</v>
      </c>
    </row>
    <row r="487" spans="1:9">
      <c r="A487">
        <v>486</v>
      </c>
      <c r="B487">
        <v>7</v>
      </c>
      <c r="C487">
        <v>6000</v>
      </c>
      <c r="D487">
        <v>4157</v>
      </c>
      <c r="E487" s="5">
        <f t="shared" si="29"/>
        <v>1843</v>
      </c>
      <c r="F487" s="5">
        <f t="shared" si="30"/>
        <v>3396649</v>
      </c>
      <c r="G487" s="6">
        <f>SQRT(SUM($F$2:F487)/A487)</f>
        <v>1157.3838439082851</v>
      </c>
      <c r="H487" s="5">
        <f t="shared" si="31"/>
        <v>0</v>
      </c>
      <c r="I487" s="5">
        <f t="shared" si="32"/>
        <v>0</v>
      </c>
    </row>
    <row r="488" spans="1:9">
      <c r="A488">
        <v>487</v>
      </c>
      <c r="B488">
        <v>13</v>
      </c>
      <c r="C488">
        <v>6000</v>
      </c>
      <c r="D488">
        <v>7257</v>
      </c>
      <c r="E488" s="5">
        <f t="shared" si="29"/>
        <v>1257</v>
      </c>
      <c r="F488" s="5">
        <f t="shared" si="30"/>
        <v>1580049</v>
      </c>
      <c r="G488" s="6">
        <f>SQRT(SUM($F$2:F488)/A488)</f>
        <v>1157.597177723188</v>
      </c>
      <c r="H488" s="5">
        <f t="shared" si="31"/>
        <v>0</v>
      </c>
      <c r="I488" s="5">
        <f t="shared" si="32"/>
        <v>0</v>
      </c>
    </row>
    <row r="489" spans="1:9">
      <c r="A489">
        <v>488</v>
      </c>
      <c r="B489">
        <v>9</v>
      </c>
      <c r="C489">
        <v>6000</v>
      </c>
      <c r="D489">
        <v>5858</v>
      </c>
      <c r="E489" s="5">
        <f t="shared" si="29"/>
        <v>142</v>
      </c>
      <c r="F489" s="5">
        <f t="shared" si="30"/>
        <v>20164</v>
      </c>
      <c r="G489" s="6">
        <f>SQRT(SUM($F$2:F489)/A489)</f>
        <v>1156.4283721519603</v>
      </c>
      <c r="H489" s="5">
        <f t="shared" si="31"/>
        <v>1</v>
      </c>
      <c r="I489" s="5">
        <f t="shared" si="32"/>
        <v>1</v>
      </c>
    </row>
    <row r="490" spans="1:9">
      <c r="A490">
        <v>489</v>
      </c>
      <c r="B490">
        <v>10</v>
      </c>
      <c r="C490">
        <v>6000</v>
      </c>
      <c r="D490">
        <v>6236</v>
      </c>
      <c r="E490" s="5">
        <f t="shared" si="29"/>
        <v>236</v>
      </c>
      <c r="F490" s="5">
        <f t="shared" si="30"/>
        <v>55696</v>
      </c>
      <c r="G490" s="6">
        <f>SQRT(SUM($F$2:F490)/A490)</f>
        <v>1155.2946197774434</v>
      </c>
      <c r="H490" s="5">
        <f t="shared" si="31"/>
        <v>1</v>
      </c>
      <c r="I490" s="5">
        <f t="shared" si="32"/>
        <v>1</v>
      </c>
    </row>
    <row r="491" spans="1:9">
      <c r="A491">
        <v>490</v>
      </c>
      <c r="B491">
        <v>10</v>
      </c>
      <c r="C491">
        <v>6000</v>
      </c>
      <c r="D491">
        <v>6378</v>
      </c>
      <c r="E491" s="5">
        <f t="shared" si="29"/>
        <v>378</v>
      </c>
      <c r="F491" s="5">
        <f t="shared" si="30"/>
        <v>142884</v>
      </c>
      <c r="G491" s="6">
        <f>SQRT(SUM($F$2:F491)/A491)</f>
        <v>1154.2414692722468</v>
      </c>
      <c r="H491" s="5">
        <f t="shared" si="31"/>
        <v>1</v>
      </c>
      <c r="I491" s="5">
        <f t="shared" si="32"/>
        <v>1</v>
      </c>
    </row>
    <row r="492" spans="1:9">
      <c r="A492">
        <v>491</v>
      </c>
      <c r="B492">
        <v>10</v>
      </c>
      <c r="C492">
        <v>6000</v>
      </c>
      <c r="D492">
        <v>6544</v>
      </c>
      <c r="E492" s="5">
        <f t="shared" si="29"/>
        <v>544</v>
      </c>
      <c r="F492" s="5">
        <f t="shared" si="30"/>
        <v>295936</v>
      </c>
      <c r="G492" s="6">
        <f>SQRT(SUM($F$2:F492)/A492)</f>
        <v>1153.3267978537817</v>
      </c>
      <c r="H492" s="5">
        <f t="shared" si="31"/>
        <v>1</v>
      </c>
      <c r="I492" s="5">
        <f t="shared" si="32"/>
        <v>1</v>
      </c>
    </row>
    <row r="493" spans="1:9">
      <c r="A493">
        <v>492</v>
      </c>
      <c r="B493">
        <v>9</v>
      </c>
      <c r="C493">
        <v>6000</v>
      </c>
      <c r="D493">
        <v>5874</v>
      </c>
      <c r="E493" s="5">
        <f t="shared" si="29"/>
        <v>126</v>
      </c>
      <c r="F493" s="5">
        <f t="shared" si="30"/>
        <v>15876</v>
      </c>
      <c r="G493" s="6">
        <f>SQRT(SUM($F$2:F493)/A493)</f>
        <v>1152.168124976291</v>
      </c>
      <c r="H493" s="5">
        <f t="shared" si="31"/>
        <v>1</v>
      </c>
      <c r="I493" s="5">
        <f t="shared" si="32"/>
        <v>1</v>
      </c>
    </row>
    <row r="494" spans="1:9">
      <c r="A494">
        <v>493</v>
      </c>
      <c r="B494">
        <v>10</v>
      </c>
      <c r="C494">
        <v>6000</v>
      </c>
      <c r="D494">
        <v>6977</v>
      </c>
      <c r="E494" s="5">
        <f t="shared" si="29"/>
        <v>977</v>
      </c>
      <c r="F494" s="5">
        <f t="shared" si="30"/>
        <v>954529</v>
      </c>
      <c r="G494" s="6">
        <f>SQRT(SUM($F$2:F494)/A494)</f>
        <v>1151.8397771439193</v>
      </c>
      <c r="H494" s="5">
        <f t="shared" si="31"/>
        <v>1</v>
      </c>
      <c r="I494" s="5">
        <f t="shared" si="32"/>
        <v>0</v>
      </c>
    </row>
    <row r="495" spans="1:9">
      <c r="A495">
        <v>494</v>
      </c>
      <c r="B495">
        <v>9</v>
      </c>
      <c r="C495">
        <v>6000</v>
      </c>
      <c r="D495">
        <v>6517</v>
      </c>
      <c r="E495" s="5">
        <f t="shared" si="29"/>
        <v>517</v>
      </c>
      <c r="F495" s="5">
        <f t="shared" si="30"/>
        <v>267289</v>
      </c>
      <c r="G495" s="6">
        <f>SQRT(SUM($F$2:F495)/A495)</f>
        <v>1150.9084433347734</v>
      </c>
      <c r="H495" s="5">
        <f t="shared" si="31"/>
        <v>1</v>
      </c>
      <c r="I495" s="5">
        <f t="shared" si="32"/>
        <v>1</v>
      </c>
    </row>
    <row r="496" spans="1:9">
      <c r="A496">
        <v>495</v>
      </c>
      <c r="B496">
        <v>9</v>
      </c>
      <c r="C496">
        <v>6000</v>
      </c>
      <c r="D496">
        <v>6891</v>
      </c>
      <c r="E496" s="5">
        <f t="shared" si="29"/>
        <v>891</v>
      </c>
      <c r="F496" s="5">
        <f t="shared" si="30"/>
        <v>793881</v>
      </c>
      <c r="G496" s="6">
        <f>SQRT(SUM($F$2:F496)/A496)</f>
        <v>1150.4425692099999</v>
      </c>
      <c r="H496" s="5">
        <f t="shared" si="31"/>
        <v>1</v>
      </c>
      <c r="I496" s="5">
        <f t="shared" si="32"/>
        <v>0</v>
      </c>
    </row>
    <row r="497" spans="1:9">
      <c r="A497">
        <v>496</v>
      </c>
      <c r="B497">
        <v>8</v>
      </c>
      <c r="C497">
        <v>6000</v>
      </c>
      <c r="D497">
        <v>5740</v>
      </c>
      <c r="E497" s="5">
        <f t="shared" si="29"/>
        <v>260</v>
      </c>
      <c r="F497" s="5">
        <f t="shared" si="30"/>
        <v>67600</v>
      </c>
      <c r="G497" s="6">
        <f>SQRT(SUM($F$2:F497)/A497)</f>
        <v>1149.3415558904908</v>
      </c>
      <c r="H497" s="5">
        <f t="shared" si="31"/>
        <v>1</v>
      </c>
      <c r="I497" s="5">
        <f t="shared" si="32"/>
        <v>1</v>
      </c>
    </row>
    <row r="498" spans="1:9">
      <c r="A498">
        <v>497</v>
      </c>
      <c r="B498">
        <v>10</v>
      </c>
      <c r="C498">
        <v>6000</v>
      </c>
      <c r="D498">
        <v>6603</v>
      </c>
      <c r="E498" s="5">
        <f t="shared" si="29"/>
        <v>603</v>
      </c>
      <c r="F498" s="5">
        <f t="shared" si="30"/>
        <v>363609</v>
      </c>
      <c r="G498" s="6">
        <f>SQRT(SUM($F$2:F498)/A498)</f>
        <v>1148.5032434439213</v>
      </c>
      <c r="H498" s="5">
        <f t="shared" si="31"/>
        <v>1</v>
      </c>
      <c r="I498" s="5">
        <f t="shared" si="32"/>
        <v>0</v>
      </c>
    </row>
    <row r="499" spans="1:9">
      <c r="A499">
        <v>498</v>
      </c>
      <c r="B499">
        <v>9</v>
      </c>
      <c r="C499">
        <v>6000</v>
      </c>
      <c r="D499">
        <v>6134</v>
      </c>
      <c r="E499" s="5">
        <f t="shared" si="29"/>
        <v>134</v>
      </c>
      <c r="F499" s="5">
        <f t="shared" si="30"/>
        <v>17956</v>
      </c>
      <c r="G499" s="6">
        <f>SQRT(SUM($F$2:F499)/A499)</f>
        <v>1147.3652610083132</v>
      </c>
      <c r="H499" s="5">
        <f t="shared" si="31"/>
        <v>1</v>
      </c>
      <c r="I499" s="5">
        <f t="shared" si="32"/>
        <v>1</v>
      </c>
    </row>
    <row r="500" spans="1:9">
      <c r="A500">
        <v>499</v>
      </c>
      <c r="B500">
        <v>9</v>
      </c>
      <c r="C500">
        <v>6000</v>
      </c>
      <c r="D500">
        <v>6382</v>
      </c>
      <c r="E500" s="5">
        <f t="shared" si="29"/>
        <v>382</v>
      </c>
      <c r="F500" s="5">
        <f t="shared" si="30"/>
        <v>145924</v>
      </c>
      <c r="G500" s="6">
        <f>SQRT(SUM($F$2:F500)/A500)</f>
        <v>1146.342577334201</v>
      </c>
      <c r="H500" s="5">
        <f t="shared" si="31"/>
        <v>1</v>
      </c>
      <c r="I500" s="5">
        <f t="shared" si="32"/>
        <v>1</v>
      </c>
    </row>
    <row r="501" spans="1:9">
      <c r="A501">
        <v>500</v>
      </c>
      <c r="B501">
        <v>9</v>
      </c>
      <c r="C501">
        <v>6000</v>
      </c>
      <c r="D501">
        <v>5971</v>
      </c>
      <c r="E501" s="5">
        <f t="shared" si="29"/>
        <v>29</v>
      </c>
      <c r="F501" s="5">
        <f t="shared" si="30"/>
        <v>841</v>
      </c>
      <c r="G501" s="6">
        <f>SQRT(SUM($F$2:F501)/A501)</f>
        <v>1145.1963953837787</v>
      </c>
      <c r="H501" s="5">
        <f t="shared" si="31"/>
        <v>1</v>
      </c>
      <c r="I501" s="5">
        <f t="shared" si="32"/>
        <v>1</v>
      </c>
    </row>
    <row r="502" spans="1:9">
      <c r="A502">
        <v>501</v>
      </c>
      <c r="B502">
        <v>9</v>
      </c>
      <c r="C502">
        <v>9000</v>
      </c>
      <c r="D502">
        <v>7004</v>
      </c>
      <c r="E502" s="5">
        <f t="shared" si="29"/>
        <v>1996</v>
      </c>
      <c r="F502" s="5">
        <f t="shared" si="30"/>
        <v>3984016</v>
      </c>
      <c r="G502" s="6">
        <f>SQRT(SUM($F$2:F502)/A502)</f>
        <v>1147.5230706198417</v>
      </c>
      <c r="H502" s="5">
        <f t="shared" si="31"/>
        <v>0</v>
      </c>
      <c r="I502" s="5">
        <f t="shared" si="32"/>
        <v>0</v>
      </c>
    </row>
    <row r="503" spans="1:9">
      <c r="A503">
        <v>502</v>
      </c>
      <c r="B503">
        <v>12</v>
      </c>
      <c r="C503">
        <v>9000</v>
      </c>
      <c r="D503">
        <v>7244</v>
      </c>
      <c r="E503" s="5">
        <f t="shared" si="29"/>
        <v>1756</v>
      </c>
      <c r="F503" s="5">
        <f t="shared" si="30"/>
        <v>3083536</v>
      </c>
      <c r="G503" s="6">
        <f>SQRT(SUM($F$2:F503)/A503)</f>
        <v>1149.0555137612714</v>
      </c>
      <c r="H503" s="5">
        <f t="shared" si="31"/>
        <v>1</v>
      </c>
      <c r="I503" s="5">
        <f t="shared" si="32"/>
        <v>0</v>
      </c>
    </row>
    <row r="504" spans="1:9">
      <c r="A504">
        <v>503</v>
      </c>
      <c r="B504">
        <v>12</v>
      </c>
      <c r="C504">
        <v>9000</v>
      </c>
      <c r="D504">
        <v>8069</v>
      </c>
      <c r="E504" s="5">
        <f t="shared" si="29"/>
        <v>931</v>
      </c>
      <c r="F504" s="5">
        <f t="shared" si="30"/>
        <v>866761</v>
      </c>
      <c r="G504" s="6">
        <f>SQRT(SUM($F$2:F504)/A504)</f>
        <v>1148.6630702284115</v>
      </c>
      <c r="H504" s="5">
        <f t="shared" si="31"/>
        <v>1</v>
      </c>
      <c r="I504" s="5">
        <f t="shared" si="32"/>
        <v>0</v>
      </c>
    </row>
    <row r="505" spans="1:9">
      <c r="A505">
        <v>504</v>
      </c>
      <c r="B505">
        <v>11</v>
      </c>
      <c r="C505">
        <v>9000</v>
      </c>
      <c r="D505">
        <v>7154</v>
      </c>
      <c r="E505" s="5">
        <f t="shared" si="29"/>
        <v>1846</v>
      </c>
      <c r="F505" s="5">
        <f t="shared" si="30"/>
        <v>3407716</v>
      </c>
      <c r="G505" s="6">
        <f>SQRT(SUM($F$2:F505)/A505)</f>
        <v>1150.4652449169878</v>
      </c>
      <c r="H505" s="5">
        <f t="shared" si="31"/>
        <v>0</v>
      </c>
      <c r="I505" s="5">
        <f t="shared" si="32"/>
        <v>0</v>
      </c>
    </row>
    <row r="506" spans="1:9">
      <c r="A506">
        <v>505</v>
      </c>
      <c r="B506">
        <v>13</v>
      </c>
      <c r="C506">
        <v>9000</v>
      </c>
      <c r="D506">
        <v>8481</v>
      </c>
      <c r="E506" s="5">
        <f t="shared" si="29"/>
        <v>519</v>
      </c>
      <c r="F506" s="5">
        <f t="shared" si="30"/>
        <v>269361</v>
      </c>
      <c r="G506" s="6">
        <f>SQRT(SUM($F$2:F506)/A506)</f>
        <v>1149.5576264953677</v>
      </c>
      <c r="H506" s="5">
        <f t="shared" si="31"/>
        <v>1</v>
      </c>
      <c r="I506" s="5">
        <f t="shared" si="32"/>
        <v>1</v>
      </c>
    </row>
    <row r="507" spans="1:9">
      <c r="A507">
        <v>506</v>
      </c>
      <c r="B507">
        <v>12</v>
      </c>
      <c r="C507">
        <v>9000</v>
      </c>
      <c r="D507">
        <v>8113</v>
      </c>
      <c r="E507" s="5">
        <f t="shared" si="29"/>
        <v>887</v>
      </c>
      <c r="F507" s="5">
        <f t="shared" si="30"/>
        <v>786769</v>
      </c>
      <c r="G507" s="6">
        <f>SQRT(SUM($F$2:F507)/A507)</f>
        <v>1149.0979027561477</v>
      </c>
      <c r="H507" s="5">
        <f t="shared" si="31"/>
        <v>1</v>
      </c>
      <c r="I507" s="5">
        <f t="shared" si="32"/>
        <v>1</v>
      </c>
    </row>
    <row r="508" spans="1:9">
      <c r="A508">
        <v>507</v>
      </c>
      <c r="B508">
        <v>12</v>
      </c>
      <c r="C508">
        <v>9000</v>
      </c>
      <c r="D508">
        <v>6967</v>
      </c>
      <c r="E508" s="5">
        <f t="shared" si="29"/>
        <v>2033</v>
      </c>
      <c r="F508" s="5">
        <f t="shared" si="30"/>
        <v>4133089</v>
      </c>
      <c r="G508" s="6">
        <f>SQRT(SUM($F$2:F508)/A508)</f>
        <v>1151.5092917189975</v>
      </c>
      <c r="H508" s="5">
        <f t="shared" si="31"/>
        <v>0</v>
      </c>
      <c r="I508" s="5">
        <f t="shared" si="32"/>
        <v>0</v>
      </c>
    </row>
    <row r="509" spans="1:9">
      <c r="A509">
        <v>508</v>
      </c>
      <c r="B509">
        <v>14</v>
      </c>
      <c r="C509">
        <v>9000</v>
      </c>
      <c r="D509">
        <v>8133</v>
      </c>
      <c r="E509" s="5">
        <f t="shared" si="29"/>
        <v>867</v>
      </c>
      <c r="F509" s="5">
        <f t="shared" si="30"/>
        <v>751689</v>
      </c>
      <c r="G509" s="6">
        <f>SQRT(SUM($F$2:F509)/A509)</f>
        <v>1151.0183175444406</v>
      </c>
      <c r="H509" s="5">
        <f t="shared" si="31"/>
        <v>1</v>
      </c>
      <c r="I509" s="5">
        <f t="shared" si="32"/>
        <v>1</v>
      </c>
    </row>
    <row r="510" spans="1:9">
      <c r="A510">
        <v>509</v>
      </c>
      <c r="B510">
        <v>13</v>
      </c>
      <c r="C510">
        <v>9000</v>
      </c>
      <c r="D510">
        <v>7239</v>
      </c>
      <c r="E510" s="5">
        <f t="shared" si="29"/>
        <v>1761</v>
      </c>
      <c r="F510" s="5">
        <f t="shared" si="30"/>
        <v>3101121</v>
      </c>
      <c r="G510" s="6">
        <f>SQRT(SUM($F$2:F510)/A510)</f>
        <v>1152.5332566403811</v>
      </c>
      <c r="H510" s="5">
        <f t="shared" si="31"/>
        <v>1</v>
      </c>
      <c r="I510" s="5">
        <f t="shared" si="32"/>
        <v>0</v>
      </c>
    </row>
    <row r="511" spans="1:9">
      <c r="A511">
        <v>510</v>
      </c>
      <c r="B511">
        <v>14</v>
      </c>
      <c r="C511">
        <v>9000</v>
      </c>
      <c r="D511">
        <v>8939</v>
      </c>
      <c r="E511" s="5">
        <f t="shared" si="29"/>
        <v>61</v>
      </c>
      <c r="F511" s="5">
        <f t="shared" si="30"/>
        <v>3721</v>
      </c>
      <c r="G511" s="6">
        <f>SQRT(SUM($F$2:F511)/A511)</f>
        <v>1151.405935980775</v>
      </c>
      <c r="H511" s="5">
        <f t="shared" si="31"/>
        <v>1</v>
      </c>
      <c r="I511" s="5">
        <f t="shared" si="32"/>
        <v>1</v>
      </c>
    </row>
    <row r="512" spans="1:9">
      <c r="A512">
        <v>511</v>
      </c>
      <c r="B512">
        <v>12</v>
      </c>
      <c r="C512">
        <v>9000</v>
      </c>
      <c r="D512">
        <v>6954</v>
      </c>
      <c r="E512" s="5">
        <f t="shared" si="29"/>
        <v>2046</v>
      </c>
      <c r="F512" s="5">
        <f t="shared" si="30"/>
        <v>4186116</v>
      </c>
      <c r="G512" s="6">
        <f>SQRT(SUM($F$2:F512)/A512)</f>
        <v>1153.8341486805841</v>
      </c>
      <c r="H512" s="5">
        <f t="shared" si="31"/>
        <v>0</v>
      </c>
      <c r="I512" s="5">
        <f t="shared" si="32"/>
        <v>0</v>
      </c>
    </row>
    <row r="513" spans="1:9">
      <c r="A513">
        <v>512</v>
      </c>
      <c r="B513">
        <v>15</v>
      </c>
      <c r="C513">
        <v>9000</v>
      </c>
      <c r="D513">
        <v>8699</v>
      </c>
      <c r="E513" s="5">
        <f t="shared" si="29"/>
        <v>301</v>
      </c>
      <c r="F513" s="5">
        <f t="shared" si="30"/>
        <v>90601</v>
      </c>
      <c r="G513" s="6">
        <f>SQRT(SUM($F$2:F513)/A513)</f>
        <v>1152.7835605611315</v>
      </c>
      <c r="H513" s="5">
        <f t="shared" si="31"/>
        <v>1</v>
      </c>
      <c r="I513" s="5">
        <f t="shared" si="32"/>
        <v>1</v>
      </c>
    </row>
    <row r="514" spans="1:9">
      <c r="A514">
        <v>513</v>
      </c>
      <c r="B514">
        <v>13</v>
      </c>
      <c r="C514">
        <v>9000</v>
      </c>
      <c r="D514">
        <v>7894</v>
      </c>
      <c r="E514" s="5">
        <f t="shared" si="29"/>
        <v>1106</v>
      </c>
      <c r="F514" s="5">
        <f t="shared" si="30"/>
        <v>1223236</v>
      </c>
      <c r="G514" s="6">
        <f>SQRT(SUM($F$2:F514)/A514)</f>
        <v>1152.6942115839324</v>
      </c>
      <c r="H514" s="5">
        <f t="shared" si="31"/>
        <v>1</v>
      </c>
      <c r="I514" s="5">
        <f t="shared" si="32"/>
        <v>0</v>
      </c>
    </row>
    <row r="515" spans="1:9">
      <c r="A515">
        <v>514</v>
      </c>
      <c r="B515">
        <v>14</v>
      </c>
      <c r="C515">
        <v>9000</v>
      </c>
      <c r="D515">
        <v>9087</v>
      </c>
      <c r="E515" s="5">
        <f t="shared" ref="E515:E578" si="33">ABS(C515-D515)</f>
        <v>87</v>
      </c>
      <c r="F515" s="5">
        <f t="shared" ref="F515:F578" si="34">POWER(E515,2)</f>
        <v>7569</v>
      </c>
      <c r="G515" s="6">
        <f>SQRT(SUM($F$2:F515)/A515)</f>
        <v>1151.5787615134589</v>
      </c>
      <c r="H515" s="5">
        <f t="shared" ref="H515:H578" si="35">IF(ABS(E515)/C515&gt;0.2,0,1)</f>
        <v>1</v>
      </c>
      <c r="I515" s="5">
        <f t="shared" ref="I515:I578" si="36">IF(ABS(E515)/C515&gt;0.1,0,1)</f>
        <v>1</v>
      </c>
    </row>
    <row r="516" spans="1:9">
      <c r="A516">
        <v>515</v>
      </c>
      <c r="B516">
        <v>13</v>
      </c>
      <c r="C516">
        <v>9000</v>
      </c>
      <c r="D516">
        <v>8057</v>
      </c>
      <c r="E516" s="5">
        <f t="shared" si="33"/>
        <v>943</v>
      </c>
      <c r="F516" s="5">
        <f t="shared" si="34"/>
        <v>889249</v>
      </c>
      <c r="G516" s="6">
        <f>SQRT(SUM($F$2:F516)/A516)</f>
        <v>1151.2103735946114</v>
      </c>
      <c r="H516" s="5">
        <f t="shared" si="35"/>
        <v>1</v>
      </c>
      <c r="I516" s="5">
        <f t="shared" si="36"/>
        <v>0</v>
      </c>
    </row>
    <row r="517" spans="1:9">
      <c r="A517">
        <v>516</v>
      </c>
      <c r="B517">
        <v>15</v>
      </c>
      <c r="C517">
        <v>9000</v>
      </c>
      <c r="D517">
        <v>9151</v>
      </c>
      <c r="E517" s="5">
        <f t="shared" si="33"/>
        <v>151</v>
      </c>
      <c r="F517" s="5">
        <f t="shared" si="34"/>
        <v>22801</v>
      </c>
      <c r="G517" s="6">
        <f>SQRT(SUM($F$2:F517)/A517)</f>
        <v>1150.1135291113487</v>
      </c>
      <c r="H517" s="5">
        <f t="shared" si="35"/>
        <v>1</v>
      </c>
      <c r="I517" s="5">
        <f t="shared" si="36"/>
        <v>1</v>
      </c>
    </row>
    <row r="518" spans="1:9">
      <c r="A518">
        <v>517</v>
      </c>
      <c r="B518">
        <v>13</v>
      </c>
      <c r="C518">
        <v>9000</v>
      </c>
      <c r="D518">
        <v>8309</v>
      </c>
      <c r="E518" s="5">
        <f t="shared" si="33"/>
        <v>691</v>
      </c>
      <c r="F518" s="5">
        <f t="shared" si="34"/>
        <v>477481</v>
      </c>
      <c r="G518" s="6">
        <f>SQRT(SUM($F$2:F518)/A518)</f>
        <v>1149.4025224469233</v>
      </c>
      <c r="H518" s="5">
        <f t="shared" si="35"/>
        <v>1</v>
      </c>
      <c r="I518" s="5">
        <f t="shared" si="36"/>
        <v>1</v>
      </c>
    </row>
    <row r="519" spans="1:9">
      <c r="A519">
        <v>518</v>
      </c>
      <c r="B519">
        <v>14</v>
      </c>
      <c r="C519">
        <v>9000</v>
      </c>
      <c r="D519">
        <v>9094</v>
      </c>
      <c r="E519" s="5">
        <f t="shared" si="33"/>
        <v>94</v>
      </c>
      <c r="F519" s="5">
        <f t="shared" si="34"/>
        <v>8836</v>
      </c>
      <c r="G519" s="6">
        <f>SQRT(SUM($F$2:F519)/A519)</f>
        <v>1148.2999520694843</v>
      </c>
      <c r="H519" s="5">
        <f t="shared" si="35"/>
        <v>1</v>
      </c>
      <c r="I519" s="5">
        <f t="shared" si="36"/>
        <v>1</v>
      </c>
    </row>
    <row r="520" spans="1:9">
      <c r="A520">
        <v>519</v>
      </c>
      <c r="B520">
        <v>14</v>
      </c>
      <c r="C520">
        <v>9000</v>
      </c>
      <c r="D520">
        <v>8629</v>
      </c>
      <c r="E520" s="5">
        <f t="shared" si="33"/>
        <v>371</v>
      </c>
      <c r="F520" s="5">
        <f t="shared" si="34"/>
        <v>137641</v>
      </c>
      <c r="G520" s="6">
        <f>SQRT(SUM($F$2:F520)/A520)</f>
        <v>1147.3087391662475</v>
      </c>
      <c r="H520" s="5">
        <f t="shared" si="35"/>
        <v>1</v>
      </c>
      <c r="I520" s="5">
        <f t="shared" si="36"/>
        <v>1</v>
      </c>
    </row>
    <row r="521" spans="1:9">
      <c r="A521">
        <v>520</v>
      </c>
      <c r="B521">
        <v>14</v>
      </c>
      <c r="C521">
        <v>9000</v>
      </c>
      <c r="D521">
        <v>8153</v>
      </c>
      <c r="E521" s="5">
        <f t="shared" si="33"/>
        <v>847</v>
      </c>
      <c r="F521" s="5">
        <f t="shared" si="34"/>
        <v>717409</v>
      </c>
      <c r="G521" s="6">
        <f>SQRT(SUM($F$2:F521)/A521)</f>
        <v>1146.8066951992591</v>
      </c>
      <c r="H521" s="5">
        <f t="shared" si="35"/>
        <v>1</v>
      </c>
      <c r="I521" s="5">
        <f t="shared" si="36"/>
        <v>1</v>
      </c>
    </row>
    <row r="522" spans="1:9">
      <c r="A522">
        <v>521</v>
      </c>
      <c r="B522">
        <v>15</v>
      </c>
      <c r="C522">
        <v>9000</v>
      </c>
      <c r="D522">
        <v>8787</v>
      </c>
      <c r="E522" s="5">
        <f t="shared" si="33"/>
        <v>213</v>
      </c>
      <c r="F522" s="5">
        <f t="shared" si="34"/>
        <v>45369</v>
      </c>
      <c r="G522" s="6">
        <f>SQRT(SUM($F$2:F522)/A522)</f>
        <v>1145.743586760444</v>
      </c>
      <c r="H522" s="5">
        <f t="shared" si="35"/>
        <v>1</v>
      </c>
      <c r="I522" s="5">
        <f t="shared" si="36"/>
        <v>1</v>
      </c>
    </row>
    <row r="523" spans="1:9">
      <c r="A523">
        <v>522</v>
      </c>
      <c r="B523">
        <v>14</v>
      </c>
      <c r="C523">
        <v>9000</v>
      </c>
      <c r="D523">
        <v>9070</v>
      </c>
      <c r="E523" s="5">
        <f t="shared" si="33"/>
        <v>70</v>
      </c>
      <c r="F523" s="5">
        <f t="shared" si="34"/>
        <v>4900</v>
      </c>
      <c r="G523" s="6">
        <f>SQRT(SUM($F$2:F523)/A523)</f>
        <v>1144.649705488916</v>
      </c>
      <c r="H523" s="5">
        <f t="shared" si="35"/>
        <v>1</v>
      </c>
      <c r="I523" s="5">
        <f t="shared" si="36"/>
        <v>1</v>
      </c>
    </row>
    <row r="524" spans="1:9">
      <c r="A524">
        <v>523</v>
      </c>
      <c r="B524">
        <v>14</v>
      </c>
      <c r="C524">
        <v>9000</v>
      </c>
      <c r="D524">
        <v>8811</v>
      </c>
      <c r="E524" s="5">
        <f t="shared" si="33"/>
        <v>189</v>
      </c>
      <c r="F524" s="5">
        <f t="shared" si="34"/>
        <v>35721</v>
      </c>
      <c r="G524" s="6">
        <f>SQRT(SUM($F$2:F524)/A524)</f>
        <v>1143.5847332248754</v>
      </c>
      <c r="H524" s="5">
        <f t="shared" si="35"/>
        <v>1</v>
      </c>
      <c r="I524" s="5">
        <f t="shared" si="36"/>
        <v>1</v>
      </c>
    </row>
    <row r="525" spans="1:9">
      <c r="A525">
        <v>524</v>
      </c>
      <c r="B525">
        <v>14</v>
      </c>
      <c r="C525">
        <v>9000</v>
      </c>
      <c r="D525">
        <v>8175</v>
      </c>
      <c r="E525" s="5">
        <f t="shared" si="33"/>
        <v>825</v>
      </c>
      <c r="F525" s="5">
        <f t="shared" si="34"/>
        <v>680625</v>
      </c>
      <c r="G525" s="6">
        <f>SQRT(SUM($F$2:F525)/A525)</f>
        <v>1143.0613149990372</v>
      </c>
      <c r="H525" s="5">
        <f t="shared" si="35"/>
        <v>1</v>
      </c>
      <c r="I525" s="5">
        <f t="shared" si="36"/>
        <v>1</v>
      </c>
    </row>
    <row r="526" spans="1:9">
      <c r="A526">
        <v>525</v>
      </c>
      <c r="B526">
        <v>15</v>
      </c>
      <c r="C526">
        <v>9000</v>
      </c>
      <c r="D526">
        <v>9431</v>
      </c>
      <c r="E526" s="5">
        <f t="shared" si="33"/>
        <v>431</v>
      </c>
      <c r="F526" s="5">
        <f t="shared" si="34"/>
        <v>185761</v>
      </c>
      <c r="G526" s="6">
        <f>SQRT(SUM($F$2:F526)/A526)</f>
        <v>1142.1270765758156</v>
      </c>
      <c r="H526" s="5">
        <f t="shared" si="35"/>
        <v>1</v>
      </c>
      <c r="I526" s="5">
        <f t="shared" si="36"/>
        <v>1</v>
      </c>
    </row>
    <row r="527" spans="1:9">
      <c r="A527">
        <v>526</v>
      </c>
      <c r="B527">
        <v>14</v>
      </c>
      <c r="C527">
        <v>9000</v>
      </c>
      <c r="D527">
        <v>10310</v>
      </c>
      <c r="E527" s="5">
        <f t="shared" si="33"/>
        <v>1310</v>
      </c>
      <c r="F527" s="5">
        <f t="shared" si="34"/>
        <v>1716100</v>
      </c>
      <c r="G527" s="6">
        <f>SQRT(SUM($F$2:F527)/A527)</f>
        <v>1142.469630017931</v>
      </c>
      <c r="H527" s="5">
        <f t="shared" si="35"/>
        <v>1</v>
      </c>
      <c r="I527" s="5">
        <f t="shared" si="36"/>
        <v>0</v>
      </c>
    </row>
    <row r="528" spans="1:9">
      <c r="A528">
        <v>527</v>
      </c>
      <c r="B528">
        <v>12</v>
      </c>
      <c r="C528">
        <v>9000</v>
      </c>
      <c r="D528">
        <v>7259</v>
      </c>
      <c r="E528" s="5">
        <f t="shared" si="33"/>
        <v>1741</v>
      </c>
      <c r="F528" s="5">
        <f t="shared" si="34"/>
        <v>3031081</v>
      </c>
      <c r="G528" s="6">
        <f>SQRT(SUM($F$2:F528)/A528)</f>
        <v>1143.9019634948122</v>
      </c>
      <c r="H528" s="5">
        <f t="shared" si="35"/>
        <v>1</v>
      </c>
      <c r="I528" s="5">
        <f t="shared" si="36"/>
        <v>0</v>
      </c>
    </row>
    <row r="529" spans="1:9">
      <c r="A529">
        <v>528</v>
      </c>
      <c r="B529">
        <v>16</v>
      </c>
      <c r="C529">
        <v>9000</v>
      </c>
      <c r="D529">
        <v>9372</v>
      </c>
      <c r="E529" s="5">
        <f t="shared" si="33"/>
        <v>372</v>
      </c>
      <c r="F529" s="5">
        <f t="shared" si="34"/>
        <v>138384</v>
      </c>
      <c r="G529" s="6">
        <f>SQRT(SUM($F$2:F529)/A529)</f>
        <v>1142.9328725416744</v>
      </c>
      <c r="H529" s="5">
        <f t="shared" si="35"/>
        <v>1</v>
      </c>
      <c r="I529" s="5">
        <f t="shared" si="36"/>
        <v>1</v>
      </c>
    </row>
    <row r="530" spans="1:9">
      <c r="A530">
        <v>529</v>
      </c>
      <c r="B530">
        <v>14</v>
      </c>
      <c r="C530">
        <v>9000</v>
      </c>
      <c r="D530">
        <v>8627</v>
      </c>
      <c r="E530" s="5">
        <f t="shared" si="33"/>
        <v>373</v>
      </c>
      <c r="F530" s="5">
        <f t="shared" si="34"/>
        <v>139129</v>
      </c>
      <c r="G530" s="6">
        <f>SQRT(SUM($F$2:F530)/A530)</f>
        <v>1141.9672443400282</v>
      </c>
      <c r="H530" s="5">
        <f t="shared" si="35"/>
        <v>1</v>
      </c>
      <c r="I530" s="5">
        <f t="shared" si="36"/>
        <v>1</v>
      </c>
    </row>
    <row r="531" spans="1:9">
      <c r="A531">
        <v>530</v>
      </c>
      <c r="B531">
        <v>15</v>
      </c>
      <c r="C531">
        <v>9000</v>
      </c>
      <c r="D531">
        <v>9286</v>
      </c>
      <c r="E531" s="5">
        <f t="shared" si="33"/>
        <v>286</v>
      </c>
      <c r="F531" s="5">
        <f t="shared" si="34"/>
        <v>81796</v>
      </c>
      <c r="G531" s="6">
        <f>SQRT(SUM($F$2:F531)/A531)</f>
        <v>1140.9570428306693</v>
      </c>
      <c r="H531" s="5">
        <f t="shared" si="35"/>
        <v>1</v>
      </c>
      <c r="I531" s="5">
        <f t="shared" si="36"/>
        <v>1</v>
      </c>
    </row>
    <row r="532" spans="1:9">
      <c r="A532">
        <v>531</v>
      </c>
      <c r="B532">
        <v>14</v>
      </c>
      <c r="C532">
        <v>9000</v>
      </c>
      <c r="D532">
        <v>8533</v>
      </c>
      <c r="E532" s="5">
        <f t="shared" si="33"/>
        <v>467</v>
      </c>
      <c r="F532" s="5">
        <f t="shared" si="34"/>
        <v>218089</v>
      </c>
      <c r="G532" s="6">
        <f>SQRT(SUM($F$2:F532)/A532)</f>
        <v>1140.0623310346095</v>
      </c>
      <c r="H532" s="5">
        <f t="shared" si="35"/>
        <v>1</v>
      </c>
      <c r="I532" s="5">
        <f t="shared" si="36"/>
        <v>1</v>
      </c>
    </row>
    <row r="533" spans="1:9">
      <c r="A533">
        <v>532</v>
      </c>
      <c r="B533">
        <v>15</v>
      </c>
      <c r="C533">
        <v>9000</v>
      </c>
      <c r="D533">
        <v>8726</v>
      </c>
      <c r="E533" s="5">
        <f t="shared" si="33"/>
        <v>274</v>
      </c>
      <c r="F533" s="5">
        <f t="shared" si="34"/>
        <v>75076</v>
      </c>
      <c r="G533" s="6">
        <f>SQRT(SUM($F$2:F533)/A533)</f>
        <v>1139.0522879401342</v>
      </c>
      <c r="H533" s="5">
        <f t="shared" si="35"/>
        <v>1</v>
      </c>
      <c r="I533" s="5">
        <f t="shared" si="36"/>
        <v>1</v>
      </c>
    </row>
    <row r="534" spans="1:9">
      <c r="A534">
        <v>533</v>
      </c>
      <c r="B534">
        <v>15</v>
      </c>
      <c r="C534">
        <v>9000</v>
      </c>
      <c r="D534">
        <v>8932</v>
      </c>
      <c r="E534" s="5">
        <f t="shared" si="33"/>
        <v>68</v>
      </c>
      <c r="F534" s="5">
        <f t="shared" si="34"/>
        <v>4624</v>
      </c>
      <c r="G534" s="6">
        <f>SQRT(SUM($F$2:F534)/A534)</f>
        <v>1137.9870686788581</v>
      </c>
      <c r="H534" s="5">
        <f t="shared" si="35"/>
        <v>1</v>
      </c>
      <c r="I534" s="5">
        <f t="shared" si="36"/>
        <v>1</v>
      </c>
    </row>
    <row r="535" spans="1:9">
      <c r="A535">
        <v>534</v>
      </c>
      <c r="B535">
        <v>14</v>
      </c>
      <c r="C535">
        <v>9000</v>
      </c>
      <c r="D535">
        <v>9116</v>
      </c>
      <c r="E535" s="5">
        <f t="shared" si="33"/>
        <v>116</v>
      </c>
      <c r="F535" s="5">
        <f t="shared" si="34"/>
        <v>13456</v>
      </c>
      <c r="G535" s="6">
        <f>SQRT(SUM($F$2:F535)/A535)</f>
        <v>1136.93212025495</v>
      </c>
      <c r="H535" s="5">
        <f t="shared" si="35"/>
        <v>1</v>
      </c>
      <c r="I535" s="5">
        <f t="shared" si="36"/>
        <v>1</v>
      </c>
    </row>
    <row r="536" spans="1:9">
      <c r="A536">
        <v>535</v>
      </c>
      <c r="B536">
        <v>14</v>
      </c>
      <c r="C536">
        <v>9000</v>
      </c>
      <c r="D536">
        <v>8342</v>
      </c>
      <c r="E536" s="5">
        <f t="shared" si="33"/>
        <v>658</v>
      </c>
      <c r="F536" s="5">
        <f t="shared" si="34"/>
        <v>432964</v>
      </c>
      <c r="G536" s="6">
        <f>SQRT(SUM($F$2:F536)/A536)</f>
        <v>1136.2252516248293</v>
      </c>
      <c r="H536" s="5">
        <f t="shared" si="35"/>
        <v>1</v>
      </c>
      <c r="I536" s="5">
        <f t="shared" si="36"/>
        <v>1</v>
      </c>
    </row>
    <row r="537" spans="1:9">
      <c r="A537">
        <v>536</v>
      </c>
      <c r="B537">
        <v>15</v>
      </c>
      <c r="C537">
        <v>9000</v>
      </c>
      <c r="D537">
        <v>10034</v>
      </c>
      <c r="E537" s="5">
        <f t="shared" si="33"/>
        <v>1034</v>
      </c>
      <c r="F537" s="5">
        <f t="shared" si="34"/>
        <v>1069156</v>
      </c>
      <c r="G537" s="6">
        <f>SQRT(SUM($F$2:F537)/A537)</f>
        <v>1136.0430976754883</v>
      </c>
      <c r="H537" s="5">
        <f t="shared" si="35"/>
        <v>1</v>
      </c>
      <c r="I537" s="5">
        <f t="shared" si="36"/>
        <v>0</v>
      </c>
    </row>
    <row r="538" spans="1:9">
      <c r="A538">
        <v>537</v>
      </c>
      <c r="B538">
        <v>13</v>
      </c>
      <c r="C538">
        <v>9000</v>
      </c>
      <c r="D538">
        <v>8945</v>
      </c>
      <c r="E538" s="5">
        <f t="shared" si="33"/>
        <v>55</v>
      </c>
      <c r="F538" s="5">
        <f t="shared" si="34"/>
        <v>3025</v>
      </c>
      <c r="G538" s="6">
        <f>SQRT(SUM($F$2:F538)/A538)</f>
        <v>1134.9873181187986</v>
      </c>
      <c r="H538" s="5">
        <f t="shared" si="35"/>
        <v>1</v>
      </c>
      <c r="I538" s="5">
        <f t="shared" si="36"/>
        <v>1</v>
      </c>
    </row>
    <row r="539" spans="1:9">
      <c r="A539">
        <v>538</v>
      </c>
      <c r="B539">
        <v>14</v>
      </c>
      <c r="C539">
        <v>9000</v>
      </c>
      <c r="D539">
        <v>8957</v>
      </c>
      <c r="E539" s="5">
        <f t="shared" si="33"/>
        <v>43</v>
      </c>
      <c r="F539" s="5">
        <f t="shared" si="34"/>
        <v>1849</v>
      </c>
      <c r="G539" s="6">
        <f>SQRT(SUM($F$2:F539)/A539)</f>
        <v>1133.9335220117657</v>
      </c>
      <c r="H539" s="5">
        <f t="shared" si="35"/>
        <v>1</v>
      </c>
      <c r="I539" s="5">
        <f t="shared" si="36"/>
        <v>1</v>
      </c>
    </row>
    <row r="540" spans="1:9">
      <c r="A540">
        <v>539</v>
      </c>
      <c r="B540">
        <v>14</v>
      </c>
      <c r="C540">
        <v>9000</v>
      </c>
      <c r="D540">
        <v>9144</v>
      </c>
      <c r="E540" s="5">
        <f t="shared" si="33"/>
        <v>144</v>
      </c>
      <c r="F540" s="5">
        <f t="shared" si="34"/>
        <v>20736</v>
      </c>
      <c r="G540" s="6">
        <f>SQRT(SUM($F$2:F540)/A540)</f>
        <v>1132.8981265412144</v>
      </c>
      <c r="H540" s="5">
        <f t="shared" si="35"/>
        <v>1</v>
      </c>
      <c r="I540" s="5">
        <f t="shared" si="36"/>
        <v>1</v>
      </c>
    </row>
    <row r="541" spans="1:9">
      <c r="A541">
        <v>540</v>
      </c>
      <c r="B541">
        <v>14</v>
      </c>
      <c r="C541">
        <v>9000</v>
      </c>
      <c r="D541">
        <v>9001</v>
      </c>
      <c r="E541" s="5">
        <f t="shared" si="33"/>
        <v>1</v>
      </c>
      <c r="F541" s="5">
        <f t="shared" si="34"/>
        <v>1</v>
      </c>
      <c r="G541" s="6">
        <f>SQRT(SUM($F$2:F541)/A541)</f>
        <v>1131.848661523524</v>
      </c>
      <c r="H541" s="5">
        <f t="shared" si="35"/>
        <v>1</v>
      </c>
      <c r="I541" s="5">
        <f t="shared" si="36"/>
        <v>1</v>
      </c>
    </row>
    <row r="542" spans="1:9">
      <c r="A542">
        <v>541</v>
      </c>
      <c r="B542">
        <v>14</v>
      </c>
      <c r="C542">
        <v>9000</v>
      </c>
      <c r="D542">
        <v>9124</v>
      </c>
      <c r="E542" s="5">
        <f t="shared" si="33"/>
        <v>124</v>
      </c>
      <c r="F542" s="5">
        <f t="shared" si="34"/>
        <v>15376</v>
      </c>
      <c r="G542" s="6">
        <f>SQRT(SUM($F$2:F542)/A542)</f>
        <v>1130.8146736966626</v>
      </c>
      <c r="H542" s="5">
        <f t="shared" si="35"/>
        <v>1</v>
      </c>
      <c r="I542" s="5">
        <f t="shared" si="36"/>
        <v>1</v>
      </c>
    </row>
    <row r="543" spans="1:9">
      <c r="A543">
        <v>542</v>
      </c>
      <c r="B543">
        <v>14</v>
      </c>
      <c r="C543">
        <v>9000</v>
      </c>
      <c r="D543">
        <v>8629</v>
      </c>
      <c r="E543" s="5">
        <f t="shared" si="33"/>
        <v>371</v>
      </c>
      <c r="F543" s="5">
        <f t="shared" si="34"/>
        <v>137641</v>
      </c>
      <c r="G543" s="6">
        <f>SQRT(SUM($F$2:F543)/A543)</f>
        <v>1129.8833896335238</v>
      </c>
      <c r="H543" s="5">
        <f t="shared" si="35"/>
        <v>1</v>
      </c>
      <c r="I543" s="5">
        <f t="shared" si="36"/>
        <v>1</v>
      </c>
    </row>
    <row r="544" spans="1:9">
      <c r="A544">
        <v>543</v>
      </c>
      <c r="B544">
        <v>15</v>
      </c>
      <c r="C544">
        <v>9000</v>
      </c>
      <c r="D544">
        <v>8816</v>
      </c>
      <c r="E544" s="5">
        <f t="shared" si="33"/>
        <v>184</v>
      </c>
      <c r="F544" s="5">
        <f t="shared" si="34"/>
        <v>33856</v>
      </c>
      <c r="G544" s="6">
        <f>SQRT(SUM($F$2:F544)/A544)</f>
        <v>1128.8701183106641</v>
      </c>
      <c r="H544" s="5">
        <f t="shared" si="35"/>
        <v>1</v>
      </c>
      <c r="I544" s="5">
        <f t="shared" si="36"/>
        <v>1</v>
      </c>
    </row>
    <row r="545" spans="1:9">
      <c r="A545">
        <v>544</v>
      </c>
      <c r="B545">
        <v>15</v>
      </c>
      <c r="C545">
        <v>9000</v>
      </c>
      <c r="D545">
        <v>4526</v>
      </c>
      <c r="E545" s="5">
        <f t="shared" si="33"/>
        <v>4474</v>
      </c>
      <c r="F545" s="5">
        <f t="shared" si="34"/>
        <v>20016676</v>
      </c>
      <c r="G545" s="6">
        <f>SQRT(SUM($F$2:F545)/A545)</f>
        <v>1144.0282135108484</v>
      </c>
      <c r="H545" s="5">
        <f t="shared" si="35"/>
        <v>0</v>
      </c>
      <c r="I545" s="5">
        <f t="shared" si="36"/>
        <v>0</v>
      </c>
    </row>
    <row r="546" spans="1:9">
      <c r="A546">
        <v>545</v>
      </c>
      <c r="B546">
        <v>20</v>
      </c>
      <c r="C546">
        <v>9000</v>
      </c>
      <c r="D546">
        <v>9095</v>
      </c>
      <c r="E546" s="5">
        <f t="shared" si="33"/>
        <v>95</v>
      </c>
      <c r="F546" s="5">
        <f t="shared" si="34"/>
        <v>9025</v>
      </c>
      <c r="G546" s="6">
        <f>SQRT(SUM($F$2:F546)/A546)</f>
        <v>1142.985408496844</v>
      </c>
      <c r="H546" s="5">
        <f t="shared" si="35"/>
        <v>1</v>
      </c>
      <c r="I546" s="5">
        <f t="shared" si="36"/>
        <v>1</v>
      </c>
    </row>
    <row r="547" spans="1:9">
      <c r="A547">
        <v>546</v>
      </c>
      <c r="B547">
        <v>15</v>
      </c>
      <c r="C547">
        <v>9000</v>
      </c>
      <c r="D547">
        <v>8508</v>
      </c>
      <c r="E547" s="5">
        <f t="shared" si="33"/>
        <v>492</v>
      </c>
      <c r="F547" s="5">
        <f t="shared" si="34"/>
        <v>242064</v>
      </c>
      <c r="G547" s="6">
        <f>SQRT(SUM($F$2:F547)/A547)</f>
        <v>1142.1323399901091</v>
      </c>
      <c r="H547" s="5">
        <f t="shared" si="35"/>
        <v>1</v>
      </c>
      <c r="I547" s="5">
        <f t="shared" si="36"/>
        <v>1</v>
      </c>
    </row>
    <row r="548" spans="1:9">
      <c r="A548">
        <v>547</v>
      </c>
      <c r="B548">
        <v>16</v>
      </c>
      <c r="C548">
        <v>9000</v>
      </c>
      <c r="D548">
        <v>9760</v>
      </c>
      <c r="E548" s="5">
        <f t="shared" si="33"/>
        <v>760</v>
      </c>
      <c r="F548" s="5">
        <f t="shared" si="34"/>
        <v>577600</v>
      </c>
      <c r="G548" s="6">
        <f>SQRT(SUM($F$2:F548)/A548)</f>
        <v>1141.5504626894708</v>
      </c>
      <c r="H548" s="5">
        <f t="shared" si="35"/>
        <v>1</v>
      </c>
      <c r="I548" s="5">
        <f t="shared" si="36"/>
        <v>1</v>
      </c>
    </row>
    <row r="549" spans="1:9">
      <c r="A549">
        <v>548</v>
      </c>
      <c r="B549">
        <v>15</v>
      </c>
      <c r="C549">
        <v>9000</v>
      </c>
      <c r="D549">
        <v>8311</v>
      </c>
      <c r="E549" s="5">
        <f t="shared" si="33"/>
        <v>689</v>
      </c>
      <c r="F549" s="5">
        <f t="shared" si="34"/>
        <v>474721</v>
      </c>
      <c r="G549" s="6">
        <f>SQRT(SUM($F$2:F549)/A549)</f>
        <v>1140.8881408797272</v>
      </c>
      <c r="H549" s="5">
        <f t="shared" si="35"/>
        <v>1</v>
      </c>
      <c r="I549" s="5">
        <f t="shared" si="36"/>
        <v>1</v>
      </c>
    </row>
    <row r="550" spans="1:9">
      <c r="A550">
        <v>549</v>
      </c>
      <c r="B550">
        <v>16</v>
      </c>
      <c r="C550">
        <v>9000</v>
      </c>
      <c r="D550">
        <v>9524</v>
      </c>
      <c r="E550" s="5">
        <f t="shared" si="33"/>
        <v>524</v>
      </c>
      <c r="F550" s="5">
        <f t="shared" si="34"/>
        <v>274576</v>
      </c>
      <c r="G550" s="6">
        <f>SQRT(SUM($F$2:F550)/A550)</f>
        <v>1140.0679740384128</v>
      </c>
      <c r="H550" s="5">
        <f t="shared" si="35"/>
        <v>1</v>
      </c>
      <c r="I550" s="5">
        <f t="shared" si="36"/>
        <v>1</v>
      </c>
    </row>
    <row r="551" spans="1:9">
      <c r="A551">
        <v>550</v>
      </c>
      <c r="B551">
        <v>15</v>
      </c>
      <c r="C551">
        <v>9000</v>
      </c>
      <c r="D551">
        <v>8856</v>
      </c>
      <c r="E551" s="5">
        <f t="shared" si="33"/>
        <v>144</v>
      </c>
      <c r="F551" s="5">
        <f t="shared" si="34"/>
        <v>20736</v>
      </c>
      <c r="G551" s="6">
        <f>SQRT(SUM($F$2:F551)/A551)</f>
        <v>1139.0476269075127</v>
      </c>
      <c r="H551" s="5">
        <f t="shared" si="35"/>
        <v>1</v>
      </c>
      <c r="I551" s="5">
        <f t="shared" si="36"/>
        <v>1</v>
      </c>
    </row>
    <row r="552" spans="1:9">
      <c r="A552">
        <v>551</v>
      </c>
      <c r="B552">
        <v>16</v>
      </c>
      <c r="C552">
        <v>9000</v>
      </c>
      <c r="D552">
        <v>9377</v>
      </c>
      <c r="E552" s="5">
        <f t="shared" si="33"/>
        <v>377</v>
      </c>
      <c r="F552" s="5">
        <f t="shared" si="34"/>
        <v>142129</v>
      </c>
      <c r="G552" s="6">
        <f>SQRT(SUM($F$2:F552)/A552)</f>
        <v>1138.1268656219543</v>
      </c>
      <c r="H552" s="5">
        <f t="shared" si="35"/>
        <v>1</v>
      </c>
      <c r="I552" s="5">
        <f t="shared" si="36"/>
        <v>1</v>
      </c>
    </row>
    <row r="553" spans="1:9">
      <c r="A553">
        <v>552</v>
      </c>
      <c r="B553">
        <v>15</v>
      </c>
      <c r="C553">
        <v>9000</v>
      </c>
      <c r="D553">
        <v>9818</v>
      </c>
      <c r="E553" s="5">
        <f t="shared" si="33"/>
        <v>818</v>
      </c>
      <c r="F553" s="5">
        <f t="shared" si="34"/>
        <v>669124</v>
      </c>
      <c r="G553" s="6">
        <f>SQRT(SUM($F$2:F553)/A553)</f>
        <v>1137.6283778488284</v>
      </c>
      <c r="H553" s="5">
        <f t="shared" si="35"/>
        <v>1</v>
      </c>
      <c r="I553" s="5">
        <f t="shared" si="36"/>
        <v>1</v>
      </c>
    </row>
    <row r="554" spans="1:9">
      <c r="A554">
        <v>553</v>
      </c>
      <c r="B554">
        <v>14</v>
      </c>
      <c r="C554">
        <v>9000</v>
      </c>
      <c r="D554">
        <v>9134</v>
      </c>
      <c r="E554" s="5">
        <f t="shared" si="33"/>
        <v>134</v>
      </c>
      <c r="F554" s="5">
        <f t="shared" si="34"/>
        <v>17956</v>
      </c>
      <c r="G554" s="6">
        <f>SQRT(SUM($F$2:F554)/A554)</f>
        <v>1136.6135991529334</v>
      </c>
      <c r="H554" s="5">
        <f t="shared" si="35"/>
        <v>1</v>
      </c>
      <c r="I554" s="5">
        <f t="shared" si="36"/>
        <v>1</v>
      </c>
    </row>
    <row r="555" spans="1:9">
      <c r="A555">
        <v>554</v>
      </c>
      <c r="B555">
        <v>15</v>
      </c>
      <c r="C555">
        <v>9000</v>
      </c>
      <c r="D555">
        <v>9355</v>
      </c>
      <c r="E555" s="5">
        <f t="shared" si="33"/>
        <v>355</v>
      </c>
      <c r="F555" s="5">
        <f t="shared" si="34"/>
        <v>126025</v>
      </c>
      <c r="G555" s="6">
        <f>SQRT(SUM($F$2:F555)/A555)</f>
        <v>1135.6874673367247</v>
      </c>
      <c r="H555" s="5">
        <f t="shared" si="35"/>
        <v>1</v>
      </c>
      <c r="I555" s="5">
        <f t="shared" si="36"/>
        <v>1</v>
      </c>
    </row>
    <row r="556" spans="1:9">
      <c r="A556">
        <v>555</v>
      </c>
      <c r="B556">
        <v>15</v>
      </c>
      <c r="C556">
        <v>9000</v>
      </c>
      <c r="D556">
        <v>8864</v>
      </c>
      <c r="E556" s="5">
        <f t="shared" si="33"/>
        <v>136</v>
      </c>
      <c r="F556" s="5">
        <f t="shared" si="34"/>
        <v>18496</v>
      </c>
      <c r="G556" s="6">
        <f>SQRT(SUM($F$2:F556)/A556)</f>
        <v>1134.6785495508457</v>
      </c>
      <c r="H556" s="5">
        <f t="shared" si="35"/>
        <v>1</v>
      </c>
      <c r="I556" s="5">
        <f t="shared" si="36"/>
        <v>1</v>
      </c>
    </row>
    <row r="557" spans="1:9">
      <c r="A557">
        <v>556</v>
      </c>
      <c r="B557">
        <v>15</v>
      </c>
      <c r="C557">
        <v>9000</v>
      </c>
      <c r="D557">
        <v>9112</v>
      </c>
      <c r="E557" s="5">
        <f t="shared" si="33"/>
        <v>112</v>
      </c>
      <c r="F557" s="5">
        <f t="shared" si="34"/>
        <v>12544</v>
      </c>
      <c r="G557" s="6">
        <f>SQRT(SUM($F$2:F557)/A557)</f>
        <v>1133.6676465057178</v>
      </c>
      <c r="H557" s="5">
        <f t="shared" si="35"/>
        <v>1</v>
      </c>
      <c r="I557" s="5">
        <f t="shared" si="36"/>
        <v>1</v>
      </c>
    </row>
    <row r="558" spans="1:9">
      <c r="A558">
        <v>557</v>
      </c>
      <c r="B558">
        <v>15</v>
      </c>
      <c r="C558">
        <v>9000</v>
      </c>
      <c r="D558">
        <v>9367</v>
      </c>
      <c r="E558" s="5">
        <f t="shared" si="33"/>
        <v>367</v>
      </c>
      <c r="F558" s="5">
        <f t="shared" si="34"/>
        <v>134689</v>
      </c>
      <c r="G558" s="6">
        <f>SQRT(SUM($F$2:F558)/A558)</f>
        <v>1132.7562752746715</v>
      </c>
      <c r="H558" s="5">
        <f t="shared" si="35"/>
        <v>1</v>
      </c>
      <c r="I558" s="5">
        <f t="shared" si="36"/>
        <v>1</v>
      </c>
    </row>
    <row r="559" spans="1:9">
      <c r="A559">
        <v>558</v>
      </c>
      <c r="B559">
        <v>15</v>
      </c>
      <c r="C559">
        <v>9000</v>
      </c>
      <c r="D559">
        <v>9159</v>
      </c>
      <c r="E559" s="5">
        <f t="shared" si="33"/>
        <v>159</v>
      </c>
      <c r="F559" s="5">
        <f t="shared" si="34"/>
        <v>25281</v>
      </c>
      <c r="G559" s="6">
        <f>SQRT(SUM($F$2:F559)/A559)</f>
        <v>1131.7608216172134</v>
      </c>
      <c r="H559" s="5">
        <f t="shared" si="35"/>
        <v>1</v>
      </c>
      <c r="I559" s="5">
        <f t="shared" si="36"/>
        <v>1</v>
      </c>
    </row>
    <row r="560" spans="1:9">
      <c r="A560">
        <v>559</v>
      </c>
      <c r="B560">
        <v>15</v>
      </c>
      <c r="C560">
        <v>9000</v>
      </c>
      <c r="D560">
        <v>9635</v>
      </c>
      <c r="E560" s="5">
        <f t="shared" si="33"/>
        <v>635</v>
      </c>
      <c r="F560" s="5">
        <f t="shared" si="34"/>
        <v>403225</v>
      </c>
      <c r="G560" s="6">
        <f>SQRT(SUM($F$2:F560)/A560)</f>
        <v>1131.0669777029518</v>
      </c>
      <c r="H560" s="5">
        <f t="shared" si="35"/>
        <v>1</v>
      </c>
      <c r="I560" s="5">
        <f t="shared" si="36"/>
        <v>1</v>
      </c>
    </row>
    <row r="561" spans="1:9">
      <c r="A561">
        <v>560</v>
      </c>
      <c r="B561">
        <v>14</v>
      </c>
      <c r="C561">
        <v>9000</v>
      </c>
      <c r="D561">
        <v>8868</v>
      </c>
      <c r="E561" s="5">
        <f t="shared" si="33"/>
        <v>132</v>
      </c>
      <c r="F561" s="5">
        <f t="shared" si="34"/>
        <v>17424</v>
      </c>
      <c r="G561" s="6">
        <f>SQRT(SUM($F$2:F561)/A561)</f>
        <v>1130.0704118391411</v>
      </c>
      <c r="H561" s="5">
        <f t="shared" si="35"/>
        <v>1</v>
      </c>
      <c r="I561" s="5">
        <f t="shared" si="36"/>
        <v>1</v>
      </c>
    </row>
    <row r="562" spans="1:9">
      <c r="A562">
        <v>561</v>
      </c>
      <c r="B562">
        <v>15</v>
      </c>
      <c r="C562">
        <v>9000</v>
      </c>
      <c r="D562">
        <v>8974</v>
      </c>
      <c r="E562" s="5">
        <f t="shared" si="33"/>
        <v>26</v>
      </c>
      <c r="F562" s="5">
        <f t="shared" si="34"/>
        <v>676</v>
      </c>
      <c r="G562" s="6">
        <f>SQRT(SUM($F$2:F562)/A562)</f>
        <v>1129.0633033444146</v>
      </c>
      <c r="H562" s="5">
        <f t="shared" si="35"/>
        <v>1</v>
      </c>
      <c r="I562" s="5">
        <f t="shared" si="36"/>
        <v>1</v>
      </c>
    </row>
    <row r="563" spans="1:9">
      <c r="A563">
        <v>562</v>
      </c>
      <c r="B563">
        <v>15</v>
      </c>
      <c r="C563">
        <v>9000</v>
      </c>
      <c r="D563">
        <v>9812</v>
      </c>
      <c r="E563" s="5">
        <f t="shared" si="33"/>
        <v>812</v>
      </c>
      <c r="F563" s="5">
        <f t="shared" si="34"/>
        <v>659344</v>
      </c>
      <c r="G563" s="6">
        <f>SQRT(SUM($F$2:F563)/A563)</f>
        <v>1128.5782445592893</v>
      </c>
      <c r="H563" s="5">
        <f t="shared" si="35"/>
        <v>1</v>
      </c>
      <c r="I563" s="5">
        <f t="shared" si="36"/>
        <v>1</v>
      </c>
    </row>
    <row r="564" spans="1:9">
      <c r="A564">
        <v>563</v>
      </c>
      <c r="B564">
        <v>14</v>
      </c>
      <c r="C564">
        <v>9000</v>
      </c>
      <c r="D564">
        <v>8772</v>
      </c>
      <c r="E564" s="5">
        <f t="shared" si="33"/>
        <v>228</v>
      </c>
      <c r="F564" s="5">
        <f t="shared" si="34"/>
        <v>51984</v>
      </c>
      <c r="G564" s="6">
        <f>SQRT(SUM($F$2:F564)/A564)</f>
        <v>1127.6164521825149</v>
      </c>
      <c r="H564" s="5">
        <f t="shared" si="35"/>
        <v>1</v>
      </c>
      <c r="I564" s="5">
        <f t="shared" si="36"/>
        <v>1</v>
      </c>
    </row>
    <row r="565" spans="1:9">
      <c r="A565">
        <v>564</v>
      </c>
      <c r="B565">
        <v>15</v>
      </c>
      <c r="C565">
        <v>9000</v>
      </c>
      <c r="D565">
        <v>8857</v>
      </c>
      <c r="E565" s="5">
        <f t="shared" si="33"/>
        <v>143</v>
      </c>
      <c r="F565" s="5">
        <f t="shared" si="34"/>
        <v>20449</v>
      </c>
      <c r="G565" s="6">
        <f>SQRT(SUM($F$2:F565)/A565)</f>
        <v>1126.6324397314854</v>
      </c>
      <c r="H565" s="5">
        <f t="shared" si="35"/>
        <v>1</v>
      </c>
      <c r="I565" s="5">
        <f t="shared" si="36"/>
        <v>1</v>
      </c>
    </row>
    <row r="566" spans="1:9">
      <c r="A566">
        <v>565</v>
      </c>
      <c r="B566">
        <v>15</v>
      </c>
      <c r="C566">
        <v>9000</v>
      </c>
      <c r="D566">
        <v>8996</v>
      </c>
      <c r="E566" s="5">
        <f t="shared" si="33"/>
        <v>4</v>
      </c>
      <c r="F566" s="5">
        <f t="shared" si="34"/>
        <v>16</v>
      </c>
      <c r="G566" s="6">
        <f>SQRT(SUM($F$2:F566)/A566)</f>
        <v>1125.6349909021853</v>
      </c>
      <c r="H566" s="5">
        <f t="shared" si="35"/>
        <v>1</v>
      </c>
      <c r="I566" s="5">
        <f t="shared" si="36"/>
        <v>1</v>
      </c>
    </row>
    <row r="567" spans="1:9">
      <c r="A567">
        <v>566</v>
      </c>
      <c r="B567">
        <v>15</v>
      </c>
      <c r="C567">
        <v>9000</v>
      </c>
      <c r="D567">
        <v>9667</v>
      </c>
      <c r="E567" s="5">
        <f t="shared" si="33"/>
        <v>667</v>
      </c>
      <c r="F567" s="5">
        <f t="shared" si="34"/>
        <v>444889</v>
      </c>
      <c r="G567" s="6">
        <f>SQRT(SUM($F$2:F567)/A567)</f>
        <v>1124.9895751381928</v>
      </c>
      <c r="H567" s="5">
        <f t="shared" si="35"/>
        <v>1</v>
      </c>
      <c r="I567" s="5">
        <f t="shared" si="36"/>
        <v>1</v>
      </c>
    </row>
    <row r="568" spans="1:9">
      <c r="A568">
        <v>567</v>
      </c>
      <c r="B568">
        <v>14</v>
      </c>
      <c r="C568">
        <v>9000</v>
      </c>
      <c r="D568">
        <v>8330</v>
      </c>
      <c r="E568" s="5">
        <f t="shared" si="33"/>
        <v>670</v>
      </c>
      <c r="F568" s="5">
        <f t="shared" si="34"/>
        <v>448900</v>
      </c>
      <c r="G568" s="6">
        <f>SQRT(SUM($F$2:F568)/A568)</f>
        <v>1124.3492132959198</v>
      </c>
      <c r="H568" s="5">
        <f t="shared" si="35"/>
        <v>1</v>
      </c>
      <c r="I568" s="5">
        <f t="shared" si="36"/>
        <v>1</v>
      </c>
    </row>
    <row r="569" spans="1:9">
      <c r="A569">
        <v>568</v>
      </c>
      <c r="B569">
        <v>15</v>
      </c>
      <c r="C569">
        <v>9000</v>
      </c>
      <c r="D569">
        <v>8922</v>
      </c>
      <c r="E569" s="5">
        <f t="shared" si="33"/>
        <v>78</v>
      </c>
      <c r="F569" s="5">
        <f t="shared" si="34"/>
        <v>6084</v>
      </c>
      <c r="G569" s="6">
        <f>SQRT(SUM($F$2:F569)/A569)</f>
        <v>1123.3638007668039</v>
      </c>
      <c r="H569" s="5">
        <f t="shared" si="35"/>
        <v>1</v>
      </c>
      <c r="I569" s="5">
        <f t="shared" si="36"/>
        <v>1</v>
      </c>
    </row>
    <row r="570" spans="1:9">
      <c r="A570">
        <v>569</v>
      </c>
      <c r="B570">
        <v>15</v>
      </c>
      <c r="C570">
        <v>9000</v>
      </c>
      <c r="D570">
        <v>8836</v>
      </c>
      <c r="E570" s="5">
        <f t="shared" si="33"/>
        <v>164</v>
      </c>
      <c r="F570" s="5">
        <f t="shared" si="34"/>
        <v>26896</v>
      </c>
      <c r="G570" s="6">
        <f>SQRT(SUM($F$2:F570)/A570)</f>
        <v>1122.3972853142704</v>
      </c>
      <c r="H570" s="5">
        <f t="shared" si="35"/>
        <v>1</v>
      </c>
      <c r="I570" s="5">
        <f t="shared" si="36"/>
        <v>1</v>
      </c>
    </row>
    <row r="571" spans="1:9">
      <c r="A571">
        <v>570</v>
      </c>
      <c r="B571">
        <v>15</v>
      </c>
      <c r="C571">
        <v>9000</v>
      </c>
      <c r="D571">
        <v>9119</v>
      </c>
      <c r="E571" s="5">
        <f t="shared" si="33"/>
        <v>119</v>
      </c>
      <c r="F571" s="5">
        <f t="shared" si="34"/>
        <v>14161</v>
      </c>
      <c r="G571" s="6">
        <f>SQRT(SUM($F$2:F571)/A571)</f>
        <v>1121.4233710748954</v>
      </c>
      <c r="H571" s="5">
        <f t="shared" si="35"/>
        <v>1</v>
      </c>
      <c r="I571" s="5">
        <f t="shared" si="36"/>
        <v>1</v>
      </c>
    </row>
    <row r="572" spans="1:9">
      <c r="A572">
        <v>571</v>
      </c>
      <c r="B572">
        <v>15</v>
      </c>
      <c r="C572">
        <v>9000</v>
      </c>
      <c r="D572">
        <v>8874</v>
      </c>
      <c r="E572" s="5">
        <f t="shared" si="33"/>
        <v>126</v>
      </c>
      <c r="F572" s="5">
        <f t="shared" si="34"/>
        <v>15876</v>
      </c>
      <c r="G572" s="6">
        <f>SQRT(SUM($F$2:F572)/A572)</f>
        <v>1120.4533663029197</v>
      </c>
      <c r="H572" s="5">
        <f t="shared" si="35"/>
        <v>1</v>
      </c>
      <c r="I572" s="5">
        <f t="shared" si="36"/>
        <v>1</v>
      </c>
    </row>
    <row r="573" spans="1:9">
      <c r="A573">
        <v>572</v>
      </c>
      <c r="B573">
        <v>15</v>
      </c>
      <c r="C573">
        <v>9000</v>
      </c>
      <c r="D573">
        <v>8796</v>
      </c>
      <c r="E573" s="5">
        <f t="shared" si="33"/>
        <v>204</v>
      </c>
      <c r="F573" s="5">
        <f t="shared" si="34"/>
        <v>41616</v>
      </c>
      <c r="G573" s="6">
        <f>SQRT(SUM($F$2:F573)/A573)</f>
        <v>1119.5060154065579</v>
      </c>
      <c r="H573" s="5">
        <f t="shared" si="35"/>
        <v>1</v>
      </c>
      <c r="I573" s="5">
        <f t="shared" si="36"/>
        <v>1</v>
      </c>
    </row>
    <row r="574" spans="1:9">
      <c r="A574">
        <v>573</v>
      </c>
      <c r="B574">
        <v>15</v>
      </c>
      <c r="C574">
        <v>9000</v>
      </c>
      <c r="D574">
        <v>8657</v>
      </c>
      <c r="E574" s="5">
        <f t="shared" si="33"/>
        <v>343</v>
      </c>
      <c r="F574" s="5">
        <f t="shared" si="34"/>
        <v>117649</v>
      </c>
      <c r="G574" s="6">
        <f>SQRT(SUM($F$2:F574)/A574)</f>
        <v>1118.6204854980604</v>
      </c>
      <c r="H574" s="5">
        <f t="shared" si="35"/>
        <v>1</v>
      </c>
      <c r="I574" s="5">
        <f t="shared" si="36"/>
        <v>1</v>
      </c>
    </row>
    <row r="575" spans="1:9">
      <c r="A575">
        <v>574</v>
      </c>
      <c r="B575">
        <v>15</v>
      </c>
      <c r="C575">
        <v>9000</v>
      </c>
      <c r="D575">
        <v>8676</v>
      </c>
      <c r="E575" s="5">
        <f t="shared" si="33"/>
        <v>324</v>
      </c>
      <c r="F575" s="5">
        <f t="shared" si="34"/>
        <v>104976</v>
      </c>
      <c r="G575" s="6">
        <f>SQRT(SUM($F$2:F575)/A575)</f>
        <v>1117.7274667357292</v>
      </c>
      <c r="H575" s="5">
        <f t="shared" si="35"/>
        <v>1</v>
      </c>
      <c r="I575" s="5">
        <f t="shared" si="36"/>
        <v>1</v>
      </c>
    </row>
    <row r="576" spans="1:9">
      <c r="A576">
        <v>575</v>
      </c>
      <c r="B576">
        <v>15</v>
      </c>
      <c r="C576">
        <v>9000</v>
      </c>
      <c r="D576">
        <v>9465</v>
      </c>
      <c r="E576" s="5">
        <f t="shared" si="33"/>
        <v>465</v>
      </c>
      <c r="F576" s="5">
        <f t="shared" si="34"/>
        <v>216225</v>
      </c>
      <c r="G576" s="6">
        <f>SQRT(SUM($F$2:F576)/A576)</f>
        <v>1116.9234585117786</v>
      </c>
      <c r="H576" s="5">
        <f t="shared" si="35"/>
        <v>1</v>
      </c>
      <c r="I576" s="5">
        <f t="shared" si="36"/>
        <v>1</v>
      </c>
    </row>
    <row r="577" spans="1:9">
      <c r="A577">
        <v>576</v>
      </c>
      <c r="B577">
        <v>14</v>
      </c>
      <c r="C577">
        <v>9000</v>
      </c>
      <c r="D577">
        <v>8854</v>
      </c>
      <c r="E577" s="5">
        <f t="shared" si="33"/>
        <v>146</v>
      </c>
      <c r="F577" s="5">
        <f t="shared" si="34"/>
        <v>21316</v>
      </c>
      <c r="G577" s="6">
        <f>SQRT(SUM($F$2:F577)/A577)</f>
        <v>1115.9700664606157</v>
      </c>
      <c r="H577" s="5">
        <f t="shared" si="35"/>
        <v>1</v>
      </c>
      <c r="I577" s="5">
        <f t="shared" si="36"/>
        <v>1</v>
      </c>
    </row>
    <row r="578" spans="1:9">
      <c r="A578">
        <v>577</v>
      </c>
      <c r="B578">
        <v>15</v>
      </c>
      <c r="C578">
        <v>9000</v>
      </c>
      <c r="D578">
        <v>8661</v>
      </c>
      <c r="E578" s="5">
        <f t="shared" si="33"/>
        <v>339</v>
      </c>
      <c r="F578" s="5">
        <f t="shared" si="34"/>
        <v>114921</v>
      </c>
      <c r="G578" s="6">
        <f>SQRT(SUM($F$2:F578)/A578)</f>
        <v>1115.0919120280462</v>
      </c>
      <c r="H578" s="5">
        <f t="shared" si="35"/>
        <v>1</v>
      </c>
      <c r="I578" s="5">
        <f t="shared" si="36"/>
        <v>1</v>
      </c>
    </row>
    <row r="579" spans="1:9">
      <c r="A579">
        <v>578</v>
      </c>
      <c r="B579">
        <v>15</v>
      </c>
      <c r="C579">
        <v>9000</v>
      </c>
      <c r="D579">
        <v>9284</v>
      </c>
      <c r="E579" s="5">
        <f t="shared" ref="E579:E642" si="37">ABS(C579-D579)</f>
        <v>284</v>
      </c>
      <c r="F579" s="5">
        <f t="shared" ref="F579:F642" si="38">POWER(E579,2)</f>
        <v>80656</v>
      </c>
      <c r="G579" s="6">
        <f>SQRT(SUM($F$2:F579)/A579)</f>
        <v>1114.1895047949231</v>
      </c>
      <c r="H579" s="5">
        <f t="shared" ref="H579:H642" si="39">IF(ABS(E579)/C579&gt;0.2,0,1)</f>
        <v>1</v>
      </c>
      <c r="I579" s="5">
        <f t="shared" ref="I579:I642" si="40">IF(ABS(E579)/C579&gt;0.1,0,1)</f>
        <v>1</v>
      </c>
    </row>
    <row r="580" spans="1:9">
      <c r="A580">
        <v>579</v>
      </c>
      <c r="B580">
        <v>15</v>
      </c>
      <c r="C580">
        <v>9000</v>
      </c>
      <c r="D580">
        <v>9872</v>
      </c>
      <c r="E580" s="5">
        <f t="shared" si="37"/>
        <v>872</v>
      </c>
      <c r="F580" s="5">
        <f t="shared" si="38"/>
        <v>760384</v>
      </c>
      <c r="G580" s="6">
        <f>SQRT(SUM($F$2:F580)/A580)</f>
        <v>1113.8166145183875</v>
      </c>
      <c r="H580" s="5">
        <f t="shared" si="39"/>
        <v>1</v>
      </c>
      <c r="I580" s="5">
        <f t="shared" si="40"/>
        <v>1</v>
      </c>
    </row>
    <row r="581" spans="1:9">
      <c r="A581">
        <v>580</v>
      </c>
      <c r="B581">
        <v>14</v>
      </c>
      <c r="C581">
        <v>9000</v>
      </c>
      <c r="D581">
        <v>7667</v>
      </c>
      <c r="E581" s="5">
        <f t="shared" si="37"/>
        <v>1333</v>
      </c>
      <c r="F581" s="5">
        <f t="shared" si="38"/>
        <v>1776889</v>
      </c>
      <c r="G581" s="6">
        <f>SQRT(SUM($F$2:F581)/A581)</f>
        <v>1114.2316225187158</v>
      </c>
      <c r="H581" s="5">
        <f t="shared" si="39"/>
        <v>1</v>
      </c>
      <c r="I581" s="5">
        <f t="shared" si="40"/>
        <v>0</v>
      </c>
    </row>
    <row r="582" spans="1:9">
      <c r="A582">
        <v>581</v>
      </c>
      <c r="B582">
        <v>16</v>
      </c>
      <c r="C582">
        <v>9000</v>
      </c>
      <c r="D582">
        <v>10155</v>
      </c>
      <c r="E582" s="5">
        <f t="shared" si="37"/>
        <v>1155</v>
      </c>
      <c r="F582" s="5">
        <f t="shared" si="38"/>
        <v>1334025</v>
      </c>
      <c r="G582" s="6">
        <f>SQRT(SUM($F$2:F582)/A582)</f>
        <v>1114.3030732572572</v>
      </c>
      <c r="H582" s="5">
        <f t="shared" si="39"/>
        <v>1</v>
      </c>
      <c r="I582" s="5">
        <f t="shared" si="40"/>
        <v>0</v>
      </c>
    </row>
    <row r="583" spans="1:9">
      <c r="A583">
        <v>582</v>
      </c>
      <c r="B583">
        <v>13</v>
      </c>
      <c r="C583">
        <v>9000</v>
      </c>
      <c r="D583">
        <v>8074</v>
      </c>
      <c r="E583" s="5">
        <f t="shared" si="37"/>
        <v>926</v>
      </c>
      <c r="F583" s="5">
        <f t="shared" si="38"/>
        <v>857476</v>
      </c>
      <c r="G583" s="6">
        <f>SQRT(SUM($F$2:F583)/A583)</f>
        <v>1114.0068265598704</v>
      </c>
      <c r="H583" s="5">
        <f t="shared" si="39"/>
        <v>1</v>
      </c>
      <c r="I583" s="5">
        <f t="shared" si="40"/>
        <v>0</v>
      </c>
    </row>
    <row r="584" spans="1:9">
      <c r="A584">
        <v>583</v>
      </c>
      <c r="B584">
        <v>16</v>
      </c>
      <c r="C584">
        <v>9000</v>
      </c>
      <c r="D584">
        <v>10098</v>
      </c>
      <c r="E584" s="5">
        <f t="shared" si="37"/>
        <v>1098</v>
      </c>
      <c r="F584" s="5">
        <f t="shared" si="38"/>
        <v>1205604</v>
      </c>
      <c r="G584" s="6">
        <f>SQRT(SUM($F$2:F584)/A584)</f>
        <v>1113.9795675163484</v>
      </c>
      <c r="H584" s="5">
        <f t="shared" si="39"/>
        <v>1</v>
      </c>
      <c r="I584" s="5">
        <f t="shared" si="40"/>
        <v>0</v>
      </c>
    </row>
    <row r="585" spans="1:9">
      <c r="A585">
        <v>584</v>
      </c>
      <c r="B585">
        <v>13</v>
      </c>
      <c r="C585">
        <v>9000</v>
      </c>
      <c r="D585">
        <v>8423</v>
      </c>
      <c r="E585" s="5">
        <f t="shared" si="37"/>
        <v>577</v>
      </c>
      <c r="F585" s="5">
        <f t="shared" si="38"/>
        <v>332929</v>
      </c>
      <c r="G585" s="6">
        <f>SQRT(SUM($F$2:F585)/A585)</f>
        <v>1113.281476333791</v>
      </c>
      <c r="H585" s="5">
        <f t="shared" si="39"/>
        <v>1</v>
      </c>
      <c r="I585" s="5">
        <f t="shared" si="40"/>
        <v>1</v>
      </c>
    </row>
    <row r="586" spans="1:9">
      <c r="A586">
        <v>585</v>
      </c>
      <c r="B586">
        <v>15</v>
      </c>
      <c r="C586">
        <v>9000</v>
      </c>
      <c r="D586">
        <v>8881</v>
      </c>
      <c r="E586" s="5">
        <f t="shared" si="37"/>
        <v>119</v>
      </c>
      <c r="F586" s="5">
        <f t="shared" si="38"/>
        <v>14161</v>
      </c>
      <c r="G586" s="6">
        <f>SQRT(SUM($F$2:F586)/A586)</f>
        <v>1112.3404278144471</v>
      </c>
      <c r="H586" s="5">
        <f t="shared" si="39"/>
        <v>1</v>
      </c>
      <c r="I586" s="5">
        <f t="shared" si="40"/>
        <v>1</v>
      </c>
    </row>
    <row r="587" spans="1:9">
      <c r="A587">
        <v>586</v>
      </c>
      <c r="B587">
        <v>15</v>
      </c>
      <c r="C587">
        <v>9000</v>
      </c>
      <c r="D587">
        <v>8713</v>
      </c>
      <c r="E587" s="5">
        <f t="shared" si="37"/>
        <v>287</v>
      </c>
      <c r="F587" s="5">
        <f t="shared" si="38"/>
        <v>82369</v>
      </c>
      <c r="G587" s="6">
        <f>SQRT(SUM($F$2:F587)/A587)</f>
        <v>1111.454161556976</v>
      </c>
      <c r="H587" s="5">
        <f t="shared" si="39"/>
        <v>1</v>
      </c>
      <c r="I587" s="5">
        <f t="shared" si="40"/>
        <v>1</v>
      </c>
    </row>
    <row r="588" spans="1:9">
      <c r="A588">
        <v>587</v>
      </c>
      <c r="B588">
        <v>15</v>
      </c>
      <c r="C588">
        <v>9000</v>
      </c>
      <c r="D588">
        <v>8663</v>
      </c>
      <c r="E588" s="5">
        <f t="shared" si="37"/>
        <v>337</v>
      </c>
      <c r="F588" s="5">
        <f t="shared" si="38"/>
        <v>113569</v>
      </c>
      <c r="G588" s="6">
        <f>SQRT(SUM($F$2:F588)/A588)</f>
        <v>1110.594140911177</v>
      </c>
      <c r="H588" s="5">
        <f t="shared" si="39"/>
        <v>1</v>
      </c>
      <c r="I588" s="5">
        <f t="shared" si="40"/>
        <v>1</v>
      </c>
    </row>
    <row r="589" spans="1:9">
      <c r="A589">
        <v>588</v>
      </c>
      <c r="B589">
        <v>15</v>
      </c>
      <c r="C589">
        <v>9000</v>
      </c>
      <c r="D589">
        <v>9204</v>
      </c>
      <c r="E589" s="5">
        <f t="shared" si="37"/>
        <v>204</v>
      </c>
      <c r="F589" s="5">
        <f t="shared" si="38"/>
        <v>41616</v>
      </c>
      <c r="G589" s="6">
        <f>SQRT(SUM($F$2:F589)/A589)</f>
        <v>1109.6812467496038</v>
      </c>
      <c r="H589" s="5">
        <f t="shared" si="39"/>
        <v>1</v>
      </c>
      <c r="I589" s="5">
        <f t="shared" si="40"/>
        <v>1</v>
      </c>
    </row>
    <row r="590" spans="1:9">
      <c r="A590">
        <v>589</v>
      </c>
      <c r="B590">
        <v>15</v>
      </c>
      <c r="C590">
        <v>9000</v>
      </c>
      <c r="D590">
        <v>8863</v>
      </c>
      <c r="E590" s="5">
        <f t="shared" si="37"/>
        <v>137</v>
      </c>
      <c r="F590" s="5">
        <f t="shared" si="38"/>
        <v>18769</v>
      </c>
      <c r="G590" s="6">
        <f>SQRT(SUM($F$2:F590)/A590)</f>
        <v>1108.7532123553551</v>
      </c>
      <c r="H590" s="5">
        <f t="shared" si="39"/>
        <v>1</v>
      </c>
      <c r="I590" s="5">
        <f t="shared" si="40"/>
        <v>1</v>
      </c>
    </row>
    <row r="591" spans="1:9">
      <c r="A591">
        <v>590</v>
      </c>
      <c r="B591">
        <v>15</v>
      </c>
      <c r="C591">
        <v>9000</v>
      </c>
      <c r="D591">
        <v>9293</v>
      </c>
      <c r="E591" s="5">
        <f t="shared" si="37"/>
        <v>293</v>
      </c>
      <c r="F591" s="5">
        <f t="shared" si="38"/>
        <v>85849</v>
      </c>
      <c r="G591" s="6">
        <f>SQRT(SUM($F$2:F591)/A591)</f>
        <v>1107.8788635366172</v>
      </c>
      <c r="H591" s="5">
        <f t="shared" si="39"/>
        <v>1</v>
      </c>
      <c r="I591" s="5">
        <f t="shared" si="40"/>
        <v>1</v>
      </c>
    </row>
    <row r="592" spans="1:9">
      <c r="A592">
        <v>591</v>
      </c>
      <c r="B592">
        <v>15</v>
      </c>
      <c r="C592">
        <v>9000</v>
      </c>
      <c r="D592">
        <v>9172</v>
      </c>
      <c r="E592" s="5">
        <f t="shared" si="37"/>
        <v>172</v>
      </c>
      <c r="F592" s="5">
        <f t="shared" si="38"/>
        <v>29584</v>
      </c>
      <c r="G592" s="6">
        <f>SQRT(SUM($F$2:F592)/A592)</f>
        <v>1106.9637854668169</v>
      </c>
      <c r="H592" s="5">
        <f t="shared" si="39"/>
        <v>1</v>
      </c>
      <c r="I592" s="5">
        <f t="shared" si="40"/>
        <v>1</v>
      </c>
    </row>
    <row r="593" spans="1:9">
      <c r="A593">
        <v>592</v>
      </c>
      <c r="B593">
        <v>15</v>
      </c>
      <c r="C593">
        <v>9000</v>
      </c>
      <c r="D593">
        <v>8601</v>
      </c>
      <c r="E593" s="5">
        <f t="shared" si="37"/>
        <v>399</v>
      </c>
      <c r="F593" s="5">
        <f t="shared" si="38"/>
        <v>159201</v>
      </c>
      <c r="G593" s="6">
        <f>SQRT(SUM($F$2:F593)/A593)</f>
        <v>1106.1500183861481</v>
      </c>
      <c r="H593" s="5">
        <f t="shared" si="39"/>
        <v>1</v>
      </c>
      <c r="I593" s="5">
        <f t="shared" si="40"/>
        <v>1</v>
      </c>
    </row>
    <row r="594" spans="1:9">
      <c r="A594">
        <v>593</v>
      </c>
      <c r="B594">
        <v>15</v>
      </c>
      <c r="C594">
        <v>9000</v>
      </c>
      <c r="D594">
        <v>8939</v>
      </c>
      <c r="E594" s="5">
        <f t="shared" si="37"/>
        <v>61</v>
      </c>
      <c r="F594" s="5">
        <f t="shared" si="38"/>
        <v>3721</v>
      </c>
      <c r="G594" s="6">
        <f>SQRT(SUM($F$2:F594)/A594)</f>
        <v>1105.2197907360953</v>
      </c>
      <c r="H594" s="5">
        <f t="shared" si="39"/>
        <v>1</v>
      </c>
      <c r="I594" s="5">
        <f t="shared" si="40"/>
        <v>1</v>
      </c>
    </row>
    <row r="595" spans="1:9">
      <c r="A595">
        <v>594</v>
      </c>
      <c r="B595">
        <v>15</v>
      </c>
      <c r="C595">
        <v>9000</v>
      </c>
      <c r="D595">
        <v>8924</v>
      </c>
      <c r="E595" s="5">
        <f t="shared" si="37"/>
        <v>76</v>
      </c>
      <c r="F595" s="5">
        <f t="shared" si="38"/>
        <v>5776</v>
      </c>
      <c r="G595" s="6">
        <f>SQRT(SUM($F$2:F595)/A595)</f>
        <v>1104.2934819494744</v>
      </c>
      <c r="H595" s="5">
        <f t="shared" si="39"/>
        <v>1</v>
      </c>
      <c r="I595" s="5">
        <f t="shared" si="40"/>
        <v>1</v>
      </c>
    </row>
    <row r="596" spans="1:9">
      <c r="A596">
        <v>595</v>
      </c>
      <c r="B596">
        <v>15</v>
      </c>
      <c r="C596">
        <v>9000</v>
      </c>
      <c r="D596">
        <v>8937</v>
      </c>
      <c r="E596" s="5">
        <f t="shared" si="37"/>
        <v>63</v>
      </c>
      <c r="F596" s="5">
        <f t="shared" si="38"/>
        <v>3969</v>
      </c>
      <c r="G596" s="6">
        <f>SQRT(SUM($F$2:F596)/A596)</f>
        <v>1103.368136832921</v>
      </c>
      <c r="H596" s="5">
        <f t="shared" si="39"/>
        <v>1</v>
      </c>
      <c r="I596" s="5">
        <f t="shared" si="40"/>
        <v>1</v>
      </c>
    </row>
    <row r="597" spans="1:9">
      <c r="A597">
        <v>596</v>
      </c>
      <c r="B597">
        <v>15</v>
      </c>
      <c r="C597">
        <v>9000</v>
      </c>
      <c r="D597">
        <v>9198</v>
      </c>
      <c r="E597" s="5">
        <f t="shared" si="37"/>
        <v>198</v>
      </c>
      <c r="F597" s="5">
        <f t="shared" si="38"/>
        <v>39204</v>
      </c>
      <c r="G597" s="6">
        <f>SQRT(SUM($F$2:F597)/A597)</f>
        <v>1102.4719365160136</v>
      </c>
      <c r="H597" s="5">
        <f t="shared" si="39"/>
        <v>1</v>
      </c>
      <c r="I597" s="5">
        <f t="shared" si="40"/>
        <v>1</v>
      </c>
    </row>
    <row r="598" spans="1:9">
      <c r="A598">
        <v>597</v>
      </c>
      <c r="B598">
        <v>15</v>
      </c>
      <c r="C598">
        <v>9000</v>
      </c>
      <c r="D598">
        <v>8897</v>
      </c>
      <c r="E598" s="5">
        <f t="shared" si="37"/>
        <v>103</v>
      </c>
      <c r="F598" s="5">
        <f t="shared" si="38"/>
        <v>10609</v>
      </c>
      <c r="G598" s="6">
        <f>SQRT(SUM($F$2:F598)/A598)</f>
        <v>1101.5562723281673</v>
      </c>
      <c r="H598" s="5">
        <f t="shared" si="39"/>
        <v>1</v>
      </c>
      <c r="I598" s="5">
        <f t="shared" si="40"/>
        <v>1</v>
      </c>
    </row>
    <row r="599" spans="1:9">
      <c r="A599">
        <v>598</v>
      </c>
      <c r="B599">
        <v>15</v>
      </c>
      <c r="C599">
        <v>9000</v>
      </c>
      <c r="D599">
        <v>9541</v>
      </c>
      <c r="E599" s="5">
        <f t="shared" si="37"/>
        <v>541</v>
      </c>
      <c r="F599" s="5">
        <f t="shared" si="38"/>
        <v>292681</v>
      </c>
      <c r="G599" s="6">
        <f>SQRT(SUM($F$2:F599)/A599)</f>
        <v>1100.8571721063211</v>
      </c>
      <c r="H599" s="5">
        <f t="shared" si="39"/>
        <v>1</v>
      </c>
      <c r="I599" s="5">
        <f t="shared" si="40"/>
        <v>1</v>
      </c>
    </row>
    <row r="600" spans="1:9">
      <c r="A600">
        <v>599</v>
      </c>
      <c r="B600">
        <v>14</v>
      </c>
      <c r="C600">
        <v>9000</v>
      </c>
      <c r="D600">
        <v>8785</v>
      </c>
      <c r="E600" s="5">
        <f t="shared" si="37"/>
        <v>215</v>
      </c>
      <c r="F600" s="5">
        <f t="shared" si="38"/>
        <v>46225</v>
      </c>
      <c r="G600" s="6">
        <f>SQRT(SUM($F$2:F600)/A600)</f>
        <v>1099.9729545923958</v>
      </c>
      <c r="H600" s="5">
        <f t="shared" si="39"/>
        <v>1</v>
      </c>
      <c r="I600" s="5">
        <f t="shared" si="40"/>
        <v>1</v>
      </c>
    </row>
    <row r="601" spans="1:9">
      <c r="A601">
        <v>600</v>
      </c>
      <c r="B601">
        <v>15</v>
      </c>
      <c r="C601">
        <v>9000</v>
      </c>
      <c r="D601">
        <v>9385</v>
      </c>
      <c r="E601" s="5">
        <f t="shared" si="37"/>
        <v>385</v>
      </c>
      <c r="F601" s="5">
        <f t="shared" si="38"/>
        <v>148225</v>
      </c>
      <c r="G601" s="6">
        <f>SQRT(SUM($F$2:F601)/A601)</f>
        <v>1099.1683105876007</v>
      </c>
      <c r="H601" s="5">
        <f t="shared" si="39"/>
        <v>1</v>
      </c>
      <c r="I601" s="5">
        <f t="shared" si="40"/>
        <v>1</v>
      </c>
    </row>
    <row r="602" spans="1:9">
      <c r="A602">
        <v>601</v>
      </c>
      <c r="B602">
        <v>1</v>
      </c>
      <c r="C602">
        <v>5000</v>
      </c>
      <c r="D602">
        <v>1162</v>
      </c>
      <c r="E602" s="5">
        <f t="shared" si="37"/>
        <v>3838</v>
      </c>
      <c r="F602" s="5">
        <f t="shared" si="38"/>
        <v>14730244</v>
      </c>
      <c r="G602" s="6">
        <f>SQRT(SUM($F$2:F602)/A602)</f>
        <v>1109.3557880856206</v>
      </c>
      <c r="H602" s="5">
        <f t="shared" si="39"/>
        <v>0</v>
      </c>
      <c r="I602" s="5">
        <f t="shared" si="40"/>
        <v>0</v>
      </c>
    </row>
    <row r="603" spans="1:9">
      <c r="A603">
        <v>602</v>
      </c>
      <c r="B603">
        <v>5</v>
      </c>
      <c r="C603">
        <v>5000</v>
      </c>
      <c r="D603">
        <v>4305</v>
      </c>
      <c r="E603" s="5">
        <f t="shared" si="37"/>
        <v>695</v>
      </c>
      <c r="F603" s="5">
        <f t="shared" si="38"/>
        <v>483025</v>
      </c>
      <c r="G603" s="6">
        <f>SQRT(SUM($F$2:F603)/A603)</f>
        <v>1108.7958914532712</v>
      </c>
      <c r="H603" s="5">
        <f t="shared" si="39"/>
        <v>1</v>
      </c>
      <c r="I603" s="5">
        <f t="shared" si="40"/>
        <v>0</v>
      </c>
    </row>
    <row r="604" spans="1:9">
      <c r="A604">
        <v>603</v>
      </c>
      <c r="B604">
        <v>2</v>
      </c>
      <c r="C604">
        <v>5000</v>
      </c>
      <c r="D604">
        <v>2276</v>
      </c>
      <c r="E604" s="5">
        <f t="shared" si="37"/>
        <v>2724</v>
      </c>
      <c r="F604" s="5">
        <f t="shared" si="38"/>
        <v>7420176</v>
      </c>
      <c r="G604" s="6">
        <f>SQRT(SUM($F$2:F604)/A604)</f>
        <v>1113.4158741410986</v>
      </c>
      <c r="H604" s="5">
        <f t="shared" si="39"/>
        <v>0</v>
      </c>
      <c r="I604" s="5">
        <f t="shared" si="40"/>
        <v>0</v>
      </c>
    </row>
    <row r="605" spans="1:9">
      <c r="A605">
        <v>604</v>
      </c>
      <c r="B605">
        <v>5</v>
      </c>
      <c r="C605">
        <v>5000</v>
      </c>
      <c r="D605">
        <v>4339</v>
      </c>
      <c r="E605" s="5">
        <f t="shared" si="37"/>
        <v>661</v>
      </c>
      <c r="F605" s="5">
        <f t="shared" si="38"/>
        <v>436921</v>
      </c>
      <c r="G605" s="6">
        <f>SQRT(SUM($F$2:F605)/A605)</f>
        <v>1112.8188589855527</v>
      </c>
      <c r="H605" s="5">
        <f t="shared" si="39"/>
        <v>1</v>
      </c>
      <c r="I605" s="5">
        <f t="shared" si="40"/>
        <v>0</v>
      </c>
    </row>
    <row r="606" spans="1:9">
      <c r="A606">
        <v>605</v>
      </c>
      <c r="B606">
        <v>3</v>
      </c>
      <c r="C606">
        <v>5000</v>
      </c>
      <c r="D606">
        <v>2657</v>
      </c>
      <c r="E606" s="5">
        <f t="shared" si="37"/>
        <v>2343</v>
      </c>
      <c r="F606" s="5">
        <f t="shared" si="38"/>
        <v>5489649</v>
      </c>
      <c r="G606" s="6">
        <f>SQRT(SUM($F$2:F606)/A606)</f>
        <v>1115.9716516438612</v>
      </c>
      <c r="H606" s="5">
        <f t="shared" si="39"/>
        <v>0</v>
      </c>
      <c r="I606" s="5">
        <f t="shared" si="40"/>
        <v>0</v>
      </c>
    </row>
    <row r="607" spans="1:9">
      <c r="A607">
        <v>606</v>
      </c>
      <c r="B607">
        <v>5</v>
      </c>
      <c r="C607">
        <v>5000</v>
      </c>
      <c r="D607">
        <v>3892</v>
      </c>
      <c r="E607" s="5">
        <f t="shared" si="37"/>
        <v>1108</v>
      </c>
      <c r="F607" s="5">
        <f t="shared" si="38"/>
        <v>1227664</v>
      </c>
      <c r="G607" s="6">
        <f>SQRT(SUM($F$2:F607)/A607)</f>
        <v>1115.9585440092274</v>
      </c>
      <c r="H607" s="5">
        <f t="shared" si="39"/>
        <v>0</v>
      </c>
      <c r="I607" s="5">
        <f t="shared" si="40"/>
        <v>0</v>
      </c>
    </row>
    <row r="608" spans="1:9">
      <c r="A608">
        <v>607</v>
      </c>
      <c r="B608">
        <v>4</v>
      </c>
      <c r="C608">
        <v>5000</v>
      </c>
      <c r="D608">
        <v>3790</v>
      </c>
      <c r="E608" s="5">
        <f t="shared" si="37"/>
        <v>1210</v>
      </c>
      <c r="F608" s="5">
        <f t="shared" si="38"/>
        <v>1464100</v>
      </c>
      <c r="G608" s="6">
        <f>SQRT(SUM($F$2:F608)/A608)</f>
        <v>1116.1199884714763</v>
      </c>
      <c r="H608" s="5">
        <f t="shared" si="39"/>
        <v>0</v>
      </c>
      <c r="I608" s="5">
        <f t="shared" si="40"/>
        <v>0</v>
      </c>
    </row>
    <row r="609" spans="1:9">
      <c r="A609">
        <v>608</v>
      </c>
      <c r="B609">
        <v>4</v>
      </c>
      <c r="C609">
        <v>5000</v>
      </c>
      <c r="D609">
        <v>3489</v>
      </c>
      <c r="E609" s="5">
        <f t="shared" si="37"/>
        <v>1511</v>
      </c>
      <c r="F609" s="5">
        <f t="shared" si="38"/>
        <v>2283121</v>
      </c>
      <c r="G609" s="6">
        <f>SQRT(SUM($F$2:F609)/A609)</f>
        <v>1116.8840915749306</v>
      </c>
      <c r="H609" s="5">
        <f t="shared" si="39"/>
        <v>0</v>
      </c>
      <c r="I609" s="5">
        <f t="shared" si="40"/>
        <v>0</v>
      </c>
    </row>
    <row r="610" spans="1:9">
      <c r="A610">
        <v>609</v>
      </c>
      <c r="B610">
        <v>5</v>
      </c>
      <c r="C610">
        <v>5000</v>
      </c>
      <c r="D610">
        <v>4224</v>
      </c>
      <c r="E610" s="5">
        <f t="shared" si="37"/>
        <v>776</v>
      </c>
      <c r="F610" s="5">
        <f t="shared" si="38"/>
        <v>602176</v>
      </c>
      <c r="G610" s="6">
        <f>SQRT(SUM($F$2:F610)/A610)</f>
        <v>1116.4096665265656</v>
      </c>
      <c r="H610" s="5">
        <f t="shared" si="39"/>
        <v>1</v>
      </c>
      <c r="I610" s="5">
        <f t="shared" si="40"/>
        <v>0</v>
      </c>
    </row>
    <row r="611" spans="1:9">
      <c r="A611">
        <v>610</v>
      </c>
      <c r="B611">
        <v>4</v>
      </c>
      <c r="C611">
        <v>5000</v>
      </c>
      <c r="D611">
        <v>3608</v>
      </c>
      <c r="E611" s="5">
        <f t="shared" si="37"/>
        <v>1392</v>
      </c>
      <c r="F611" s="5">
        <f t="shared" si="38"/>
        <v>1937664</v>
      </c>
      <c r="G611" s="6">
        <f>SQRT(SUM($F$2:F611)/A611)</f>
        <v>1116.9171014338574</v>
      </c>
      <c r="H611" s="5">
        <f t="shared" si="39"/>
        <v>0</v>
      </c>
      <c r="I611" s="5">
        <f t="shared" si="40"/>
        <v>0</v>
      </c>
    </row>
    <row r="612" spans="1:9">
      <c r="A612">
        <v>611</v>
      </c>
      <c r="B612">
        <v>5</v>
      </c>
      <c r="C612">
        <v>5000</v>
      </c>
      <c r="D612">
        <v>3983</v>
      </c>
      <c r="E612" s="5">
        <f t="shared" si="37"/>
        <v>1017</v>
      </c>
      <c r="F612" s="5">
        <f t="shared" si="38"/>
        <v>1034289</v>
      </c>
      <c r="G612" s="6">
        <f>SQRT(SUM($F$2:F612)/A612)</f>
        <v>1116.7608746118526</v>
      </c>
      <c r="H612" s="5">
        <f t="shared" si="39"/>
        <v>0</v>
      </c>
      <c r="I612" s="5">
        <f t="shared" si="40"/>
        <v>0</v>
      </c>
    </row>
    <row r="613" spans="1:9">
      <c r="A613">
        <v>612</v>
      </c>
      <c r="B613">
        <v>5</v>
      </c>
      <c r="C613">
        <v>5000</v>
      </c>
      <c r="D613">
        <v>3934</v>
      </c>
      <c r="E613" s="5">
        <f t="shared" si="37"/>
        <v>1066</v>
      </c>
      <c r="F613" s="5">
        <f t="shared" si="38"/>
        <v>1136356</v>
      </c>
      <c r="G613" s="6">
        <f>SQRT(SUM($F$2:F613)/A613)</f>
        <v>1116.6798140870742</v>
      </c>
      <c r="H613" s="5">
        <f t="shared" si="39"/>
        <v>0</v>
      </c>
      <c r="I613" s="5">
        <f t="shared" si="40"/>
        <v>0</v>
      </c>
    </row>
    <row r="614" spans="1:9">
      <c r="A614">
        <v>613</v>
      </c>
      <c r="B614">
        <v>6</v>
      </c>
      <c r="C614">
        <v>5000</v>
      </c>
      <c r="D614">
        <v>4678</v>
      </c>
      <c r="E614" s="5">
        <f t="shared" si="37"/>
        <v>322</v>
      </c>
      <c r="F614" s="5">
        <f t="shared" si="38"/>
        <v>103684</v>
      </c>
      <c r="G614" s="6">
        <f>SQRT(SUM($F$2:F614)/A614)</f>
        <v>1115.844404070127</v>
      </c>
      <c r="H614" s="5">
        <f t="shared" si="39"/>
        <v>1</v>
      </c>
      <c r="I614" s="5">
        <f t="shared" si="40"/>
        <v>1</v>
      </c>
    </row>
    <row r="615" spans="1:9">
      <c r="A615">
        <v>614</v>
      </c>
      <c r="B615">
        <v>5</v>
      </c>
      <c r="C615">
        <v>5000</v>
      </c>
      <c r="D615">
        <v>3688</v>
      </c>
      <c r="E615" s="5">
        <f t="shared" si="37"/>
        <v>1312</v>
      </c>
      <c r="F615" s="5">
        <f t="shared" si="38"/>
        <v>1721344</v>
      </c>
      <c r="G615" s="6">
        <f>SQRT(SUM($F$2:F615)/A615)</f>
        <v>1116.1919017639923</v>
      </c>
      <c r="H615" s="5">
        <f t="shared" si="39"/>
        <v>0</v>
      </c>
      <c r="I615" s="5">
        <f t="shared" si="40"/>
        <v>0</v>
      </c>
    </row>
    <row r="616" spans="1:9">
      <c r="A616">
        <v>615</v>
      </c>
      <c r="B616">
        <v>6</v>
      </c>
      <c r="C616">
        <v>5000</v>
      </c>
      <c r="D616">
        <v>5024</v>
      </c>
      <c r="E616" s="5">
        <f t="shared" si="37"/>
        <v>24</v>
      </c>
      <c r="F616" s="5">
        <f t="shared" si="38"/>
        <v>576</v>
      </c>
      <c r="G616" s="6">
        <f>SQRT(SUM($F$2:F616)/A616)</f>
        <v>1115.2844793677975</v>
      </c>
      <c r="H616" s="5">
        <f t="shared" si="39"/>
        <v>1</v>
      </c>
      <c r="I616" s="5">
        <f t="shared" si="40"/>
        <v>1</v>
      </c>
    </row>
    <row r="617" spans="1:9">
      <c r="A617">
        <v>616</v>
      </c>
      <c r="B617">
        <v>5</v>
      </c>
      <c r="C617">
        <v>5000</v>
      </c>
      <c r="D617">
        <v>4078</v>
      </c>
      <c r="E617" s="5">
        <f t="shared" si="37"/>
        <v>922</v>
      </c>
      <c r="F617" s="5">
        <f t="shared" si="38"/>
        <v>850084</v>
      </c>
      <c r="G617" s="6">
        <f>SQRT(SUM($F$2:F617)/A617)</f>
        <v>1114.9978583055547</v>
      </c>
      <c r="H617" s="5">
        <f t="shared" si="39"/>
        <v>1</v>
      </c>
      <c r="I617" s="5">
        <f t="shared" si="40"/>
        <v>0</v>
      </c>
    </row>
    <row r="618" spans="1:9">
      <c r="A618">
        <v>617</v>
      </c>
      <c r="B618">
        <v>6</v>
      </c>
      <c r="C618">
        <v>5000</v>
      </c>
      <c r="D618">
        <v>4790</v>
      </c>
      <c r="E618" s="5">
        <f t="shared" si="37"/>
        <v>210</v>
      </c>
      <c r="F618" s="5">
        <f t="shared" si="38"/>
        <v>44100</v>
      </c>
      <c r="G618" s="6">
        <f>SQRT(SUM($F$2:F618)/A618)</f>
        <v>1114.1260051122688</v>
      </c>
      <c r="H618" s="5">
        <f t="shared" si="39"/>
        <v>1</v>
      </c>
      <c r="I618" s="5">
        <f t="shared" si="40"/>
        <v>1</v>
      </c>
    </row>
    <row r="619" spans="1:9">
      <c r="A619">
        <v>618</v>
      </c>
      <c r="B619">
        <v>5</v>
      </c>
      <c r="C619">
        <v>5000</v>
      </c>
      <c r="D619">
        <v>4095</v>
      </c>
      <c r="E619" s="5">
        <f t="shared" si="37"/>
        <v>905</v>
      </c>
      <c r="F619" s="5">
        <f t="shared" si="38"/>
        <v>819025</v>
      </c>
      <c r="G619" s="6">
        <f>SQRT(SUM($F$2:F619)/A619)</f>
        <v>1113.8193300531284</v>
      </c>
      <c r="H619" s="5">
        <f t="shared" si="39"/>
        <v>1</v>
      </c>
      <c r="I619" s="5">
        <f t="shared" si="40"/>
        <v>0</v>
      </c>
    </row>
    <row r="620" spans="1:9">
      <c r="A620">
        <v>619</v>
      </c>
      <c r="B620">
        <v>6</v>
      </c>
      <c r="C620">
        <v>5000</v>
      </c>
      <c r="D620">
        <v>4815</v>
      </c>
      <c r="E620" s="5">
        <f t="shared" si="37"/>
        <v>185</v>
      </c>
      <c r="F620" s="5">
        <f t="shared" si="38"/>
        <v>34225</v>
      </c>
      <c r="G620" s="6">
        <f>SQRT(SUM($F$2:F620)/A620)</f>
        <v>1112.9441140368663</v>
      </c>
      <c r="H620" s="5">
        <f t="shared" si="39"/>
        <v>1</v>
      </c>
      <c r="I620" s="5">
        <f t="shared" si="40"/>
        <v>1</v>
      </c>
    </row>
    <row r="621" spans="1:9">
      <c r="A621">
        <v>620</v>
      </c>
      <c r="B621">
        <v>6</v>
      </c>
      <c r="C621">
        <v>5000</v>
      </c>
      <c r="D621">
        <v>4599</v>
      </c>
      <c r="E621" s="5">
        <f t="shared" si="37"/>
        <v>401</v>
      </c>
      <c r="F621" s="5">
        <f t="shared" si="38"/>
        <v>160801</v>
      </c>
      <c r="G621" s="6">
        <f>SQRT(SUM($F$2:F621)/A621)</f>
        <v>1112.1628224088356</v>
      </c>
      <c r="H621" s="5">
        <f t="shared" si="39"/>
        <v>1</v>
      </c>
      <c r="I621" s="5">
        <f t="shared" si="40"/>
        <v>1</v>
      </c>
    </row>
    <row r="622" spans="1:9">
      <c r="A622">
        <v>621</v>
      </c>
      <c r="B622">
        <v>6</v>
      </c>
      <c r="C622">
        <v>5000</v>
      </c>
      <c r="D622">
        <v>4426</v>
      </c>
      <c r="E622" s="5">
        <f t="shared" si="37"/>
        <v>574</v>
      </c>
      <c r="F622" s="5">
        <f t="shared" si="38"/>
        <v>329476</v>
      </c>
      <c r="G622" s="6">
        <f>SQRT(SUM($F$2:F622)/A622)</f>
        <v>1111.5056920149543</v>
      </c>
      <c r="H622" s="5">
        <f t="shared" si="39"/>
        <v>1</v>
      </c>
      <c r="I622" s="5">
        <f t="shared" si="40"/>
        <v>0</v>
      </c>
    </row>
    <row r="623" spans="1:9">
      <c r="A623">
        <v>622</v>
      </c>
      <c r="B623">
        <v>6</v>
      </c>
      <c r="C623">
        <v>5000</v>
      </c>
      <c r="D623">
        <v>4967</v>
      </c>
      <c r="E623" s="5">
        <f t="shared" si="37"/>
        <v>33</v>
      </c>
      <c r="F623" s="5">
        <f t="shared" si="38"/>
        <v>1089</v>
      </c>
      <c r="G623" s="6">
        <f>SQRT(SUM($F$2:F623)/A623)</f>
        <v>1110.6126274989531</v>
      </c>
      <c r="H623" s="5">
        <f t="shared" si="39"/>
        <v>1</v>
      </c>
      <c r="I623" s="5">
        <f t="shared" si="40"/>
        <v>1</v>
      </c>
    </row>
    <row r="624" spans="1:9">
      <c r="A624">
        <v>623</v>
      </c>
      <c r="B624">
        <v>6</v>
      </c>
      <c r="C624">
        <v>5000</v>
      </c>
      <c r="D624">
        <v>4653</v>
      </c>
      <c r="E624" s="5">
        <f t="shared" si="37"/>
        <v>347</v>
      </c>
      <c r="F624" s="5">
        <f t="shared" si="38"/>
        <v>120409</v>
      </c>
      <c r="G624" s="6">
        <f>SQRT(SUM($F$2:F624)/A624)</f>
        <v>1109.8080054625502</v>
      </c>
      <c r="H624" s="5">
        <f t="shared" si="39"/>
        <v>1</v>
      </c>
      <c r="I624" s="5">
        <f t="shared" si="40"/>
        <v>1</v>
      </c>
    </row>
    <row r="625" spans="1:9">
      <c r="A625">
        <v>624</v>
      </c>
      <c r="B625">
        <v>6</v>
      </c>
      <c r="C625">
        <v>5000</v>
      </c>
      <c r="D625">
        <v>3988</v>
      </c>
      <c r="E625" s="5">
        <f t="shared" si="37"/>
        <v>1012</v>
      </c>
      <c r="F625" s="5">
        <f t="shared" si="38"/>
        <v>1024144</v>
      </c>
      <c r="G625" s="6">
        <f>SQRT(SUM($F$2:F625)/A625)</f>
        <v>1109.658158698735</v>
      </c>
      <c r="H625" s="5">
        <f t="shared" si="39"/>
        <v>0</v>
      </c>
      <c r="I625" s="5">
        <f t="shared" si="40"/>
        <v>0</v>
      </c>
    </row>
    <row r="626" spans="1:9">
      <c r="A626">
        <v>625</v>
      </c>
      <c r="B626">
        <v>7</v>
      </c>
      <c r="C626">
        <v>5000</v>
      </c>
      <c r="D626">
        <v>5081</v>
      </c>
      <c r="E626" s="5">
        <f t="shared" si="37"/>
        <v>81</v>
      </c>
      <c r="F626" s="5">
        <f t="shared" si="38"/>
        <v>6561</v>
      </c>
      <c r="G626" s="6">
        <f>SQRT(SUM($F$2:F626)/A626)</f>
        <v>1108.7748106806901</v>
      </c>
      <c r="H626" s="5">
        <f t="shared" si="39"/>
        <v>1</v>
      </c>
      <c r="I626" s="5">
        <f t="shared" si="40"/>
        <v>1</v>
      </c>
    </row>
    <row r="627" spans="1:9">
      <c r="A627">
        <v>626</v>
      </c>
      <c r="B627">
        <v>6</v>
      </c>
      <c r="C627">
        <v>5000</v>
      </c>
      <c r="D627">
        <v>4938</v>
      </c>
      <c r="E627" s="5">
        <f t="shared" si="37"/>
        <v>62</v>
      </c>
      <c r="F627" s="5">
        <f t="shared" si="38"/>
        <v>3844</v>
      </c>
      <c r="G627" s="6">
        <f>SQRT(SUM($F$2:F627)/A627)</f>
        <v>1107.8916251308806</v>
      </c>
      <c r="H627" s="5">
        <f t="shared" si="39"/>
        <v>1</v>
      </c>
      <c r="I627" s="5">
        <f t="shared" si="40"/>
        <v>1</v>
      </c>
    </row>
    <row r="628" spans="1:9">
      <c r="A628">
        <v>627</v>
      </c>
      <c r="B628">
        <v>6</v>
      </c>
      <c r="C628">
        <v>5000</v>
      </c>
      <c r="D628">
        <v>5119</v>
      </c>
      <c r="E628" s="5">
        <f t="shared" si="37"/>
        <v>119</v>
      </c>
      <c r="F628" s="5">
        <f t="shared" si="38"/>
        <v>14161</v>
      </c>
      <c r="G628" s="6">
        <f>SQRT(SUM($F$2:F628)/A628)</f>
        <v>1107.017987460639</v>
      </c>
      <c r="H628" s="5">
        <f t="shared" si="39"/>
        <v>1</v>
      </c>
      <c r="I628" s="5">
        <f t="shared" si="40"/>
        <v>1</v>
      </c>
    </row>
    <row r="629" spans="1:9">
      <c r="A629">
        <v>628</v>
      </c>
      <c r="B629">
        <v>6</v>
      </c>
      <c r="C629">
        <v>5000</v>
      </c>
      <c r="D629">
        <v>4570</v>
      </c>
      <c r="E629" s="5">
        <f t="shared" si="37"/>
        <v>430</v>
      </c>
      <c r="F629" s="5">
        <f t="shared" si="38"/>
        <v>184900</v>
      </c>
      <c r="G629" s="6">
        <f>SQRT(SUM($F$2:F629)/A629)</f>
        <v>1106.2693324806853</v>
      </c>
      <c r="H629" s="5">
        <f t="shared" si="39"/>
        <v>1</v>
      </c>
      <c r="I629" s="5">
        <f t="shared" si="40"/>
        <v>1</v>
      </c>
    </row>
    <row r="630" spans="1:9">
      <c r="A630">
        <v>629</v>
      </c>
      <c r="B630">
        <v>6</v>
      </c>
      <c r="C630">
        <v>5000</v>
      </c>
      <c r="D630">
        <v>4852</v>
      </c>
      <c r="E630" s="5">
        <f t="shared" si="37"/>
        <v>148</v>
      </c>
      <c r="F630" s="5">
        <f t="shared" si="38"/>
        <v>21904</v>
      </c>
      <c r="G630" s="6">
        <f>SQRT(SUM($F$2:F630)/A630)</f>
        <v>1105.4053468850684</v>
      </c>
      <c r="H630" s="5">
        <f t="shared" si="39"/>
        <v>1</v>
      </c>
      <c r="I630" s="5">
        <f t="shared" si="40"/>
        <v>1</v>
      </c>
    </row>
    <row r="631" spans="1:9">
      <c r="A631">
        <v>630</v>
      </c>
      <c r="B631">
        <v>6</v>
      </c>
      <c r="C631">
        <v>5000</v>
      </c>
      <c r="D631">
        <v>5274</v>
      </c>
      <c r="E631" s="5">
        <f t="shared" si="37"/>
        <v>274</v>
      </c>
      <c r="F631" s="5">
        <f t="shared" si="38"/>
        <v>75076</v>
      </c>
      <c r="G631" s="6">
        <f>SQRT(SUM($F$2:F631)/A631)</f>
        <v>1104.5816366676988</v>
      </c>
      <c r="H631" s="5">
        <f t="shared" si="39"/>
        <v>1</v>
      </c>
      <c r="I631" s="5">
        <f t="shared" si="40"/>
        <v>1</v>
      </c>
    </row>
    <row r="632" spans="1:9">
      <c r="A632">
        <v>631</v>
      </c>
      <c r="B632">
        <v>6</v>
      </c>
      <c r="C632">
        <v>5000</v>
      </c>
      <c r="D632">
        <v>4531</v>
      </c>
      <c r="E632" s="5">
        <f t="shared" si="37"/>
        <v>469</v>
      </c>
      <c r="F632" s="5">
        <f t="shared" si="38"/>
        <v>219961</v>
      </c>
      <c r="G632" s="6">
        <f>SQRT(SUM($F$2:F632)/A632)</f>
        <v>1103.8639340000443</v>
      </c>
      <c r="H632" s="5">
        <f t="shared" si="39"/>
        <v>1</v>
      </c>
      <c r="I632" s="5">
        <f t="shared" si="40"/>
        <v>1</v>
      </c>
    </row>
    <row r="633" spans="1:9">
      <c r="A633">
        <v>632</v>
      </c>
      <c r="B633">
        <v>7</v>
      </c>
      <c r="C633">
        <v>5000</v>
      </c>
      <c r="D633">
        <v>5533</v>
      </c>
      <c r="E633" s="5">
        <f t="shared" si="37"/>
        <v>533</v>
      </c>
      <c r="F633" s="5">
        <f t="shared" si="38"/>
        <v>284089</v>
      </c>
      <c r="G633" s="6">
        <f>SQRT(SUM($F$2:F633)/A633)</f>
        <v>1103.1940272267889</v>
      </c>
      <c r="H633" s="5">
        <f t="shared" si="39"/>
        <v>1</v>
      </c>
      <c r="I633" s="5">
        <f t="shared" si="40"/>
        <v>0</v>
      </c>
    </row>
    <row r="634" spans="1:9">
      <c r="A634">
        <v>633</v>
      </c>
      <c r="B634">
        <v>5</v>
      </c>
      <c r="C634">
        <v>5000</v>
      </c>
      <c r="D634">
        <v>4444</v>
      </c>
      <c r="E634" s="5">
        <f t="shared" si="37"/>
        <v>556</v>
      </c>
      <c r="F634" s="5">
        <f t="shared" si="38"/>
        <v>309136</v>
      </c>
      <c r="G634" s="6">
        <f>SQRT(SUM($F$2:F634)/A634)</f>
        <v>1102.5437763784998</v>
      </c>
      <c r="H634" s="5">
        <f t="shared" si="39"/>
        <v>1</v>
      </c>
      <c r="I634" s="5">
        <f t="shared" si="40"/>
        <v>0</v>
      </c>
    </row>
    <row r="635" spans="1:9">
      <c r="A635">
        <v>634</v>
      </c>
      <c r="B635">
        <v>7</v>
      </c>
      <c r="C635">
        <v>5000</v>
      </c>
      <c r="D635">
        <v>5504</v>
      </c>
      <c r="E635" s="5">
        <f t="shared" si="37"/>
        <v>504</v>
      </c>
      <c r="F635" s="5">
        <f t="shared" si="38"/>
        <v>254016</v>
      </c>
      <c r="G635" s="6">
        <f>SQRT(SUM($F$2:F635)/A635)</f>
        <v>1101.8557439345861</v>
      </c>
      <c r="H635" s="5">
        <f t="shared" si="39"/>
        <v>1</v>
      </c>
      <c r="I635" s="5">
        <f t="shared" si="40"/>
        <v>0</v>
      </c>
    </row>
    <row r="636" spans="1:9">
      <c r="A636">
        <v>635</v>
      </c>
      <c r="B636">
        <v>6</v>
      </c>
      <c r="C636">
        <v>5000</v>
      </c>
      <c r="D636">
        <v>5281</v>
      </c>
      <c r="E636" s="5">
        <f t="shared" si="37"/>
        <v>281</v>
      </c>
      <c r="F636" s="5">
        <f t="shared" si="38"/>
        <v>78961</v>
      </c>
      <c r="G636" s="6">
        <f>SQRT(SUM($F$2:F636)/A636)</f>
        <v>1101.0442688147302</v>
      </c>
      <c r="H636" s="5">
        <f t="shared" si="39"/>
        <v>1</v>
      </c>
      <c r="I636" s="5">
        <f t="shared" si="40"/>
        <v>1</v>
      </c>
    </row>
    <row r="637" spans="1:9">
      <c r="A637">
        <v>636</v>
      </c>
      <c r="B637">
        <v>6</v>
      </c>
      <c r="C637">
        <v>5000</v>
      </c>
      <c r="D637">
        <v>4292</v>
      </c>
      <c r="E637" s="5">
        <f t="shared" si="37"/>
        <v>708</v>
      </c>
      <c r="F637" s="5">
        <f t="shared" si="38"/>
        <v>501264</v>
      </c>
      <c r="G637" s="6">
        <f>SQRT(SUM($F$2:F637)/A637)</f>
        <v>1100.5364615244032</v>
      </c>
      <c r="H637" s="5">
        <f t="shared" si="39"/>
        <v>1</v>
      </c>
      <c r="I637" s="5">
        <f t="shared" si="40"/>
        <v>0</v>
      </c>
    </row>
    <row r="638" spans="1:9">
      <c r="A638">
        <v>637</v>
      </c>
      <c r="B638">
        <v>7</v>
      </c>
      <c r="C638">
        <v>5000</v>
      </c>
      <c r="D638">
        <v>5970</v>
      </c>
      <c r="E638" s="5">
        <f t="shared" si="37"/>
        <v>970</v>
      </c>
      <c r="F638" s="5">
        <f t="shared" si="38"/>
        <v>940900</v>
      </c>
      <c r="G638" s="6">
        <f>SQRT(SUM($F$2:F638)/A638)</f>
        <v>1100.343674013676</v>
      </c>
      <c r="H638" s="5">
        <f t="shared" si="39"/>
        <v>1</v>
      </c>
      <c r="I638" s="5">
        <f t="shared" si="40"/>
        <v>0</v>
      </c>
    </row>
    <row r="639" spans="1:9">
      <c r="A639">
        <v>638</v>
      </c>
      <c r="B639">
        <v>5</v>
      </c>
      <c r="C639">
        <v>5000</v>
      </c>
      <c r="D639">
        <v>4269</v>
      </c>
      <c r="E639" s="5">
        <f t="shared" si="37"/>
        <v>731</v>
      </c>
      <c r="F639" s="5">
        <f t="shared" si="38"/>
        <v>534361</v>
      </c>
      <c r="G639" s="6">
        <f>SQRT(SUM($F$2:F639)/A639)</f>
        <v>1099.8618187646009</v>
      </c>
      <c r="H639" s="5">
        <f t="shared" si="39"/>
        <v>1</v>
      </c>
      <c r="I639" s="5">
        <f t="shared" si="40"/>
        <v>0</v>
      </c>
    </row>
    <row r="640" spans="1:9">
      <c r="A640">
        <v>639</v>
      </c>
      <c r="B640">
        <v>7</v>
      </c>
      <c r="C640">
        <v>5000</v>
      </c>
      <c r="D640">
        <v>5611</v>
      </c>
      <c r="E640" s="5">
        <f t="shared" si="37"/>
        <v>611</v>
      </c>
      <c r="F640" s="5">
        <f t="shared" si="38"/>
        <v>373321</v>
      </c>
      <c r="G640" s="6">
        <f>SQRT(SUM($F$2:F640)/A640)</f>
        <v>1099.2666370267611</v>
      </c>
      <c r="H640" s="5">
        <f t="shared" si="39"/>
        <v>1</v>
      </c>
      <c r="I640" s="5">
        <f t="shared" si="40"/>
        <v>0</v>
      </c>
    </row>
    <row r="641" spans="1:9">
      <c r="A641">
        <v>640</v>
      </c>
      <c r="B641">
        <v>5</v>
      </c>
      <c r="C641">
        <v>5000</v>
      </c>
      <c r="D641">
        <v>4620</v>
      </c>
      <c r="E641" s="5">
        <f t="shared" si="37"/>
        <v>380</v>
      </c>
      <c r="F641" s="5">
        <f t="shared" si="38"/>
        <v>144400</v>
      </c>
      <c r="G641" s="6">
        <f>SQRT(SUM($F$2:F641)/A641)</f>
        <v>1098.5101999412659</v>
      </c>
      <c r="H641" s="5">
        <f t="shared" si="39"/>
        <v>1</v>
      </c>
      <c r="I641" s="5">
        <f t="shared" si="40"/>
        <v>1</v>
      </c>
    </row>
    <row r="642" spans="1:9">
      <c r="A642">
        <v>641</v>
      </c>
      <c r="B642">
        <v>6</v>
      </c>
      <c r="C642">
        <v>5000</v>
      </c>
      <c r="D642">
        <v>4945</v>
      </c>
      <c r="E642" s="5">
        <f t="shared" si="37"/>
        <v>55</v>
      </c>
      <c r="F642" s="5">
        <f t="shared" si="38"/>
        <v>3025</v>
      </c>
      <c r="G642" s="6">
        <f>SQRT(SUM($F$2:F642)/A642)</f>
        <v>1097.6551429262797</v>
      </c>
      <c r="H642" s="5">
        <f t="shared" si="39"/>
        <v>1</v>
      </c>
      <c r="I642" s="5">
        <f t="shared" si="40"/>
        <v>1</v>
      </c>
    </row>
    <row r="643" spans="1:9">
      <c r="A643">
        <v>642</v>
      </c>
      <c r="B643">
        <v>6</v>
      </c>
      <c r="C643">
        <v>5000</v>
      </c>
      <c r="D643">
        <v>4826</v>
      </c>
      <c r="E643" s="5">
        <f t="shared" ref="E643:E706" si="41">ABS(C643-D643)</f>
        <v>174</v>
      </c>
      <c r="F643" s="5">
        <f t="shared" ref="F643:F706" si="42">POWER(E643,2)</f>
        <v>30276</v>
      </c>
      <c r="G643" s="6">
        <f>SQRT(SUM($F$2:F643)/A643)</f>
        <v>1096.8214363513669</v>
      </c>
      <c r="H643" s="5">
        <f t="shared" ref="H643:H706" si="43">IF(ABS(E643)/C643&gt;0.2,0,1)</f>
        <v>1</v>
      </c>
      <c r="I643" s="5">
        <f t="shared" ref="I643:I706" si="44">IF(ABS(E643)/C643&gt;0.1,0,1)</f>
        <v>1</v>
      </c>
    </row>
    <row r="644" spans="1:9">
      <c r="A644">
        <v>643</v>
      </c>
      <c r="B644">
        <v>6</v>
      </c>
      <c r="C644">
        <v>5000</v>
      </c>
      <c r="D644">
        <v>5374</v>
      </c>
      <c r="E644" s="5">
        <f t="shared" si="41"/>
        <v>374</v>
      </c>
      <c r="F644" s="5">
        <f t="shared" si="42"/>
        <v>139876</v>
      </c>
      <c r="G644" s="6">
        <f>SQRT(SUM($F$2:F644)/A644)</f>
        <v>1096.0674501897565</v>
      </c>
      <c r="H644" s="5">
        <f t="shared" si="43"/>
        <v>1</v>
      </c>
      <c r="I644" s="5">
        <f t="shared" si="44"/>
        <v>1</v>
      </c>
    </row>
    <row r="645" spans="1:9">
      <c r="A645">
        <v>644</v>
      </c>
      <c r="B645">
        <v>6</v>
      </c>
      <c r="C645">
        <v>5000</v>
      </c>
      <c r="D645">
        <v>5643</v>
      </c>
      <c r="E645" s="5">
        <f t="shared" si="41"/>
        <v>643</v>
      </c>
      <c r="F645" s="5">
        <f t="shared" si="42"/>
        <v>413449</v>
      </c>
      <c r="G645" s="6">
        <f>SQRT(SUM($F$2:F645)/A645)</f>
        <v>1095.5091898716175</v>
      </c>
      <c r="H645" s="5">
        <f t="shared" si="43"/>
        <v>1</v>
      </c>
      <c r="I645" s="5">
        <f t="shared" si="44"/>
        <v>0</v>
      </c>
    </row>
    <row r="646" spans="1:9">
      <c r="A646">
        <v>645</v>
      </c>
      <c r="B646">
        <v>5</v>
      </c>
      <c r="C646">
        <v>5000</v>
      </c>
      <c r="D646">
        <v>4611</v>
      </c>
      <c r="E646" s="5">
        <f t="shared" si="41"/>
        <v>389</v>
      </c>
      <c r="F646" s="5">
        <f t="shared" si="42"/>
        <v>151321</v>
      </c>
      <c r="G646" s="6">
        <f>SQRT(SUM($F$2:F646)/A646)</f>
        <v>1094.7667827108803</v>
      </c>
      <c r="H646" s="5">
        <f t="shared" si="43"/>
        <v>1</v>
      </c>
      <c r="I646" s="5">
        <f t="shared" si="44"/>
        <v>1</v>
      </c>
    </row>
    <row r="647" spans="1:9">
      <c r="A647">
        <v>646</v>
      </c>
      <c r="B647">
        <v>6</v>
      </c>
      <c r="C647">
        <v>5000</v>
      </c>
      <c r="D647">
        <v>5309</v>
      </c>
      <c r="E647" s="5">
        <f t="shared" si="41"/>
        <v>309</v>
      </c>
      <c r="F647" s="5">
        <f t="shared" si="42"/>
        <v>95481</v>
      </c>
      <c r="G647" s="6">
        <f>SQRT(SUM($F$2:F647)/A647)</f>
        <v>1093.9866665665477</v>
      </c>
      <c r="H647" s="5">
        <f t="shared" si="43"/>
        <v>1</v>
      </c>
      <c r="I647" s="5">
        <f t="shared" si="44"/>
        <v>1</v>
      </c>
    </row>
    <row r="648" spans="1:9">
      <c r="A648">
        <v>647</v>
      </c>
      <c r="B648">
        <v>6</v>
      </c>
      <c r="C648">
        <v>5000</v>
      </c>
      <c r="D648">
        <v>4597</v>
      </c>
      <c r="E648" s="5">
        <f t="shared" si="41"/>
        <v>403</v>
      </c>
      <c r="F648" s="5">
        <f t="shared" si="42"/>
        <v>162409</v>
      </c>
      <c r="G648" s="6">
        <f>SQRT(SUM($F$2:F648)/A648)</f>
        <v>1093.2557186955792</v>
      </c>
      <c r="H648" s="5">
        <f t="shared" si="43"/>
        <v>1</v>
      </c>
      <c r="I648" s="5">
        <f t="shared" si="44"/>
        <v>1</v>
      </c>
    </row>
    <row r="649" spans="1:9">
      <c r="A649">
        <v>648</v>
      </c>
      <c r="B649">
        <v>6</v>
      </c>
      <c r="C649">
        <v>5000</v>
      </c>
      <c r="D649">
        <v>5937</v>
      </c>
      <c r="E649" s="5">
        <f t="shared" si="41"/>
        <v>937</v>
      </c>
      <c r="F649" s="5">
        <f t="shared" si="42"/>
        <v>877969</v>
      </c>
      <c r="G649" s="6">
        <f>SQRT(SUM($F$2:F649)/A649)</f>
        <v>1093.0317927672552</v>
      </c>
      <c r="H649" s="5">
        <f t="shared" si="43"/>
        <v>1</v>
      </c>
      <c r="I649" s="5">
        <f t="shared" si="44"/>
        <v>0</v>
      </c>
    </row>
    <row r="650" spans="1:9">
      <c r="A650">
        <v>649</v>
      </c>
      <c r="B650">
        <v>5</v>
      </c>
      <c r="C650">
        <v>5000</v>
      </c>
      <c r="D650">
        <v>4252</v>
      </c>
      <c r="E650" s="5">
        <f t="shared" si="41"/>
        <v>748</v>
      </c>
      <c r="F650" s="5">
        <f t="shared" si="42"/>
        <v>559504</v>
      </c>
      <c r="G650" s="6">
        <f>SQRT(SUM($F$2:F650)/A650)</f>
        <v>1092.5839744112193</v>
      </c>
      <c r="H650" s="5">
        <f t="shared" si="43"/>
        <v>1</v>
      </c>
      <c r="I650" s="5">
        <f t="shared" si="44"/>
        <v>0</v>
      </c>
    </row>
    <row r="651" spans="1:9">
      <c r="A651">
        <v>650</v>
      </c>
      <c r="B651">
        <v>7</v>
      </c>
      <c r="C651">
        <v>5000</v>
      </c>
      <c r="D651">
        <v>5149</v>
      </c>
      <c r="E651" s="5">
        <f t="shared" si="41"/>
        <v>149</v>
      </c>
      <c r="F651" s="5">
        <f t="shared" si="42"/>
        <v>22201</v>
      </c>
      <c r="G651" s="6">
        <f>SQRT(SUM($F$2:F651)/A651)</f>
        <v>1091.7588441804141</v>
      </c>
      <c r="H651" s="5">
        <f t="shared" si="43"/>
        <v>1</v>
      </c>
      <c r="I651" s="5">
        <f t="shared" si="44"/>
        <v>1</v>
      </c>
    </row>
    <row r="652" spans="1:9">
      <c r="A652">
        <v>651</v>
      </c>
      <c r="B652">
        <v>6</v>
      </c>
      <c r="C652">
        <v>5000</v>
      </c>
      <c r="D652">
        <v>3246</v>
      </c>
      <c r="E652" s="5">
        <f t="shared" si="41"/>
        <v>1754</v>
      </c>
      <c r="F652" s="5">
        <f t="shared" si="42"/>
        <v>3076516</v>
      </c>
      <c r="G652" s="6">
        <f>SQRT(SUM($F$2:F652)/A652)</f>
        <v>1093.0838357095035</v>
      </c>
      <c r="H652" s="5">
        <f t="shared" si="43"/>
        <v>0</v>
      </c>
      <c r="I652" s="5">
        <f t="shared" si="44"/>
        <v>0</v>
      </c>
    </row>
    <row r="653" spans="1:9">
      <c r="A653">
        <v>652</v>
      </c>
      <c r="B653">
        <v>8</v>
      </c>
      <c r="C653">
        <v>5000</v>
      </c>
      <c r="D653">
        <v>2228</v>
      </c>
      <c r="E653" s="5">
        <f t="shared" si="41"/>
        <v>2772</v>
      </c>
      <c r="F653" s="5">
        <f t="shared" si="42"/>
        <v>7683984</v>
      </c>
      <c r="G653" s="6">
        <f>SQRT(SUM($F$2:F653)/A653)</f>
        <v>1097.6269669559676</v>
      </c>
      <c r="H653" s="5">
        <f t="shared" si="43"/>
        <v>0</v>
      </c>
      <c r="I653" s="5">
        <f t="shared" si="44"/>
        <v>0</v>
      </c>
    </row>
    <row r="654" spans="1:9">
      <c r="A654">
        <v>653</v>
      </c>
      <c r="B654">
        <v>10</v>
      </c>
      <c r="C654">
        <v>5000</v>
      </c>
      <c r="D654">
        <v>1918</v>
      </c>
      <c r="E654" s="5">
        <f t="shared" si="41"/>
        <v>3082</v>
      </c>
      <c r="F654" s="5">
        <f t="shared" si="42"/>
        <v>9498724</v>
      </c>
      <c r="G654" s="6">
        <f>SQRT(SUM($F$2:F654)/A654)</f>
        <v>1103.3975908490906</v>
      </c>
      <c r="H654" s="5">
        <f t="shared" si="43"/>
        <v>0</v>
      </c>
      <c r="I654" s="5">
        <f t="shared" si="44"/>
        <v>0</v>
      </c>
    </row>
    <row r="655" spans="1:9">
      <c r="A655">
        <v>654</v>
      </c>
      <c r="B655">
        <v>11</v>
      </c>
      <c r="C655">
        <v>5000</v>
      </c>
      <c r="D655">
        <v>2951</v>
      </c>
      <c r="E655" s="5">
        <f t="shared" si="41"/>
        <v>2049</v>
      </c>
      <c r="F655" s="5">
        <f t="shared" si="42"/>
        <v>4198401</v>
      </c>
      <c r="G655" s="6">
        <f>SQRT(SUM($F$2:F655)/A655)</f>
        <v>1105.4610880195569</v>
      </c>
      <c r="H655" s="5">
        <f t="shared" si="43"/>
        <v>0</v>
      </c>
      <c r="I655" s="5">
        <f t="shared" si="44"/>
        <v>0</v>
      </c>
    </row>
    <row r="656" spans="1:9">
      <c r="A656">
        <v>655</v>
      </c>
      <c r="B656">
        <v>10</v>
      </c>
      <c r="C656">
        <v>5000</v>
      </c>
      <c r="D656">
        <v>3639</v>
      </c>
      <c r="E656" s="5">
        <f t="shared" si="41"/>
        <v>1361</v>
      </c>
      <c r="F656" s="5">
        <f t="shared" si="42"/>
        <v>1852321</v>
      </c>
      <c r="G656" s="6">
        <f>SQRT(SUM($F$2:F656)/A656)</f>
        <v>1105.8962301028632</v>
      </c>
      <c r="H656" s="5">
        <f t="shared" si="43"/>
        <v>0</v>
      </c>
      <c r="I656" s="5">
        <f t="shared" si="44"/>
        <v>0</v>
      </c>
    </row>
    <row r="657" spans="1:9">
      <c r="A657">
        <v>656</v>
      </c>
      <c r="B657">
        <v>10</v>
      </c>
      <c r="C657">
        <v>5000</v>
      </c>
      <c r="D657">
        <v>5437</v>
      </c>
      <c r="E657" s="5">
        <f t="shared" si="41"/>
        <v>437</v>
      </c>
      <c r="F657" s="5">
        <f t="shared" si="42"/>
        <v>190969</v>
      </c>
      <c r="G657" s="6">
        <f>SQRT(SUM($F$2:F657)/A657)</f>
        <v>1105.1847103097468</v>
      </c>
      <c r="H657" s="5">
        <f t="shared" si="43"/>
        <v>1</v>
      </c>
      <c r="I657" s="5">
        <f t="shared" si="44"/>
        <v>1</v>
      </c>
    </row>
    <row r="658" spans="1:9">
      <c r="A658">
        <v>657</v>
      </c>
      <c r="B658">
        <v>8</v>
      </c>
      <c r="C658">
        <v>5000</v>
      </c>
      <c r="D658">
        <v>4296</v>
      </c>
      <c r="E658" s="5">
        <f t="shared" si="41"/>
        <v>704</v>
      </c>
      <c r="F658" s="5">
        <f t="shared" si="42"/>
        <v>495616</v>
      </c>
      <c r="G658" s="6">
        <f>SQRT(SUM($F$2:F658)/A658)</f>
        <v>1104.6847963283305</v>
      </c>
      <c r="H658" s="5">
        <f t="shared" si="43"/>
        <v>1</v>
      </c>
      <c r="I658" s="5">
        <f t="shared" si="44"/>
        <v>0</v>
      </c>
    </row>
    <row r="659" spans="1:9">
      <c r="A659">
        <v>658</v>
      </c>
      <c r="B659">
        <v>9</v>
      </c>
      <c r="C659">
        <v>5000</v>
      </c>
      <c r="D659">
        <v>4533</v>
      </c>
      <c r="E659" s="5">
        <f t="shared" si="41"/>
        <v>467</v>
      </c>
      <c r="F659" s="5">
        <f t="shared" si="42"/>
        <v>218089</v>
      </c>
      <c r="G659" s="6">
        <f>SQRT(SUM($F$2:F659)/A659)</f>
        <v>1103.9951715953177</v>
      </c>
      <c r="H659" s="5">
        <f t="shared" si="43"/>
        <v>1</v>
      </c>
      <c r="I659" s="5">
        <f t="shared" si="44"/>
        <v>1</v>
      </c>
    </row>
    <row r="660" spans="1:9">
      <c r="A660">
        <v>659</v>
      </c>
      <c r="B660">
        <v>9</v>
      </c>
      <c r="C660">
        <v>5000</v>
      </c>
      <c r="D660">
        <v>5594</v>
      </c>
      <c r="E660" s="5">
        <f t="shared" si="41"/>
        <v>594</v>
      </c>
      <c r="F660" s="5">
        <f t="shared" si="42"/>
        <v>352836</v>
      </c>
      <c r="G660" s="6">
        <f>SQRT(SUM($F$2:F660)/A660)</f>
        <v>1103.3998700113766</v>
      </c>
      <c r="H660" s="5">
        <f t="shared" si="43"/>
        <v>1</v>
      </c>
      <c r="I660" s="5">
        <f t="shared" si="44"/>
        <v>0</v>
      </c>
    </row>
    <row r="661" spans="1:9">
      <c r="A661">
        <v>660</v>
      </c>
      <c r="B661">
        <v>8</v>
      </c>
      <c r="C661">
        <v>5000</v>
      </c>
      <c r="D661">
        <v>4931</v>
      </c>
      <c r="E661" s="5">
        <f t="shared" si="41"/>
        <v>69</v>
      </c>
      <c r="F661" s="5">
        <f t="shared" si="42"/>
        <v>4761</v>
      </c>
      <c r="G661" s="6">
        <f>SQRT(SUM($F$2:F661)/A661)</f>
        <v>1102.5669154433681</v>
      </c>
      <c r="H661" s="5">
        <f t="shared" si="43"/>
        <v>1</v>
      </c>
      <c r="I661" s="5">
        <f t="shared" si="44"/>
        <v>1</v>
      </c>
    </row>
    <row r="662" spans="1:9">
      <c r="A662">
        <v>661</v>
      </c>
      <c r="B662">
        <v>9</v>
      </c>
      <c r="C662">
        <v>5000</v>
      </c>
      <c r="D662">
        <v>5312</v>
      </c>
      <c r="E662" s="5">
        <f t="shared" si="41"/>
        <v>312</v>
      </c>
      <c r="F662" s="5">
        <f t="shared" si="42"/>
        <v>97344</v>
      </c>
      <c r="G662" s="6">
        <f>SQRT(SUM($F$2:F662)/A662)</f>
        <v>1101.7994180611729</v>
      </c>
      <c r="H662" s="5">
        <f t="shared" si="43"/>
        <v>1</v>
      </c>
      <c r="I662" s="5">
        <f t="shared" si="44"/>
        <v>1</v>
      </c>
    </row>
    <row r="663" spans="1:9">
      <c r="A663">
        <v>662</v>
      </c>
      <c r="B663">
        <v>8</v>
      </c>
      <c r="C663">
        <v>5000</v>
      </c>
      <c r="D663">
        <v>4951</v>
      </c>
      <c r="E663" s="5">
        <f t="shared" si="41"/>
        <v>49</v>
      </c>
      <c r="F663" s="5">
        <f t="shared" si="42"/>
        <v>2401</v>
      </c>
      <c r="G663" s="6">
        <f>SQRT(SUM($F$2:F663)/A663)</f>
        <v>1100.9685759075739</v>
      </c>
      <c r="H663" s="5">
        <f t="shared" si="43"/>
        <v>1</v>
      </c>
      <c r="I663" s="5">
        <f t="shared" si="44"/>
        <v>1</v>
      </c>
    </row>
    <row r="664" spans="1:9">
      <c r="A664">
        <v>663</v>
      </c>
      <c r="B664">
        <v>9</v>
      </c>
      <c r="C664">
        <v>5000</v>
      </c>
      <c r="D664">
        <v>5855</v>
      </c>
      <c r="E664" s="5">
        <f t="shared" si="41"/>
        <v>855</v>
      </c>
      <c r="F664" s="5">
        <f t="shared" si="42"/>
        <v>731025</v>
      </c>
      <c r="G664" s="6">
        <f>SQRT(SUM($F$2:F664)/A664)</f>
        <v>1100.6389752530818</v>
      </c>
      <c r="H664" s="5">
        <f t="shared" si="43"/>
        <v>1</v>
      </c>
      <c r="I664" s="5">
        <f t="shared" si="44"/>
        <v>0</v>
      </c>
    </row>
    <row r="665" spans="1:9">
      <c r="A665">
        <v>664</v>
      </c>
      <c r="B665">
        <v>7</v>
      </c>
      <c r="C665">
        <v>5000</v>
      </c>
      <c r="D665">
        <v>4684</v>
      </c>
      <c r="E665" s="5">
        <f t="shared" si="41"/>
        <v>316</v>
      </c>
      <c r="F665" s="5">
        <f t="shared" si="42"/>
        <v>99856</v>
      </c>
      <c r="G665" s="6">
        <f>SQRT(SUM($F$2:F665)/A665)</f>
        <v>1099.8782353197651</v>
      </c>
      <c r="H665" s="5">
        <f t="shared" si="43"/>
        <v>1</v>
      </c>
      <c r="I665" s="5">
        <f t="shared" si="44"/>
        <v>1</v>
      </c>
    </row>
    <row r="666" spans="1:9">
      <c r="A666">
        <v>665</v>
      </c>
      <c r="B666">
        <v>9</v>
      </c>
      <c r="C666">
        <v>5000</v>
      </c>
      <c r="D666">
        <v>6594</v>
      </c>
      <c r="E666" s="5">
        <f t="shared" si="41"/>
        <v>1594</v>
      </c>
      <c r="F666" s="5">
        <f t="shared" si="42"/>
        <v>2540836</v>
      </c>
      <c r="G666" s="6">
        <f>SQRT(SUM($F$2:F666)/A666)</f>
        <v>1100.7878053835821</v>
      </c>
      <c r="H666" s="5">
        <f t="shared" si="43"/>
        <v>0</v>
      </c>
      <c r="I666" s="5">
        <f t="shared" si="44"/>
        <v>0</v>
      </c>
    </row>
    <row r="667" spans="1:9">
      <c r="A667">
        <v>666</v>
      </c>
      <c r="B667">
        <v>6</v>
      </c>
      <c r="C667">
        <v>5000</v>
      </c>
      <c r="D667">
        <v>4438</v>
      </c>
      <c r="E667" s="5">
        <f t="shared" si="41"/>
        <v>562</v>
      </c>
      <c r="F667" s="5">
        <f t="shared" si="42"/>
        <v>315844</v>
      </c>
      <c r="G667" s="6">
        <f>SQRT(SUM($F$2:F667)/A667)</f>
        <v>1100.1766279159963</v>
      </c>
      <c r="H667" s="5">
        <f t="shared" si="43"/>
        <v>1</v>
      </c>
      <c r="I667" s="5">
        <f t="shared" si="44"/>
        <v>0</v>
      </c>
    </row>
    <row r="668" spans="1:9">
      <c r="A668">
        <v>667</v>
      </c>
      <c r="B668">
        <v>9</v>
      </c>
      <c r="C668">
        <v>5000</v>
      </c>
      <c r="D668">
        <v>5882</v>
      </c>
      <c r="E668" s="5">
        <f t="shared" si="41"/>
        <v>882</v>
      </c>
      <c r="F668" s="5">
        <f t="shared" si="42"/>
        <v>777924</v>
      </c>
      <c r="G668" s="6">
        <f>SQRT(SUM($F$2:F668)/A668)</f>
        <v>1099.8819208806281</v>
      </c>
      <c r="H668" s="5">
        <f t="shared" si="43"/>
        <v>1</v>
      </c>
      <c r="I668" s="5">
        <f t="shared" si="44"/>
        <v>0</v>
      </c>
    </row>
    <row r="669" spans="1:9">
      <c r="A669">
        <v>668</v>
      </c>
      <c r="B669">
        <v>7</v>
      </c>
      <c r="C669">
        <v>5000</v>
      </c>
      <c r="D669">
        <v>5476</v>
      </c>
      <c r="E669" s="5">
        <f t="shared" si="41"/>
        <v>476</v>
      </c>
      <c r="F669" s="5">
        <f t="shared" si="42"/>
        <v>226576</v>
      </c>
      <c r="G669" s="6">
        <f>SQRT(SUM($F$2:F669)/A669)</f>
        <v>1099.2126441802552</v>
      </c>
      <c r="H669" s="5">
        <f t="shared" si="43"/>
        <v>1</v>
      </c>
      <c r="I669" s="5">
        <f t="shared" si="44"/>
        <v>1</v>
      </c>
    </row>
    <row r="670" spans="1:9">
      <c r="A670">
        <v>669</v>
      </c>
      <c r="B670">
        <v>7</v>
      </c>
      <c r="C670">
        <v>5000</v>
      </c>
      <c r="D670">
        <v>5073</v>
      </c>
      <c r="E670" s="5">
        <f t="shared" si="41"/>
        <v>73</v>
      </c>
      <c r="F670" s="5">
        <f t="shared" si="42"/>
        <v>5329</v>
      </c>
      <c r="G670" s="6">
        <f>SQRT(SUM($F$2:F670)/A670)</f>
        <v>1098.3944288711532</v>
      </c>
      <c r="H670" s="5">
        <f t="shared" si="43"/>
        <v>1</v>
      </c>
      <c r="I670" s="5">
        <f t="shared" si="44"/>
        <v>1</v>
      </c>
    </row>
    <row r="671" spans="1:9">
      <c r="A671">
        <v>670</v>
      </c>
      <c r="B671">
        <v>8</v>
      </c>
      <c r="C671">
        <v>5000</v>
      </c>
      <c r="D671">
        <v>5558</v>
      </c>
      <c r="E671" s="5">
        <f t="shared" si="41"/>
        <v>558</v>
      </c>
      <c r="F671" s="5">
        <f t="shared" si="42"/>
        <v>311364</v>
      </c>
      <c r="G671" s="6">
        <f>SQRT(SUM($F$2:F671)/A671)</f>
        <v>1097.7861093086597</v>
      </c>
      <c r="H671" s="5">
        <f t="shared" si="43"/>
        <v>1</v>
      </c>
      <c r="I671" s="5">
        <f t="shared" si="44"/>
        <v>0</v>
      </c>
    </row>
    <row r="672" spans="1:9">
      <c r="A672">
        <v>671</v>
      </c>
      <c r="B672">
        <v>7</v>
      </c>
      <c r="C672">
        <v>5000</v>
      </c>
      <c r="D672">
        <v>5713</v>
      </c>
      <c r="E672" s="5">
        <f t="shared" si="41"/>
        <v>713</v>
      </c>
      <c r="F672" s="5">
        <f t="shared" si="42"/>
        <v>508369</v>
      </c>
      <c r="G672" s="6">
        <f>SQRT(SUM($F$2:F672)/A672)</f>
        <v>1097.3130562278511</v>
      </c>
      <c r="H672" s="5">
        <f t="shared" si="43"/>
        <v>1</v>
      </c>
      <c r="I672" s="5">
        <f t="shared" si="44"/>
        <v>0</v>
      </c>
    </row>
    <row r="673" spans="1:9">
      <c r="A673">
        <v>672</v>
      </c>
      <c r="B673">
        <v>7</v>
      </c>
      <c r="C673">
        <v>5000</v>
      </c>
      <c r="D673">
        <v>4755</v>
      </c>
      <c r="E673" s="5">
        <f t="shared" si="41"/>
        <v>245</v>
      </c>
      <c r="F673" s="5">
        <f t="shared" si="42"/>
        <v>60025</v>
      </c>
      <c r="G673" s="6">
        <f>SQRT(SUM($F$2:F673)/A673)</f>
        <v>1096.537029399937</v>
      </c>
      <c r="H673" s="5">
        <f t="shared" si="43"/>
        <v>1</v>
      </c>
      <c r="I673" s="5">
        <f t="shared" si="44"/>
        <v>1</v>
      </c>
    </row>
    <row r="674" spans="1:9">
      <c r="A674">
        <v>673</v>
      </c>
      <c r="B674">
        <v>8</v>
      </c>
      <c r="C674">
        <v>5000</v>
      </c>
      <c r="D674">
        <v>5894</v>
      </c>
      <c r="E674" s="5">
        <f t="shared" si="41"/>
        <v>894</v>
      </c>
      <c r="F674" s="5">
        <f t="shared" si="42"/>
        <v>799236</v>
      </c>
      <c r="G674" s="6">
        <f>SQRT(SUM($F$2:F674)/A674)</f>
        <v>1096.2638421428921</v>
      </c>
      <c r="H674" s="5">
        <f t="shared" si="43"/>
        <v>1</v>
      </c>
      <c r="I674" s="5">
        <f t="shared" si="44"/>
        <v>0</v>
      </c>
    </row>
    <row r="675" spans="1:9">
      <c r="A675">
        <v>674</v>
      </c>
      <c r="B675">
        <v>6</v>
      </c>
      <c r="C675">
        <v>5000</v>
      </c>
      <c r="D675">
        <v>4636</v>
      </c>
      <c r="E675" s="5">
        <f t="shared" si="41"/>
        <v>364</v>
      </c>
      <c r="F675" s="5">
        <f t="shared" si="42"/>
        <v>132496</v>
      </c>
      <c r="G675" s="6">
        <f>SQRT(SUM($F$2:F675)/A675)</f>
        <v>1095.5400108760368</v>
      </c>
      <c r="H675" s="5">
        <f t="shared" si="43"/>
        <v>1</v>
      </c>
      <c r="I675" s="5">
        <f t="shared" si="44"/>
        <v>1</v>
      </c>
    </row>
    <row r="676" spans="1:9">
      <c r="A676">
        <v>675</v>
      </c>
      <c r="B676">
        <v>8</v>
      </c>
      <c r="C676">
        <v>5000</v>
      </c>
      <c r="D676">
        <v>6301</v>
      </c>
      <c r="E676" s="5">
        <f t="shared" si="41"/>
        <v>1301</v>
      </c>
      <c r="F676" s="5">
        <f t="shared" si="42"/>
        <v>1692601</v>
      </c>
      <c r="G676" s="6">
        <f>SQRT(SUM($F$2:F676)/A676)</f>
        <v>1095.8728880060255</v>
      </c>
      <c r="H676" s="5">
        <f t="shared" si="43"/>
        <v>0</v>
      </c>
      <c r="I676" s="5">
        <f t="shared" si="44"/>
        <v>0</v>
      </c>
    </row>
    <row r="677" spans="1:9">
      <c r="A677">
        <v>676</v>
      </c>
      <c r="B677">
        <v>6</v>
      </c>
      <c r="C677">
        <v>5000</v>
      </c>
      <c r="D677">
        <v>4879</v>
      </c>
      <c r="E677" s="5">
        <f t="shared" si="41"/>
        <v>121</v>
      </c>
      <c r="F677" s="5">
        <f t="shared" si="42"/>
        <v>14641</v>
      </c>
      <c r="G677" s="6">
        <f>SQRT(SUM($F$2:F677)/A677)</f>
        <v>1095.0719201746658</v>
      </c>
      <c r="H677" s="5">
        <f t="shared" si="43"/>
        <v>1</v>
      </c>
      <c r="I677" s="5">
        <f t="shared" si="44"/>
        <v>1</v>
      </c>
    </row>
    <row r="678" spans="1:9">
      <c r="A678">
        <v>677</v>
      </c>
      <c r="B678">
        <v>7</v>
      </c>
      <c r="C678">
        <v>5000</v>
      </c>
      <c r="D678">
        <v>5510</v>
      </c>
      <c r="E678" s="5">
        <f t="shared" si="41"/>
        <v>510</v>
      </c>
      <c r="F678" s="5">
        <f t="shared" si="42"/>
        <v>260100</v>
      </c>
      <c r="G678" s="6">
        <f>SQRT(SUM($F$2:F678)/A678)</f>
        <v>1094.4383888558905</v>
      </c>
      <c r="H678" s="5">
        <f t="shared" si="43"/>
        <v>1</v>
      </c>
      <c r="I678" s="5">
        <f t="shared" si="44"/>
        <v>0</v>
      </c>
    </row>
    <row r="679" spans="1:9">
      <c r="A679">
        <v>678</v>
      </c>
      <c r="B679">
        <v>6</v>
      </c>
      <c r="C679">
        <v>5000</v>
      </c>
      <c r="D679">
        <v>4300</v>
      </c>
      <c r="E679" s="5">
        <f t="shared" si="41"/>
        <v>700</v>
      </c>
      <c r="F679" s="5">
        <f t="shared" si="42"/>
        <v>490000</v>
      </c>
      <c r="G679" s="6">
        <f>SQRT(SUM($F$2:F679)/A679)</f>
        <v>1093.9613526093826</v>
      </c>
      <c r="H679" s="5">
        <f t="shared" si="43"/>
        <v>1</v>
      </c>
      <c r="I679" s="5">
        <f t="shared" si="44"/>
        <v>0</v>
      </c>
    </row>
    <row r="680" spans="1:9">
      <c r="A680">
        <v>679</v>
      </c>
      <c r="B680">
        <v>8</v>
      </c>
      <c r="C680">
        <v>5000</v>
      </c>
      <c r="D680">
        <v>5716</v>
      </c>
      <c r="E680" s="5">
        <f t="shared" si="41"/>
        <v>716</v>
      </c>
      <c r="F680" s="5">
        <f t="shared" si="42"/>
        <v>512656</v>
      </c>
      <c r="G680" s="6">
        <f>SQRT(SUM($F$2:F680)/A680)</f>
        <v>1093.5007712258714</v>
      </c>
      <c r="H680" s="5">
        <f t="shared" si="43"/>
        <v>1</v>
      </c>
      <c r="I680" s="5">
        <f t="shared" si="44"/>
        <v>0</v>
      </c>
    </row>
    <row r="681" spans="1:9">
      <c r="A681">
        <v>680</v>
      </c>
      <c r="B681">
        <v>6</v>
      </c>
      <c r="C681">
        <v>5000</v>
      </c>
      <c r="D681">
        <v>4893</v>
      </c>
      <c r="E681" s="5">
        <f t="shared" si="41"/>
        <v>107</v>
      </c>
      <c r="F681" s="5">
        <f t="shared" si="42"/>
        <v>11449</v>
      </c>
      <c r="G681" s="6">
        <f>SQRT(SUM($F$2:F681)/A681)</f>
        <v>1092.7041349196902</v>
      </c>
      <c r="H681" s="5">
        <f t="shared" si="43"/>
        <v>1</v>
      </c>
      <c r="I681" s="5">
        <f t="shared" si="44"/>
        <v>1</v>
      </c>
    </row>
    <row r="682" spans="1:9">
      <c r="A682">
        <v>681</v>
      </c>
      <c r="B682">
        <v>7</v>
      </c>
      <c r="C682">
        <v>5000</v>
      </c>
      <c r="D682">
        <v>4461</v>
      </c>
      <c r="E682" s="5">
        <f t="shared" si="41"/>
        <v>539</v>
      </c>
      <c r="F682" s="5">
        <f t="shared" si="42"/>
        <v>290521</v>
      </c>
      <c r="G682" s="6">
        <f>SQRT(SUM($F$2:F682)/A682)</f>
        <v>1092.0968951917766</v>
      </c>
      <c r="H682" s="5">
        <f t="shared" si="43"/>
        <v>1</v>
      </c>
      <c r="I682" s="5">
        <f t="shared" si="44"/>
        <v>0</v>
      </c>
    </row>
    <row r="683" spans="1:9">
      <c r="A683">
        <v>682</v>
      </c>
      <c r="B683">
        <v>8</v>
      </c>
      <c r="C683">
        <v>5000</v>
      </c>
      <c r="D683">
        <v>5971</v>
      </c>
      <c r="E683" s="5">
        <f t="shared" si="41"/>
        <v>971</v>
      </c>
      <c r="F683" s="5">
        <f t="shared" si="42"/>
        <v>942841</v>
      </c>
      <c r="G683" s="6">
        <f>SQRT(SUM($F$2:F683)/A683)</f>
        <v>1091.9291653091723</v>
      </c>
      <c r="H683" s="5">
        <f t="shared" si="43"/>
        <v>1</v>
      </c>
      <c r="I683" s="5">
        <f t="shared" si="44"/>
        <v>0</v>
      </c>
    </row>
    <row r="684" spans="1:9">
      <c r="A684">
        <v>683</v>
      </c>
      <c r="B684">
        <v>6</v>
      </c>
      <c r="C684">
        <v>5000</v>
      </c>
      <c r="D684">
        <v>4653</v>
      </c>
      <c r="E684" s="5">
        <f t="shared" si="41"/>
        <v>347</v>
      </c>
      <c r="F684" s="5">
        <f t="shared" si="42"/>
        <v>120409</v>
      </c>
      <c r="G684" s="6">
        <f>SQRT(SUM($F$2:F684)/A684)</f>
        <v>1091.2102922458932</v>
      </c>
      <c r="H684" s="5">
        <f t="shared" si="43"/>
        <v>1</v>
      </c>
      <c r="I684" s="5">
        <f t="shared" si="44"/>
        <v>1</v>
      </c>
    </row>
    <row r="685" spans="1:9">
      <c r="A685">
        <v>684</v>
      </c>
      <c r="B685">
        <v>7</v>
      </c>
      <c r="C685">
        <v>5000</v>
      </c>
      <c r="D685">
        <v>4845</v>
      </c>
      <c r="E685" s="5">
        <f t="shared" si="41"/>
        <v>155</v>
      </c>
      <c r="F685" s="5">
        <f t="shared" si="42"/>
        <v>24025</v>
      </c>
      <c r="G685" s="6">
        <f>SQRT(SUM($F$2:F685)/A685)</f>
        <v>1090.428437983242</v>
      </c>
      <c r="H685" s="5">
        <f t="shared" si="43"/>
        <v>1</v>
      </c>
      <c r="I685" s="5">
        <f t="shared" si="44"/>
        <v>1</v>
      </c>
    </row>
    <row r="686" spans="1:9">
      <c r="A686">
        <v>685</v>
      </c>
      <c r="B686">
        <v>7</v>
      </c>
      <c r="C686">
        <v>5000</v>
      </c>
      <c r="D686">
        <v>4201</v>
      </c>
      <c r="E686" s="5">
        <f t="shared" si="41"/>
        <v>799</v>
      </c>
      <c r="F686" s="5">
        <f t="shared" si="42"/>
        <v>638401</v>
      </c>
      <c r="G686" s="6">
        <f>SQRT(SUM($F$2:F686)/A686)</f>
        <v>1090.059784739612</v>
      </c>
      <c r="H686" s="5">
        <f t="shared" si="43"/>
        <v>1</v>
      </c>
      <c r="I686" s="5">
        <f t="shared" si="44"/>
        <v>0</v>
      </c>
    </row>
    <row r="687" spans="1:9">
      <c r="A687">
        <v>686</v>
      </c>
      <c r="B687">
        <v>8</v>
      </c>
      <c r="C687">
        <v>5000</v>
      </c>
      <c r="D687">
        <v>5476</v>
      </c>
      <c r="E687" s="5">
        <f t="shared" si="41"/>
        <v>476</v>
      </c>
      <c r="F687" s="5">
        <f t="shared" si="42"/>
        <v>226576</v>
      </c>
      <c r="G687" s="6">
        <f>SQRT(SUM($F$2:F687)/A687)</f>
        <v>1089.4165896620557</v>
      </c>
      <c r="H687" s="5">
        <f t="shared" si="43"/>
        <v>1</v>
      </c>
      <c r="I687" s="5">
        <f t="shared" si="44"/>
        <v>1</v>
      </c>
    </row>
    <row r="688" spans="1:9">
      <c r="A688">
        <v>687</v>
      </c>
      <c r="B688">
        <v>7</v>
      </c>
      <c r="C688">
        <v>5000</v>
      </c>
      <c r="D688">
        <v>5057</v>
      </c>
      <c r="E688" s="5">
        <f t="shared" si="41"/>
        <v>57</v>
      </c>
      <c r="F688" s="5">
        <f t="shared" si="42"/>
        <v>3249</v>
      </c>
      <c r="G688" s="6">
        <f>SQRT(SUM($F$2:F688)/A688)</f>
        <v>1088.6255934334411</v>
      </c>
      <c r="H688" s="5">
        <f t="shared" si="43"/>
        <v>1</v>
      </c>
      <c r="I688" s="5">
        <f t="shared" si="44"/>
        <v>1</v>
      </c>
    </row>
    <row r="689" spans="1:9">
      <c r="A689">
        <v>688</v>
      </c>
      <c r="B689">
        <v>7</v>
      </c>
      <c r="C689">
        <v>5000</v>
      </c>
      <c r="D689">
        <v>4938</v>
      </c>
      <c r="E689" s="5">
        <f t="shared" si="41"/>
        <v>62</v>
      </c>
      <c r="F689" s="5">
        <f t="shared" si="42"/>
        <v>3844</v>
      </c>
      <c r="G689" s="6">
        <f>SQRT(SUM($F$2:F689)/A689)</f>
        <v>1087.8367214605967</v>
      </c>
      <c r="H689" s="5">
        <f t="shared" si="43"/>
        <v>1</v>
      </c>
      <c r="I689" s="5">
        <f t="shared" si="44"/>
        <v>1</v>
      </c>
    </row>
    <row r="690" spans="1:9">
      <c r="A690">
        <v>689</v>
      </c>
      <c r="B690">
        <v>7</v>
      </c>
      <c r="C690">
        <v>5000</v>
      </c>
      <c r="D690">
        <v>4845</v>
      </c>
      <c r="E690" s="5">
        <f t="shared" si="41"/>
        <v>155</v>
      </c>
      <c r="F690" s="5">
        <f t="shared" si="42"/>
        <v>24025</v>
      </c>
      <c r="G690" s="6">
        <f>SQRT(SUM($F$2:F690)/A690)</f>
        <v>1087.0630416879112</v>
      </c>
      <c r="H690" s="5">
        <f t="shared" si="43"/>
        <v>1</v>
      </c>
      <c r="I690" s="5">
        <f t="shared" si="44"/>
        <v>1</v>
      </c>
    </row>
    <row r="691" spans="1:9">
      <c r="A691">
        <v>690</v>
      </c>
      <c r="B691">
        <v>7</v>
      </c>
      <c r="C691">
        <v>5000</v>
      </c>
      <c r="D691">
        <v>3923</v>
      </c>
      <c r="E691" s="5">
        <f t="shared" si="41"/>
        <v>1077</v>
      </c>
      <c r="F691" s="5">
        <f t="shared" si="42"/>
        <v>1159929</v>
      </c>
      <c r="G691" s="6">
        <f>SQRT(SUM($F$2:F691)/A691)</f>
        <v>1087.0485249758513</v>
      </c>
      <c r="H691" s="5">
        <f t="shared" si="43"/>
        <v>0</v>
      </c>
      <c r="I691" s="5">
        <f t="shared" si="44"/>
        <v>0</v>
      </c>
    </row>
    <row r="692" spans="1:9">
      <c r="A692">
        <v>691</v>
      </c>
      <c r="B692">
        <v>9</v>
      </c>
      <c r="C692">
        <v>5000</v>
      </c>
      <c r="D692">
        <v>5793</v>
      </c>
      <c r="E692" s="5">
        <f t="shared" si="41"/>
        <v>793</v>
      </c>
      <c r="F692" s="5">
        <f t="shared" si="42"/>
        <v>628849</v>
      </c>
      <c r="G692" s="6">
        <f>SQRT(SUM($F$2:F692)/A692)</f>
        <v>1086.6804768447009</v>
      </c>
      <c r="H692" s="5">
        <f t="shared" si="43"/>
        <v>1</v>
      </c>
      <c r="I692" s="5">
        <f t="shared" si="44"/>
        <v>0</v>
      </c>
    </row>
    <row r="693" spans="1:9">
      <c r="A693">
        <v>692</v>
      </c>
      <c r="B693">
        <v>6</v>
      </c>
      <c r="C693">
        <v>5000</v>
      </c>
      <c r="D693">
        <v>3641</v>
      </c>
      <c r="E693" s="5">
        <f t="shared" si="41"/>
        <v>1359</v>
      </c>
      <c r="F693" s="5">
        <f t="shared" si="42"/>
        <v>1846881</v>
      </c>
      <c r="G693" s="6">
        <f>SQRT(SUM($F$2:F693)/A693)</f>
        <v>1087.1232202256363</v>
      </c>
      <c r="H693" s="5">
        <f t="shared" si="43"/>
        <v>0</v>
      </c>
      <c r="I693" s="5">
        <f t="shared" si="44"/>
        <v>0</v>
      </c>
    </row>
    <row r="694" spans="1:9">
      <c r="A694">
        <v>693</v>
      </c>
      <c r="B694">
        <v>9</v>
      </c>
      <c r="C694">
        <v>5000</v>
      </c>
      <c r="D694">
        <v>6123</v>
      </c>
      <c r="E694" s="5">
        <f t="shared" si="41"/>
        <v>1123</v>
      </c>
      <c r="F694" s="5">
        <f t="shared" si="42"/>
        <v>1261129</v>
      </c>
      <c r="G694" s="6">
        <f>SQRT(SUM($F$2:F694)/A694)</f>
        <v>1087.1758434468247</v>
      </c>
      <c r="H694" s="5">
        <f t="shared" si="43"/>
        <v>0</v>
      </c>
      <c r="I694" s="5">
        <f t="shared" si="44"/>
        <v>0</v>
      </c>
    </row>
    <row r="695" spans="1:9">
      <c r="A695">
        <v>694</v>
      </c>
      <c r="B695">
        <v>6</v>
      </c>
      <c r="C695">
        <v>5000</v>
      </c>
      <c r="D695">
        <v>4580</v>
      </c>
      <c r="E695" s="5">
        <f t="shared" si="41"/>
        <v>420</v>
      </c>
      <c r="F695" s="5">
        <f t="shared" si="42"/>
        <v>176400</v>
      </c>
      <c r="G695" s="6">
        <f>SQRT(SUM($F$2:F695)/A695)</f>
        <v>1086.509269804799</v>
      </c>
      <c r="H695" s="5">
        <f t="shared" si="43"/>
        <v>1</v>
      </c>
      <c r="I695" s="5">
        <f t="shared" si="44"/>
        <v>1</v>
      </c>
    </row>
    <row r="696" spans="1:9">
      <c r="A696">
        <v>695</v>
      </c>
      <c r="B696">
        <v>8</v>
      </c>
      <c r="C696">
        <v>5000</v>
      </c>
      <c r="D696">
        <v>5421</v>
      </c>
      <c r="E696" s="5">
        <f t="shared" si="41"/>
        <v>421</v>
      </c>
      <c r="F696" s="5">
        <f t="shared" si="42"/>
        <v>177241</v>
      </c>
      <c r="G696" s="6">
        <f>SQRT(SUM($F$2:F696)/A696)</f>
        <v>1085.8447641346165</v>
      </c>
      <c r="H696" s="5">
        <f t="shared" si="43"/>
        <v>1</v>
      </c>
      <c r="I696" s="5">
        <f t="shared" si="44"/>
        <v>1</v>
      </c>
    </row>
    <row r="697" spans="1:9">
      <c r="A697">
        <v>696</v>
      </c>
      <c r="B697">
        <v>7</v>
      </c>
      <c r="C697">
        <v>5000</v>
      </c>
      <c r="D697">
        <v>5247</v>
      </c>
      <c r="E697" s="5">
        <f t="shared" si="41"/>
        <v>247</v>
      </c>
      <c r="F697" s="5">
        <f t="shared" si="42"/>
        <v>61009</v>
      </c>
      <c r="G697" s="6">
        <f>SQRT(SUM($F$2:F697)/A697)</f>
        <v>1085.1048144457443</v>
      </c>
      <c r="H697" s="5">
        <f t="shared" si="43"/>
        <v>1</v>
      </c>
      <c r="I697" s="5">
        <f t="shared" si="44"/>
        <v>1</v>
      </c>
    </row>
    <row r="698" spans="1:9">
      <c r="A698">
        <v>697</v>
      </c>
      <c r="B698">
        <v>7</v>
      </c>
      <c r="C698">
        <v>5000</v>
      </c>
      <c r="D698">
        <v>5130</v>
      </c>
      <c r="E698" s="5">
        <f t="shared" si="41"/>
        <v>130</v>
      </c>
      <c r="F698" s="5">
        <f t="shared" si="42"/>
        <v>16900</v>
      </c>
      <c r="G698" s="6">
        <f>SQRT(SUM($F$2:F698)/A698)</f>
        <v>1084.3373046445936</v>
      </c>
      <c r="H698" s="5">
        <f t="shared" si="43"/>
        <v>1</v>
      </c>
      <c r="I698" s="5">
        <f t="shared" si="44"/>
        <v>1</v>
      </c>
    </row>
    <row r="699" spans="1:9">
      <c r="A699">
        <v>698</v>
      </c>
      <c r="B699">
        <v>7</v>
      </c>
      <c r="C699">
        <v>5000</v>
      </c>
      <c r="D699">
        <v>5226</v>
      </c>
      <c r="E699" s="5">
        <f t="shared" si="41"/>
        <v>226</v>
      </c>
      <c r="F699" s="5">
        <f t="shared" si="42"/>
        <v>51076</v>
      </c>
      <c r="G699" s="6">
        <f>SQRT(SUM($F$2:F699)/A699)</f>
        <v>1083.5940456988151</v>
      </c>
      <c r="H699" s="5">
        <f t="shared" si="43"/>
        <v>1</v>
      </c>
      <c r="I699" s="5">
        <f t="shared" si="44"/>
        <v>1</v>
      </c>
    </row>
    <row r="700" spans="1:9">
      <c r="A700">
        <v>699</v>
      </c>
      <c r="B700">
        <v>7</v>
      </c>
      <c r="C700">
        <v>5000</v>
      </c>
      <c r="D700">
        <v>4956</v>
      </c>
      <c r="E700" s="5">
        <f t="shared" si="41"/>
        <v>44</v>
      </c>
      <c r="F700" s="5">
        <f t="shared" si="42"/>
        <v>1936</v>
      </c>
      <c r="G700" s="6">
        <f>SQRT(SUM($F$2:F700)/A700)</f>
        <v>1082.8199441613244</v>
      </c>
      <c r="H700" s="5">
        <f t="shared" si="43"/>
        <v>1</v>
      </c>
      <c r="I700" s="5">
        <f t="shared" si="44"/>
        <v>1</v>
      </c>
    </row>
    <row r="701" spans="1:9">
      <c r="A701">
        <v>700</v>
      </c>
      <c r="B701">
        <v>7</v>
      </c>
      <c r="C701">
        <v>5000</v>
      </c>
      <c r="D701">
        <v>4664</v>
      </c>
      <c r="E701" s="5">
        <f t="shared" si="41"/>
        <v>336</v>
      </c>
      <c r="F701" s="5">
        <f t="shared" si="42"/>
        <v>112896</v>
      </c>
      <c r="G701" s="6">
        <f>SQRT(SUM($F$2:F701)/A701)</f>
        <v>1082.1207478175172</v>
      </c>
      <c r="H701" s="5">
        <f t="shared" si="43"/>
        <v>1</v>
      </c>
      <c r="I701" s="5">
        <f t="shared" si="44"/>
        <v>1</v>
      </c>
    </row>
    <row r="702" spans="1:9">
      <c r="A702">
        <v>701</v>
      </c>
      <c r="B702">
        <v>8</v>
      </c>
      <c r="C702">
        <v>6000</v>
      </c>
      <c r="D702">
        <v>5322</v>
      </c>
      <c r="E702" s="5">
        <f t="shared" si="41"/>
        <v>678</v>
      </c>
      <c r="F702" s="5">
        <f t="shared" si="42"/>
        <v>459684</v>
      </c>
      <c r="G702" s="6">
        <f>SQRT(SUM($F$2:F702)/A702)</f>
        <v>1081.6518005758671</v>
      </c>
      <c r="H702" s="5">
        <f t="shared" si="43"/>
        <v>1</v>
      </c>
      <c r="I702" s="5">
        <f t="shared" si="44"/>
        <v>0</v>
      </c>
    </row>
    <row r="703" spans="1:9">
      <c r="A703">
        <v>702</v>
      </c>
      <c r="B703">
        <v>8</v>
      </c>
      <c r="C703">
        <v>6000</v>
      </c>
      <c r="D703">
        <v>5523</v>
      </c>
      <c r="E703" s="5">
        <f t="shared" si="41"/>
        <v>477</v>
      </c>
      <c r="F703" s="5">
        <f t="shared" si="42"/>
        <v>227529</v>
      </c>
      <c r="G703" s="6">
        <f>SQRT(SUM($F$2:F703)/A703)</f>
        <v>1081.0310394535895</v>
      </c>
      <c r="H703" s="5">
        <f t="shared" si="43"/>
        <v>1</v>
      </c>
      <c r="I703" s="5">
        <f t="shared" si="44"/>
        <v>1</v>
      </c>
    </row>
    <row r="704" spans="1:9">
      <c r="A704">
        <v>703</v>
      </c>
      <c r="B704">
        <v>8</v>
      </c>
      <c r="C704">
        <v>6000</v>
      </c>
      <c r="D704">
        <v>5480</v>
      </c>
      <c r="E704" s="5">
        <f t="shared" si="41"/>
        <v>520</v>
      </c>
      <c r="F704" s="5">
        <f t="shared" si="42"/>
        <v>270400</v>
      </c>
      <c r="G704" s="6">
        <f>SQRT(SUM($F$2:F704)/A704)</f>
        <v>1080.4399109334956</v>
      </c>
      <c r="H704" s="5">
        <f t="shared" si="43"/>
        <v>1</v>
      </c>
      <c r="I704" s="5">
        <f t="shared" si="44"/>
        <v>1</v>
      </c>
    </row>
    <row r="705" spans="1:9">
      <c r="A705">
        <v>704</v>
      </c>
      <c r="B705">
        <v>8</v>
      </c>
      <c r="C705">
        <v>6000</v>
      </c>
      <c r="D705">
        <v>5626</v>
      </c>
      <c r="E705" s="5">
        <f t="shared" si="41"/>
        <v>374</v>
      </c>
      <c r="F705" s="5">
        <f t="shared" si="42"/>
        <v>139876</v>
      </c>
      <c r="G705" s="6">
        <f>SQRT(SUM($F$2:F705)/A705)</f>
        <v>1079.7642893032466</v>
      </c>
      <c r="H705" s="5">
        <f t="shared" si="43"/>
        <v>1</v>
      </c>
      <c r="I705" s="5">
        <f t="shared" si="44"/>
        <v>1</v>
      </c>
    </row>
    <row r="706" spans="1:9">
      <c r="A706">
        <v>705</v>
      </c>
      <c r="B706">
        <v>8</v>
      </c>
      <c r="C706">
        <v>6000</v>
      </c>
      <c r="D706">
        <v>5353</v>
      </c>
      <c r="E706" s="5">
        <f t="shared" si="41"/>
        <v>647</v>
      </c>
      <c r="F706" s="5">
        <f t="shared" si="42"/>
        <v>418609</v>
      </c>
      <c r="G706" s="6">
        <f>SQRT(SUM($F$2:F706)/A706)</f>
        <v>1079.2733416976864</v>
      </c>
      <c r="H706" s="5">
        <f t="shared" si="43"/>
        <v>1</v>
      </c>
      <c r="I706" s="5">
        <f t="shared" si="44"/>
        <v>0</v>
      </c>
    </row>
    <row r="707" spans="1:9">
      <c r="A707">
        <v>706</v>
      </c>
      <c r="B707">
        <v>9</v>
      </c>
      <c r="C707">
        <v>6000</v>
      </c>
      <c r="D707">
        <v>5935</v>
      </c>
      <c r="E707" s="5">
        <f t="shared" ref="E707:E770" si="45">ABS(C707-D707)</f>
        <v>65</v>
      </c>
      <c r="F707" s="5">
        <f t="shared" ref="F707:F770" si="46">POWER(E707,2)</f>
        <v>4225</v>
      </c>
      <c r="G707" s="6">
        <f>SQRT(SUM($F$2:F707)/A707)</f>
        <v>1078.5114873419809</v>
      </c>
      <c r="H707" s="5">
        <f t="shared" ref="H707:H770" si="47">IF(ABS(E707)/C707&gt;0.2,0,1)</f>
        <v>1</v>
      </c>
      <c r="I707" s="5">
        <f t="shared" ref="I707:I770" si="48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5296</v>
      </c>
      <c r="E708" s="5">
        <f t="shared" si="45"/>
        <v>704</v>
      </c>
      <c r="F708" s="5">
        <f t="shared" si="46"/>
        <v>495616</v>
      </c>
      <c r="G708" s="6">
        <f>SQRT(SUM($F$2:F708)/A708)</f>
        <v>1078.0736513508325</v>
      </c>
      <c r="H708" s="5">
        <f t="shared" si="47"/>
        <v>1</v>
      </c>
      <c r="I708" s="5">
        <f t="shared" si="48"/>
        <v>0</v>
      </c>
    </row>
    <row r="709" spans="1:9">
      <c r="A709">
        <v>708</v>
      </c>
      <c r="B709">
        <v>9</v>
      </c>
      <c r="C709">
        <v>6000</v>
      </c>
      <c r="D709">
        <v>5827</v>
      </c>
      <c r="E709" s="5">
        <f t="shared" si="45"/>
        <v>173</v>
      </c>
      <c r="F709" s="5">
        <f t="shared" si="46"/>
        <v>29929</v>
      </c>
      <c r="G709" s="6">
        <f>SQRT(SUM($F$2:F709)/A709)</f>
        <v>1077.3316501724419</v>
      </c>
      <c r="H709" s="5">
        <f t="shared" si="47"/>
        <v>1</v>
      </c>
      <c r="I709" s="5">
        <f t="shared" si="48"/>
        <v>1</v>
      </c>
    </row>
    <row r="710" spans="1:9">
      <c r="A710">
        <v>709</v>
      </c>
      <c r="B710">
        <v>8</v>
      </c>
      <c r="C710">
        <v>6000</v>
      </c>
      <c r="D710">
        <v>5567</v>
      </c>
      <c r="E710" s="5">
        <f t="shared" si="45"/>
        <v>433</v>
      </c>
      <c r="F710" s="5">
        <f t="shared" si="46"/>
        <v>187489</v>
      </c>
      <c r="G710" s="6">
        <f>SQRT(SUM($F$2:F710)/A710)</f>
        <v>1076.6944372209109</v>
      </c>
      <c r="H710" s="5">
        <f t="shared" si="47"/>
        <v>1</v>
      </c>
      <c r="I710" s="5">
        <f t="shared" si="48"/>
        <v>1</v>
      </c>
    </row>
    <row r="711" spans="1:9">
      <c r="A711">
        <v>710</v>
      </c>
      <c r="B711">
        <v>9</v>
      </c>
      <c r="C711">
        <v>6000</v>
      </c>
      <c r="D711">
        <v>5680</v>
      </c>
      <c r="E711" s="5">
        <f t="shared" si="45"/>
        <v>320</v>
      </c>
      <c r="F711" s="5">
        <f t="shared" si="46"/>
        <v>102400</v>
      </c>
      <c r="G711" s="6">
        <f>SQRT(SUM($F$2:F711)/A711)</f>
        <v>1076.002955648069</v>
      </c>
      <c r="H711" s="5">
        <f t="shared" si="47"/>
        <v>1</v>
      </c>
      <c r="I711" s="5">
        <f t="shared" si="48"/>
        <v>1</v>
      </c>
    </row>
    <row r="712" spans="1:9">
      <c r="A712">
        <v>711</v>
      </c>
      <c r="B712">
        <v>9</v>
      </c>
      <c r="C712">
        <v>6000</v>
      </c>
      <c r="D712">
        <v>4406</v>
      </c>
      <c r="E712" s="5">
        <f t="shared" si="45"/>
        <v>1594</v>
      </c>
      <c r="F712" s="5">
        <f t="shared" si="46"/>
        <v>2540836</v>
      </c>
      <c r="G712" s="6">
        <f>SQRT(SUM($F$2:F712)/A712)</f>
        <v>1076.9064879017819</v>
      </c>
      <c r="H712" s="5">
        <f t="shared" si="47"/>
        <v>0</v>
      </c>
      <c r="I712" s="5">
        <f t="shared" si="48"/>
        <v>0</v>
      </c>
    </row>
    <row r="713" spans="1:9">
      <c r="A713">
        <v>712</v>
      </c>
      <c r="B713">
        <v>10</v>
      </c>
      <c r="C713">
        <v>6000</v>
      </c>
      <c r="D713">
        <v>2781</v>
      </c>
      <c r="E713" s="5">
        <f t="shared" si="45"/>
        <v>3219</v>
      </c>
      <c r="F713" s="5">
        <f t="shared" si="46"/>
        <v>10361961</v>
      </c>
      <c r="G713" s="6">
        <f>SQRT(SUM($F$2:F713)/A713)</f>
        <v>1082.8906079656545</v>
      </c>
      <c r="H713" s="5">
        <f t="shared" si="47"/>
        <v>0</v>
      </c>
      <c r="I713" s="5">
        <f t="shared" si="48"/>
        <v>0</v>
      </c>
    </row>
    <row r="714" spans="1:9">
      <c r="A714">
        <v>713</v>
      </c>
      <c r="B714">
        <v>13</v>
      </c>
      <c r="C714">
        <v>6000</v>
      </c>
      <c r="D714">
        <v>2439</v>
      </c>
      <c r="E714" s="5">
        <f t="shared" si="45"/>
        <v>3561</v>
      </c>
      <c r="F714" s="5">
        <f t="shared" si="46"/>
        <v>12680721</v>
      </c>
      <c r="G714" s="6">
        <f>SQRT(SUM($F$2:F714)/A714)</f>
        <v>1090.3175766501768</v>
      </c>
      <c r="H714" s="5">
        <f t="shared" si="47"/>
        <v>0</v>
      </c>
      <c r="I714" s="5">
        <f t="shared" si="48"/>
        <v>0</v>
      </c>
    </row>
    <row r="715" spans="1:9">
      <c r="A715">
        <v>714</v>
      </c>
      <c r="B715">
        <v>14</v>
      </c>
      <c r="C715">
        <v>6000</v>
      </c>
      <c r="D715">
        <v>4499</v>
      </c>
      <c r="E715" s="5">
        <f t="shared" si="45"/>
        <v>1501</v>
      </c>
      <c r="F715" s="5">
        <f t="shared" si="46"/>
        <v>2253001</v>
      </c>
      <c r="G715" s="6">
        <f>SQRT(SUM($F$2:F715)/A715)</f>
        <v>1091.0008735846479</v>
      </c>
      <c r="H715" s="5">
        <f t="shared" si="47"/>
        <v>0</v>
      </c>
      <c r="I715" s="5">
        <f t="shared" si="48"/>
        <v>0</v>
      </c>
    </row>
    <row r="716" spans="1:9">
      <c r="A716">
        <v>715</v>
      </c>
      <c r="B716">
        <v>12</v>
      </c>
      <c r="C716">
        <v>6000</v>
      </c>
      <c r="D716">
        <v>5909</v>
      </c>
      <c r="E716" s="5">
        <f t="shared" si="45"/>
        <v>91</v>
      </c>
      <c r="F716" s="5">
        <f t="shared" si="46"/>
        <v>8281</v>
      </c>
      <c r="G716" s="6">
        <f>SQRT(SUM($F$2:F716)/A716)</f>
        <v>1090.2429805522056</v>
      </c>
      <c r="H716" s="5">
        <f t="shared" si="47"/>
        <v>1</v>
      </c>
      <c r="I716" s="5">
        <f t="shared" si="48"/>
        <v>1</v>
      </c>
    </row>
    <row r="717" spans="1:9">
      <c r="A717">
        <v>716</v>
      </c>
      <c r="B717">
        <v>11</v>
      </c>
      <c r="C717">
        <v>6000</v>
      </c>
      <c r="D717">
        <v>5588</v>
      </c>
      <c r="E717" s="5">
        <f t="shared" si="45"/>
        <v>412</v>
      </c>
      <c r="F717" s="5">
        <f t="shared" si="46"/>
        <v>169744</v>
      </c>
      <c r="G717" s="6">
        <f>SQRT(SUM($F$2:F717)/A717)</f>
        <v>1089.5901669176239</v>
      </c>
      <c r="H717" s="5">
        <f t="shared" si="47"/>
        <v>1</v>
      </c>
      <c r="I717" s="5">
        <f t="shared" si="48"/>
        <v>1</v>
      </c>
    </row>
    <row r="718" spans="1:9">
      <c r="A718">
        <v>717</v>
      </c>
      <c r="B718">
        <v>11</v>
      </c>
      <c r="C718">
        <v>6000</v>
      </c>
      <c r="D718">
        <v>5878</v>
      </c>
      <c r="E718" s="5">
        <f t="shared" si="45"/>
        <v>122</v>
      </c>
      <c r="F718" s="5">
        <f t="shared" si="46"/>
        <v>14884</v>
      </c>
      <c r="G718" s="6">
        <f>SQRT(SUM($F$2:F718)/A718)</f>
        <v>1088.839608558565</v>
      </c>
      <c r="H718" s="5">
        <f t="shared" si="47"/>
        <v>1</v>
      </c>
      <c r="I718" s="5">
        <f t="shared" si="48"/>
        <v>1</v>
      </c>
    </row>
    <row r="719" spans="1:9">
      <c r="A719">
        <v>718</v>
      </c>
      <c r="B719">
        <v>11</v>
      </c>
      <c r="C719">
        <v>6000</v>
      </c>
      <c r="D719">
        <v>6363</v>
      </c>
      <c r="E719" s="5">
        <f t="shared" si="45"/>
        <v>363</v>
      </c>
      <c r="F719" s="5">
        <f t="shared" si="46"/>
        <v>131769</v>
      </c>
      <c r="G719" s="6">
        <f>SQRT(SUM($F$2:F719)/A719)</f>
        <v>1088.165429239855</v>
      </c>
      <c r="H719" s="5">
        <f t="shared" si="47"/>
        <v>1</v>
      </c>
      <c r="I719" s="5">
        <f t="shared" si="48"/>
        <v>1</v>
      </c>
    </row>
    <row r="720" spans="1:9">
      <c r="A720">
        <v>719</v>
      </c>
      <c r="B720">
        <v>10</v>
      </c>
      <c r="C720">
        <v>6000</v>
      </c>
      <c r="D720">
        <v>5901</v>
      </c>
      <c r="E720" s="5">
        <f t="shared" si="45"/>
        <v>99</v>
      </c>
      <c r="F720" s="5">
        <f t="shared" si="46"/>
        <v>9801</v>
      </c>
      <c r="G720" s="6">
        <f>SQRT(SUM($F$2:F720)/A720)</f>
        <v>1087.4147123367413</v>
      </c>
      <c r="H720" s="5">
        <f t="shared" si="47"/>
        <v>1</v>
      </c>
      <c r="I720" s="5">
        <f t="shared" si="48"/>
        <v>1</v>
      </c>
    </row>
    <row r="721" spans="1:9">
      <c r="A721">
        <v>720</v>
      </c>
      <c r="B721">
        <v>11</v>
      </c>
      <c r="C721">
        <v>6000</v>
      </c>
      <c r="D721">
        <v>7007</v>
      </c>
      <c r="E721" s="5">
        <f t="shared" si="45"/>
        <v>1007</v>
      </c>
      <c r="F721" s="5">
        <f t="shared" si="46"/>
        <v>1014049</v>
      </c>
      <c r="G721" s="6">
        <f>SQRT(SUM($F$2:F721)/A721)</f>
        <v>1087.3071495672232</v>
      </c>
      <c r="H721" s="5">
        <f t="shared" si="47"/>
        <v>1</v>
      </c>
      <c r="I721" s="5">
        <f t="shared" si="48"/>
        <v>0</v>
      </c>
    </row>
    <row r="722" spans="1:9">
      <c r="A722">
        <v>721</v>
      </c>
      <c r="B722">
        <v>10</v>
      </c>
      <c r="C722">
        <v>6000</v>
      </c>
      <c r="D722">
        <v>5920</v>
      </c>
      <c r="E722" s="5">
        <f t="shared" si="45"/>
        <v>80</v>
      </c>
      <c r="F722" s="5">
        <f t="shared" si="46"/>
        <v>6400</v>
      </c>
      <c r="G722" s="6">
        <f>SQRT(SUM($F$2:F722)/A722)</f>
        <v>1086.5569455114226</v>
      </c>
      <c r="H722" s="5">
        <f t="shared" si="47"/>
        <v>1</v>
      </c>
      <c r="I722" s="5">
        <f t="shared" si="48"/>
        <v>1</v>
      </c>
    </row>
    <row r="723" spans="1:9">
      <c r="A723">
        <v>722</v>
      </c>
      <c r="B723">
        <v>11</v>
      </c>
      <c r="C723">
        <v>6000</v>
      </c>
      <c r="D723">
        <v>7045</v>
      </c>
      <c r="E723" s="5">
        <f t="shared" si="45"/>
        <v>1045</v>
      </c>
      <c r="F723" s="5">
        <f t="shared" si="46"/>
        <v>1092025</v>
      </c>
      <c r="G723" s="6">
        <f>SQRT(SUM($F$2:F723)/A723)</f>
        <v>1086.500486644725</v>
      </c>
      <c r="H723" s="5">
        <f t="shared" si="47"/>
        <v>1</v>
      </c>
      <c r="I723" s="5">
        <f t="shared" si="48"/>
        <v>0</v>
      </c>
    </row>
    <row r="724" spans="1:9">
      <c r="A724">
        <v>723</v>
      </c>
      <c r="B724">
        <v>9</v>
      </c>
      <c r="C724">
        <v>6000</v>
      </c>
      <c r="D724">
        <v>5877</v>
      </c>
      <c r="E724" s="5">
        <f t="shared" si="45"/>
        <v>123</v>
      </c>
      <c r="F724" s="5">
        <f t="shared" si="46"/>
        <v>15129</v>
      </c>
      <c r="G724" s="6">
        <f>SQRT(SUM($F$2:F724)/A724)</f>
        <v>1085.7584794950014</v>
      </c>
      <c r="H724" s="5">
        <f t="shared" si="47"/>
        <v>1</v>
      </c>
      <c r="I724" s="5">
        <f t="shared" si="48"/>
        <v>1</v>
      </c>
    </row>
    <row r="725" spans="1:9">
      <c r="A725">
        <v>724</v>
      </c>
      <c r="B725">
        <v>10</v>
      </c>
      <c r="C725">
        <v>6000</v>
      </c>
      <c r="D725">
        <v>6701</v>
      </c>
      <c r="E725" s="5">
        <f t="shared" si="45"/>
        <v>701</v>
      </c>
      <c r="F725" s="5">
        <f t="shared" si="46"/>
        <v>491401</v>
      </c>
      <c r="G725" s="6">
        <f>SQRT(SUM($F$2:F725)/A725)</f>
        <v>1085.3211188119517</v>
      </c>
      <c r="H725" s="5">
        <f t="shared" si="47"/>
        <v>1</v>
      </c>
      <c r="I725" s="5">
        <f t="shared" si="48"/>
        <v>0</v>
      </c>
    </row>
    <row r="726" spans="1:9">
      <c r="A726">
        <v>725</v>
      </c>
      <c r="B726">
        <v>9</v>
      </c>
      <c r="C726">
        <v>6000</v>
      </c>
      <c r="D726">
        <v>5549</v>
      </c>
      <c r="E726" s="5">
        <f t="shared" si="45"/>
        <v>451</v>
      </c>
      <c r="F726" s="5">
        <f t="shared" si="46"/>
        <v>203401</v>
      </c>
      <c r="G726" s="6">
        <f>SQRT(SUM($F$2:F726)/A726)</f>
        <v>1084.7016936180798</v>
      </c>
      <c r="H726" s="5">
        <f t="shared" si="47"/>
        <v>1</v>
      </c>
      <c r="I726" s="5">
        <f t="shared" si="48"/>
        <v>1</v>
      </c>
    </row>
    <row r="727" spans="1:9">
      <c r="A727">
        <v>726</v>
      </c>
      <c r="B727">
        <v>11</v>
      </c>
      <c r="C727">
        <v>6000</v>
      </c>
      <c r="D727">
        <v>7492</v>
      </c>
      <c r="E727" s="5">
        <f t="shared" si="45"/>
        <v>1492</v>
      </c>
      <c r="F727" s="5">
        <f t="shared" si="46"/>
        <v>2226064</v>
      </c>
      <c r="G727" s="6">
        <f>SQRT(SUM($F$2:F727)/A727)</f>
        <v>1085.3678350981131</v>
      </c>
      <c r="H727" s="5">
        <f t="shared" si="47"/>
        <v>0</v>
      </c>
      <c r="I727" s="5">
        <f t="shared" si="48"/>
        <v>0</v>
      </c>
    </row>
    <row r="728" spans="1:9">
      <c r="A728">
        <v>727</v>
      </c>
      <c r="B728">
        <v>8</v>
      </c>
      <c r="C728">
        <v>6000</v>
      </c>
      <c r="D728">
        <v>4614</v>
      </c>
      <c r="E728" s="5">
        <f t="shared" si="45"/>
        <v>1386</v>
      </c>
      <c r="F728" s="5">
        <f t="shared" si="46"/>
        <v>1920996</v>
      </c>
      <c r="G728" s="6">
        <f>SQRT(SUM($F$2:F728)/A728)</f>
        <v>1085.8385276437484</v>
      </c>
      <c r="H728" s="5">
        <f t="shared" si="47"/>
        <v>0</v>
      </c>
      <c r="I728" s="5">
        <f t="shared" si="48"/>
        <v>0</v>
      </c>
    </row>
    <row r="729" spans="1:9">
      <c r="A729">
        <v>728</v>
      </c>
      <c r="B729">
        <v>12</v>
      </c>
      <c r="C729">
        <v>6000</v>
      </c>
      <c r="D729">
        <v>7570</v>
      </c>
      <c r="E729" s="5">
        <f t="shared" si="45"/>
        <v>1570</v>
      </c>
      <c r="F729" s="5">
        <f t="shared" si="46"/>
        <v>2464900</v>
      </c>
      <c r="G729" s="6">
        <f>SQRT(SUM($F$2:F729)/A729)</f>
        <v>1086.651550421278</v>
      </c>
      <c r="H729" s="5">
        <f t="shared" si="47"/>
        <v>0</v>
      </c>
      <c r="I729" s="5">
        <f t="shared" si="48"/>
        <v>0</v>
      </c>
    </row>
    <row r="730" spans="1:9">
      <c r="A730">
        <v>729</v>
      </c>
      <c r="B730">
        <v>8</v>
      </c>
      <c r="C730">
        <v>6000</v>
      </c>
      <c r="D730">
        <v>4865</v>
      </c>
      <c r="E730" s="5">
        <f t="shared" si="45"/>
        <v>1135</v>
      </c>
      <c r="F730" s="5">
        <f t="shared" si="46"/>
        <v>1288225</v>
      </c>
      <c r="G730" s="6">
        <f>SQRT(SUM($F$2:F730)/A730)</f>
        <v>1086.7193453362836</v>
      </c>
      <c r="H730" s="5">
        <f t="shared" si="47"/>
        <v>1</v>
      </c>
      <c r="I730" s="5">
        <f t="shared" si="48"/>
        <v>0</v>
      </c>
    </row>
    <row r="731" spans="1:9">
      <c r="A731">
        <v>730</v>
      </c>
      <c r="B731">
        <v>11</v>
      </c>
      <c r="C731">
        <v>6000</v>
      </c>
      <c r="D731">
        <v>6776</v>
      </c>
      <c r="E731" s="5">
        <f t="shared" si="45"/>
        <v>776</v>
      </c>
      <c r="F731" s="5">
        <f t="shared" si="46"/>
        <v>602176</v>
      </c>
      <c r="G731" s="6">
        <f>SQRT(SUM($F$2:F731)/A731)</f>
        <v>1086.3544919554486</v>
      </c>
      <c r="H731" s="5">
        <f t="shared" si="47"/>
        <v>1</v>
      </c>
      <c r="I731" s="5">
        <f t="shared" si="48"/>
        <v>0</v>
      </c>
    </row>
    <row r="732" spans="1:9">
      <c r="A732">
        <v>731</v>
      </c>
      <c r="B732">
        <v>9</v>
      </c>
      <c r="C732">
        <v>6000</v>
      </c>
      <c r="D732">
        <v>5790</v>
      </c>
      <c r="E732" s="5">
        <f t="shared" si="45"/>
        <v>210</v>
      </c>
      <c r="F732" s="5">
        <f t="shared" si="46"/>
        <v>44100</v>
      </c>
      <c r="G732" s="6">
        <f>SQRT(SUM($F$2:F732)/A732)</f>
        <v>1085.6389621897099</v>
      </c>
      <c r="H732" s="5">
        <f t="shared" si="47"/>
        <v>1</v>
      </c>
      <c r="I732" s="5">
        <f t="shared" si="48"/>
        <v>1</v>
      </c>
    </row>
    <row r="733" spans="1:9">
      <c r="A733">
        <v>732</v>
      </c>
      <c r="B733">
        <v>10</v>
      </c>
      <c r="C733">
        <v>6000</v>
      </c>
      <c r="D733">
        <v>6528</v>
      </c>
      <c r="E733" s="5">
        <f t="shared" si="45"/>
        <v>528</v>
      </c>
      <c r="F733" s="5">
        <f t="shared" si="46"/>
        <v>278784</v>
      </c>
      <c r="G733" s="6">
        <f>SQRT(SUM($F$2:F733)/A733)</f>
        <v>1085.0726625715483</v>
      </c>
      <c r="H733" s="5">
        <f t="shared" si="47"/>
        <v>1</v>
      </c>
      <c r="I733" s="5">
        <f t="shared" si="48"/>
        <v>1</v>
      </c>
    </row>
    <row r="734" spans="1:9">
      <c r="A734">
        <v>733</v>
      </c>
      <c r="B734">
        <v>9</v>
      </c>
      <c r="C734">
        <v>6000</v>
      </c>
      <c r="D734">
        <v>5576</v>
      </c>
      <c r="E734" s="5">
        <f t="shared" si="45"/>
        <v>424</v>
      </c>
      <c r="F734" s="5">
        <f t="shared" si="46"/>
        <v>179776</v>
      </c>
      <c r="G734" s="6">
        <f>SQRT(SUM($F$2:F734)/A734)</f>
        <v>1084.4453382619317</v>
      </c>
      <c r="H734" s="5">
        <f t="shared" si="47"/>
        <v>1</v>
      </c>
      <c r="I734" s="5">
        <f t="shared" si="48"/>
        <v>1</v>
      </c>
    </row>
    <row r="735" spans="1:9">
      <c r="A735">
        <v>734</v>
      </c>
      <c r="B735">
        <v>10</v>
      </c>
      <c r="C735">
        <v>6000</v>
      </c>
      <c r="D735">
        <v>5707</v>
      </c>
      <c r="E735" s="5">
        <f t="shared" si="45"/>
        <v>293</v>
      </c>
      <c r="F735" s="5">
        <f t="shared" si="46"/>
        <v>85849</v>
      </c>
      <c r="G735" s="6">
        <f>SQRT(SUM($F$2:F735)/A735)</f>
        <v>1083.7603253391828</v>
      </c>
      <c r="H735" s="5">
        <f t="shared" si="47"/>
        <v>1</v>
      </c>
      <c r="I735" s="5">
        <f t="shared" si="48"/>
        <v>1</v>
      </c>
    </row>
    <row r="736" spans="1:9">
      <c r="A736">
        <v>735</v>
      </c>
      <c r="B736">
        <v>10</v>
      </c>
      <c r="C736">
        <v>6000</v>
      </c>
      <c r="D736">
        <v>6686</v>
      </c>
      <c r="E736" s="5">
        <f t="shared" si="45"/>
        <v>686</v>
      </c>
      <c r="F736" s="5">
        <f t="shared" si="46"/>
        <v>470596</v>
      </c>
      <c r="G736" s="6">
        <f>SQRT(SUM($F$2:F736)/A736)</f>
        <v>1083.3183745696701</v>
      </c>
      <c r="H736" s="5">
        <f t="shared" si="47"/>
        <v>1</v>
      </c>
      <c r="I736" s="5">
        <f t="shared" si="48"/>
        <v>0</v>
      </c>
    </row>
    <row r="737" spans="1:9">
      <c r="A737">
        <v>736</v>
      </c>
      <c r="B737">
        <v>9</v>
      </c>
      <c r="C737">
        <v>6000</v>
      </c>
      <c r="D737">
        <v>5545</v>
      </c>
      <c r="E737" s="5">
        <f t="shared" si="45"/>
        <v>455</v>
      </c>
      <c r="F737" s="5">
        <f t="shared" si="46"/>
        <v>207025</v>
      </c>
      <c r="G737" s="6">
        <f>SQRT(SUM($F$2:F737)/A737)</f>
        <v>1082.7120800884995</v>
      </c>
      <c r="H737" s="5">
        <f t="shared" si="47"/>
        <v>1</v>
      </c>
      <c r="I737" s="5">
        <f t="shared" si="48"/>
        <v>1</v>
      </c>
    </row>
    <row r="738" spans="1:9">
      <c r="A738">
        <v>737</v>
      </c>
      <c r="B738">
        <v>10</v>
      </c>
      <c r="C738">
        <v>6000</v>
      </c>
      <c r="D738">
        <v>6076</v>
      </c>
      <c r="E738" s="5">
        <f t="shared" si="45"/>
        <v>76</v>
      </c>
      <c r="F738" s="5">
        <f t="shared" si="46"/>
        <v>5776</v>
      </c>
      <c r="G738" s="6">
        <f>SQRT(SUM($F$2:F738)/A738)</f>
        <v>1081.9809123585669</v>
      </c>
      <c r="H738" s="5">
        <f t="shared" si="47"/>
        <v>1</v>
      </c>
      <c r="I738" s="5">
        <f t="shared" si="48"/>
        <v>1</v>
      </c>
    </row>
    <row r="739" spans="1:9">
      <c r="A739">
        <v>738</v>
      </c>
      <c r="B739">
        <v>10</v>
      </c>
      <c r="C739">
        <v>6000</v>
      </c>
      <c r="D739">
        <v>5736</v>
      </c>
      <c r="E739" s="5">
        <f t="shared" si="45"/>
        <v>264</v>
      </c>
      <c r="F739" s="5">
        <f t="shared" si="46"/>
        <v>69696</v>
      </c>
      <c r="G739" s="6">
        <f>SQRT(SUM($F$2:F739)/A739)</f>
        <v>1081.2912849082011</v>
      </c>
      <c r="H739" s="5">
        <f t="shared" si="47"/>
        <v>1</v>
      </c>
      <c r="I739" s="5">
        <f t="shared" si="48"/>
        <v>1</v>
      </c>
    </row>
    <row r="740" spans="1:9">
      <c r="A740">
        <v>739</v>
      </c>
      <c r="B740">
        <v>10</v>
      </c>
      <c r="C740">
        <v>6000</v>
      </c>
      <c r="D740">
        <v>6066</v>
      </c>
      <c r="E740" s="5">
        <f t="shared" si="45"/>
        <v>66</v>
      </c>
      <c r="F740" s="5">
        <f t="shared" si="46"/>
        <v>4356</v>
      </c>
      <c r="G740" s="6">
        <f>SQRT(SUM($F$2:F740)/A740)</f>
        <v>1080.5621738879017</v>
      </c>
      <c r="H740" s="5">
        <f t="shared" si="47"/>
        <v>1</v>
      </c>
      <c r="I740" s="5">
        <f t="shared" si="48"/>
        <v>1</v>
      </c>
    </row>
    <row r="741" spans="1:9">
      <c r="A741">
        <v>740</v>
      </c>
      <c r="B741">
        <v>10</v>
      </c>
      <c r="C741">
        <v>6000</v>
      </c>
      <c r="D741">
        <v>6820</v>
      </c>
      <c r="E741" s="5">
        <f t="shared" si="45"/>
        <v>820</v>
      </c>
      <c r="F741" s="5">
        <f t="shared" si="46"/>
        <v>672400</v>
      </c>
      <c r="G741" s="6">
        <f>SQRT(SUM($F$2:F741)/A741)</f>
        <v>1080.2524717410754</v>
      </c>
      <c r="H741" s="5">
        <f t="shared" si="47"/>
        <v>1</v>
      </c>
      <c r="I741" s="5">
        <f t="shared" si="48"/>
        <v>0</v>
      </c>
    </row>
    <row r="742" spans="1:9">
      <c r="A742">
        <v>741</v>
      </c>
      <c r="B742">
        <v>9</v>
      </c>
      <c r="C742">
        <v>6000</v>
      </c>
      <c r="D742">
        <v>5976</v>
      </c>
      <c r="E742" s="5">
        <f t="shared" si="45"/>
        <v>24</v>
      </c>
      <c r="F742" s="5">
        <f t="shared" si="46"/>
        <v>576</v>
      </c>
      <c r="G742" s="6">
        <f>SQRT(SUM($F$2:F742)/A742)</f>
        <v>1079.5236703869796</v>
      </c>
      <c r="H742" s="5">
        <f t="shared" si="47"/>
        <v>1</v>
      </c>
      <c r="I742" s="5">
        <f t="shared" si="48"/>
        <v>1</v>
      </c>
    </row>
    <row r="743" spans="1:9">
      <c r="A743">
        <v>742</v>
      </c>
      <c r="B743">
        <v>10</v>
      </c>
      <c r="C743">
        <v>6000</v>
      </c>
      <c r="D743">
        <v>6092</v>
      </c>
      <c r="E743" s="5">
        <f t="shared" si="45"/>
        <v>92</v>
      </c>
      <c r="F743" s="5">
        <f t="shared" si="46"/>
        <v>8464</v>
      </c>
      <c r="G743" s="6">
        <f>SQRT(SUM($F$2:F743)/A743)</f>
        <v>1078.8012702036422</v>
      </c>
      <c r="H743" s="5">
        <f t="shared" si="47"/>
        <v>1</v>
      </c>
      <c r="I743" s="5">
        <f t="shared" si="48"/>
        <v>1</v>
      </c>
    </row>
    <row r="744" spans="1:9">
      <c r="A744">
        <v>743</v>
      </c>
      <c r="B744">
        <v>10</v>
      </c>
      <c r="C744">
        <v>6000</v>
      </c>
      <c r="D744">
        <v>6346</v>
      </c>
      <c r="E744" s="5">
        <f t="shared" si="45"/>
        <v>346</v>
      </c>
      <c r="F744" s="5">
        <f t="shared" si="46"/>
        <v>119716</v>
      </c>
      <c r="G744" s="6">
        <f>SQRT(SUM($F$2:F744)/A744)</f>
        <v>1078.149774726561</v>
      </c>
      <c r="H744" s="5">
        <f t="shared" si="47"/>
        <v>1</v>
      </c>
      <c r="I744" s="5">
        <f t="shared" si="48"/>
        <v>1</v>
      </c>
    </row>
    <row r="745" spans="1:9">
      <c r="A745">
        <v>744</v>
      </c>
      <c r="B745">
        <v>9</v>
      </c>
      <c r="C745">
        <v>6000</v>
      </c>
      <c r="D745">
        <v>6471</v>
      </c>
      <c r="E745" s="5">
        <f t="shared" si="45"/>
        <v>471</v>
      </c>
      <c r="F745" s="5">
        <f t="shared" si="46"/>
        <v>221841</v>
      </c>
      <c r="G745" s="6">
        <f>SQRT(SUM($F$2:F745)/A745)</f>
        <v>1077.5633323452751</v>
      </c>
      <c r="H745" s="5">
        <f t="shared" si="47"/>
        <v>1</v>
      </c>
      <c r="I745" s="5">
        <f t="shared" si="48"/>
        <v>1</v>
      </c>
    </row>
    <row r="746" spans="1:9">
      <c r="A746">
        <v>745</v>
      </c>
      <c r="B746">
        <v>9</v>
      </c>
      <c r="C746">
        <v>6000</v>
      </c>
      <c r="D746">
        <v>6146</v>
      </c>
      <c r="E746" s="5">
        <f t="shared" si="45"/>
        <v>146</v>
      </c>
      <c r="F746" s="5">
        <f t="shared" si="46"/>
        <v>21316</v>
      </c>
      <c r="G746" s="6">
        <f>SQRT(SUM($F$2:F746)/A746)</f>
        <v>1076.8531777558874</v>
      </c>
      <c r="H746" s="5">
        <f t="shared" si="47"/>
        <v>1</v>
      </c>
      <c r="I746" s="5">
        <f t="shared" si="48"/>
        <v>1</v>
      </c>
    </row>
    <row r="747" spans="1:9">
      <c r="A747">
        <v>746</v>
      </c>
      <c r="B747">
        <v>9</v>
      </c>
      <c r="C747">
        <v>6000</v>
      </c>
      <c r="D747">
        <v>5878</v>
      </c>
      <c r="E747" s="5">
        <f t="shared" si="45"/>
        <v>122</v>
      </c>
      <c r="F747" s="5">
        <f t="shared" si="46"/>
        <v>14884</v>
      </c>
      <c r="G747" s="6">
        <f>SQRT(SUM($F$2:F747)/A747)</f>
        <v>1076.140454345943</v>
      </c>
      <c r="H747" s="5">
        <f t="shared" si="47"/>
        <v>1</v>
      </c>
      <c r="I747" s="5">
        <f t="shared" si="48"/>
        <v>1</v>
      </c>
    </row>
    <row r="748" spans="1:9">
      <c r="A748">
        <v>747</v>
      </c>
      <c r="B748">
        <v>10</v>
      </c>
      <c r="C748">
        <v>6000</v>
      </c>
      <c r="D748">
        <v>6590</v>
      </c>
      <c r="E748" s="5">
        <f t="shared" si="45"/>
        <v>590</v>
      </c>
      <c r="F748" s="5">
        <f t="shared" si="46"/>
        <v>348100</v>
      </c>
      <c r="G748" s="6">
        <f>SQRT(SUM($F$2:F748)/A748)</f>
        <v>1075.6365414070749</v>
      </c>
      <c r="H748" s="5">
        <f t="shared" si="47"/>
        <v>1</v>
      </c>
      <c r="I748" s="5">
        <f t="shared" si="48"/>
        <v>1</v>
      </c>
    </row>
    <row r="749" spans="1:9">
      <c r="A749">
        <v>748</v>
      </c>
      <c r="B749">
        <v>9</v>
      </c>
      <c r="C749">
        <v>6000</v>
      </c>
      <c r="D749">
        <v>5508</v>
      </c>
      <c r="E749" s="5">
        <f t="shared" si="45"/>
        <v>492</v>
      </c>
      <c r="F749" s="5">
        <f t="shared" si="46"/>
        <v>242064</v>
      </c>
      <c r="G749" s="6">
        <f>SQRT(SUM($F$2:F749)/A749)</f>
        <v>1075.0678121877424</v>
      </c>
      <c r="H749" s="5">
        <f t="shared" si="47"/>
        <v>1</v>
      </c>
      <c r="I749" s="5">
        <f t="shared" si="48"/>
        <v>1</v>
      </c>
    </row>
    <row r="750" spans="1:9">
      <c r="A750">
        <v>749</v>
      </c>
      <c r="B750">
        <v>10</v>
      </c>
      <c r="C750">
        <v>6000</v>
      </c>
      <c r="D750">
        <v>6212</v>
      </c>
      <c r="E750" s="5">
        <f t="shared" si="45"/>
        <v>212</v>
      </c>
      <c r="F750" s="5">
        <f t="shared" si="46"/>
        <v>44944</v>
      </c>
      <c r="G750" s="6">
        <f>SQRT(SUM($F$2:F750)/A750)</f>
        <v>1074.3778297048398</v>
      </c>
      <c r="H750" s="5">
        <f t="shared" si="47"/>
        <v>1</v>
      </c>
      <c r="I750" s="5">
        <f t="shared" si="48"/>
        <v>1</v>
      </c>
    </row>
    <row r="751" spans="1:9">
      <c r="A751">
        <v>750</v>
      </c>
      <c r="B751">
        <v>9</v>
      </c>
      <c r="C751">
        <v>6000</v>
      </c>
      <c r="D751">
        <v>6113</v>
      </c>
      <c r="E751" s="5">
        <f t="shared" si="45"/>
        <v>113</v>
      </c>
      <c r="F751" s="5">
        <f t="shared" si="46"/>
        <v>12769</v>
      </c>
      <c r="G751" s="6">
        <f>SQRT(SUM($F$2:F751)/A751)</f>
        <v>1073.6692675121142</v>
      </c>
      <c r="H751" s="5">
        <f t="shared" si="47"/>
        <v>1</v>
      </c>
      <c r="I751" s="5">
        <f t="shared" si="48"/>
        <v>1</v>
      </c>
    </row>
    <row r="752" spans="1:9">
      <c r="A752">
        <v>751</v>
      </c>
      <c r="B752">
        <v>9</v>
      </c>
      <c r="C752">
        <v>6000</v>
      </c>
      <c r="D752">
        <v>5999</v>
      </c>
      <c r="E752" s="5">
        <f t="shared" si="45"/>
        <v>1</v>
      </c>
      <c r="F752" s="5">
        <f t="shared" si="46"/>
        <v>1</v>
      </c>
      <c r="G752" s="6">
        <f>SQRT(SUM($F$2:F752)/A752)</f>
        <v>1072.9542036060775</v>
      </c>
      <c r="H752" s="5">
        <f t="shared" si="47"/>
        <v>1</v>
      </c>
      <c r="I752" s="5">
        <f t="shared" si="48"/>
        <v>1</v>
      </c>
    </row>
    <row r="753" spans="1:9">
      <c r="A753">
        <v>752</v>
      </c>
      <c r="B753">
        <v>10</v>
      </c>
      <c r="C753">
        <v>6000</v>
      </c>
      <c r="D753">
        <v>6000</v>
      </c>
      <c r="E753" s="5">
        <f t="shared" si="45"/>
        <v>0</v>
      </c>
      <c r="F753" s="5">
        <f t="shared" si="46"/>
        <v>0</v>
      </c>
      <c r="G753" s="6">
        <f>SQRT(SUM($F$2:F753)/A753)</f>
        <v>1072.2405658792347</v>
      </c>
      <c r="H753" s="5">
        <f t="shared" si="47"/>
        <v>1</v>
      </c>
      <c r="I753" s="5">
        <f t="shared" si="48"/>
        <v>1</v>
      </c>
    </row>
    <row r="754" spans="1:9">
      <c r="A754">
        <v>753</v>
      </c>
      <c r="B754">
        <v>10</v>
      </c>
      <c r="C754">
        <v>6000</v>
      </c>
      <c r="D754">
        <v>5953</v>
      </c>
      <c r="E754" s="5">
        <f t="shared" si="45"/>
        <v>47</v>
      </c>
      <c r="F754" s="5">
        <f t="shared" si="46"/>
        <v>2209</v>
      </c>
      <c r="G754" s="6">
        <f>SQRT(SUM($F$2:F754)/A754)</f>
        <v>1071.5297190983658</v>
      </c>
      <c r="H754" s="5">
        <f t="shared" si="47"/>
        <v>1</v>
      </c>
      <c r="I754" s="5">
        <f t="shared" si="48"/>
        <v>1</v>
      </c>
    </row>
    <row r="755" spans="1:9">
      <c r="A755">
        <v>754</v>
      </c>
      <c r="B755">
        <v>10</v>
      </c>
      <c r="C755">
        <v>6000</v>
      </c>
      <c r="D755">
        <v>6868</v>
      </c>
      <c r="E755" s="5">
        <f t="shared" si="45"/>
        <v>868</v>
      </c>
      <c r="F755" s="5">
        <f t="shared" si="46"/>
        <v>753424</v>
      </c>
      <c r="G755" s="6">
        <f>SQRT(SUM($F$2:F755)/A755)</f>
        <v>1071.2853939195961</v>
      </c>
      <c r="H755" s="5">
        <f t="shared" si="47"/>
        <v>1</v>
      </c>
      <c r="I755" s="5">
        <f t="shared" si="48"/>
        <v>0</v>
      </c>
    </row>
    <row r="756" spans="1:9">
      <c r="A756">
        <v>755</v>
      </c>
      <c r="B756">
        <v>8</v>
      </c>
      <c r="C756">
        <v>6000</v>
      </c>
      <c r="D756">
        <v>5750</v>
      </c>
      <c r="E756" s="5">
        <f t="shared" si="45"/>
        <v>250</v>
      </c>
      <c r="F756" s="5">
        <f t="shared" si="46"/>
        <v>62500</v>
      </c>
      <c r="G756" s="6">
        <f>SQRT(SUM($F$2:F756)/A756)</f>
        <v>1070.614359741531</v>
      </c>
      <c r="H756" s="5">
        <f t="shared" si="47"/>
        <v>1</v>
      </c>
      <c r="I756" s="5">
        <f t="shared" si="48"/>
        <v>1</v>
      </c>
    </row>
    <row r="757" spans="1:9">
      <c r="A757">
        <v>756</v>
      </c>
      <c r="B757">
        <v>10</v>
      </c>
      <c r="C757">
        <v>6000</v>
      </c>
      <c r="D757">
        <v>5977</v>
      </c>
      <c r="E757" s="5">
        <f t="shared" si="45"/>
        <v>23</v>
      </c>
      <c r="F757" s="5">
        <f t="shared" si="46"/>
        <v>529</v>
      </c>
      <c r="G757" s="6">
        <f>SQRT(SUM($F$2:F757)/A757)</f>
        <v>1069.9063741612624</v>
      </c>
      <c r="H757" s="5">
        <f t="shared" si="47"/>
        <v>1</v>
      </c>
      <c r="I757" s="5">
        <f t="shared" si="48"/>
        <v>1</v>
      </c>
    </row>
    <row r="758" spans="1:9">
      <c r="A758">
        <v>757</v>
      </c>
      <c r="B758">
        <v>9</v>
      </c>
      <c r="C758">
        <v>6000</v>
      </c>
      <c r="D758">
        <v>5655</v>
      </c>
      <c r="E758" s="5">
        <f t="shared" si="45"/>
        <v>345</v>
      </c>
      <c r="F758" s="5">
        <f t="shared" si="46"/>
        <v>119025</v>
      </c>
      <c r="G758" s="6">
        <f>SQRT(SUM($F$2:F758)/A758)</f>
        <v>1069.2729909588979</v>
      </c>
      <c r="H758" s="5">
        <f t="shared" si="47"/>
        <v>1</v>
      </c>
      <c r="I758" s="5">
        <f t="shared" si="48"/>
        <v>1</v>
      </c>
    </row>
    <row r="759" spans="1:9">
      <c r="A759">
        <v>758</v>
      </c>
      <c r="B759">
        <v>10</v>
      </c>
      <c r="C759">
        <v>6000</v>
      </c>
      <c r="D759">
        <v>6477</v>
      </c>
      <c r="E759" s="5">
        <f t="shared" si="45"/>
        <v>477</v>
      </c>
      <c r="F759" s="5">
        <f t="shared" si="46"/>
        <v>227529</v>
      </c>
      <c r="G759" s="6">
        <f>SQRT(SUM($F$2:F759)/A759)</f>
        <v>1068.7078782453823</v>
      </c>
      <c r="H759" s="5">
        <f t="shared" si="47"/>
        <v>1</v>
      </c>
      <c r="I759" s="5">
        <f t="shared" si="48"/>
        <v>1</v>
      </c>
    </row>
    <row r="760" spans="1:9">
      <c r="A760">
        <v>759</v>
      </c>
      <c r="B760">
        <v>9</v>
      </c>
      <c r="C760">
        <v>6000</v>
      </c>
      <c r="D760">
        <v>5390</v>
      </c>
      <c r="E760" s="5">
        <f t="shared" si="45"/>
        <v>610</v>
      </c>
      <c r="F760" s="5">
        <f t="shared" si="46"/>
        <v>372100</v>
      </c>
      <c r="G760" s="6">
        <f>SQRT(SUM($F$2:F760)/A760)</f>
        <v>1068.2331150747445</v>
      </c>
      <c r="H760" s="5">
        <f t="shared" si="47"/>
        <v>1</v>
      </c>
      <c r="I760" s="5">
        <f t="shared" si="48"/>
        <v>0</v>
      </c>
    </row>
    <row r="761" spans="1:9">
      <c r="A761">
        <v>760</v>
      </c>
      <c r="B761">
        <v>10</v>
      </c>
      <c r="C761">
        <v>6000</v>
      </c>
      <c r="D761">
        <v>5969</v>
      </c>
      <c r="E761" s="5">
        <f t="shared" si="45"/>
        <v>31</v>
      </c>
      <c r="F761" s="5">
        <f t="shared" si="46"/>
        <v>961</v>
      </c>
      <c r="G761" s="6">
        <f>SQRT(SUM($F$2:F761)/A761)</f>
        <v>1067.5306910416157</v>
      </c>
      <c r="H761" s="5">
        <f t="shared" si="47"/>
        <v>1</v>
      </c>
      <c r="I761" s="5">
        <f t="shared" si="48"/>
        <v>1</v>
      </c>
    </row>
    <row r="762" spans="1:9">
      <c r="A762">
        <v>761</v>
      </c>
      <c r="B762">
        <v>10</v>
      </c>
      <c r="C762">
        <v>6000</v>
      </c>
      <c r="D762">
        <v>6456</v>
      </c>
      <c r="E762" s="5">
        <f t="shared" si="45"/>
        <v>456</v>
      </c>
      <c r="F762" s="5">
        <f t="shared" si="46"/>
        <v>207936</v>
      </c>
      <c r="G762" s="6">
        <f>SQRT(SUM($F$2:F762)/A762)</f>
        <v>1066.9571148309126</v>
      </c>
      <c r="H762" s="5">
        <f t="shared" si="47"/>
        <v>1</v>
      </c>
      <c r="I762" s="5">
        <f t="shared" si="48"/>
        <v>1</v>
      </c>
    </row>
    <row r="763" spans="1:9">
      <c r="A763">
        <v>762</v>
      </c>
      <c r="B763">
        <v>9</v>
      </c>
      <c r="C763">
        <v>6000</v>
      </c>
      <c r="D763">
        <v>6229</v>
      </c>
      <c r="E763" s="5">
        <f t="shared" si="45"/>
        <v>229</v>
      </c>
      <c r="F763" s="5">
        <f t="shared" si="46"/>
        <v>52441</v>
      </c>
      <c r="G763" s="6">
        <f>SQRT(SUM($F$2:F763)/A763)</f>
        <v>1066.2890532798117</v>
      </c>
      <c r="H763" s="5">
        <f t="shared" si="47"/>
        <v>1</v>
      </c>
      <c r="I763" s="5">
        <f t="shared" si="48"/>
        <v>1</v>
      </c>
    </row>
    <row r="764" spans="1:9">
      <c r="A764">
        <v>763</v>
      </c>
      <c r="B764">
        <v>9</v>
      </c>
      <c r="C764">
        <v>6000</v>
      </c>
      <c r="D764">
        <v>6409</v>
      </c>
      <c r="E764" s="5">
        <f t="shared" si="45"/>
        <v>409</v>
      </c>
      <c r="F764" s="5">
        <f t="shared" si="46"/>
        <v>167281</v>
      </c>
      <c r="G764" s="6">
        <f>SQRT(SUM($F$2:F764)/A764)</f>
        <v>1065.6929445963863</v>
      </c>
      <c r="H764" s="5">
        <f t="shared" si="47"/>
        <v>1</v>
      </c>
      <c r="I764" s="5">
        <f t="shared" si="48"/>
        <v>1</v>
      </c>
    </row>
    <row r="765" spans="1:9">
      <c r="A765">
        <v>764</v>
      </c>
      <c r="B765">
        <v>9</v>
      </c>
      <c r="C765">
        <v>6000</v>
      </c>
      <c r="D765">
        <v>5477</v>
      </c>
      <c r="E765" s="5">
        <f t="shared" si="45"/>
        <v>523</v>
      </c>
      <c r="F765" s="5">
        <f t="shared" si="46"/>
        <v>273529</v>
      </c>
      <c r="G765" s="6">
        <f>SQRT(SUM($F$2:F765)/A765)</f>
        <v>1065.1633462471762</v>
      </c>
      <c r="H765" s="5">
        <f t="shared" si="47"/>
        <v>1</v>
      </c>
      <c r="I765" s="5">
        <f t="shared" si="48"/>
        <v>1</v>
      </c>
    </row>
    <row r="766" spans="1:9">
      <c r="A766">
        <v>765</v>
      </c>
      <c r="B766">
        <v>10</v>
      </c>
      <c r="C766">
        <v>6000</v>
      </c>
      <c r="D766">
        <v>6730</v>
      </c>
      <c r="E766" s="5">
        <f t="shared" si="45"/>
        <v>730</v>
      </c>
      <c r="F766" s="5">
        <f t="shared" si="46"/>
        <v>532900</v>
      </c>
      <c r="G766" s="6">
        <f>SQRT(SUM($F$2:F766)/A766)</f>
        <v>1064.7940897632609</v>
      </c>
      <c r="H766" s="5">
        <f t="shared" si="47"/>
        <v>1</v>
      </c>
      <c r="I766" s="5">
        <f t="shared" si="48"/>
        <v>0</v>
      </c>
    </row>
    <row r="767" spans="1:9">
      <c r="A767">
        <v>766</v>
      </c>
      <c r="B767">
        <v>8</v>
      </c>
      <c r="C767">
        <v>6000</v>
      </c>
      <c r="D767">
        <v>4825</v>
      </c>
      <c r="E767" s="5">
        <f t="shared" si="45"/>
        <v>1175</v>
      </c>
      <c r="F767" s="5">
        <f t="shared" si="46"/>
        <v>1380625</v>
      </c>
      <c r="G767" s="6">
        <f>SQRT(SUM($F$2:F767)/A767)</f>
        <v>1064.9453963128519</v>
      </c>
      <c r="H767" s="5">
        <f t="shared" si="47"/>
        <v>1</v>
      </c>
      <c r="I767" s="5">
        <f t="shared" si="48"/>
        <v>0</v>
      </c>
    </row>
    <row r="768" spans="1:9">
      <c r="A768">
        <v>767</v>
      </c>
      <c r="B768">
        <v>11</v>
      </c>
      <c r="C768">
        <v>6000</v>
      </c>
      <c r="D768">
        <v>7209</v>
      </c>
      <c r="E768" s="5">
        <f t="shared" si="45"/>
        <v>1209</v>
      </c>
      <c r="F768" s="5">
        <f t="shared" si="46"/>
        <v>1461681</v>
      </c>
      <c r="G768" s="6">
        <f>SQRT(SUM($F$2:F768)/A768)</f>
        <v>1065.1458959508866</v>
      </c>
      <c r="H768" s="5">
        <f t="shared" si="47"/>
        <v>0</v>
      </c>
      <c r="I768" s="5">
        <f t="shared" si="48"/>
        <v>0</v>
      </c>
    </row>
    <row r="769" spans="1:9">
      <c r="A769">
        <v>768</v>
      </c>
      <c r="B769">
        <v>8</v>
      </c>
      <c r="C769">
        <v>6000</v>
      </c>
      <c r="D769">
        <v>4989</v>
      </c>
      <c r="E769" s="5">
        <f t="shared" si="45"/>
        <v>1011</v>
      </c>
      <c r="F769" s="5">
        <f t="shared" si="46"/>
        <v>1022121</v>
      </c>
      <c r="G769" s="6">
        <f>SQRT(SUM($F$2:F769)/A769)</f>
        <v>1065.0771832360319</v>
      </c>
      <c r="H769" s="5">
        <f t="shared" si="47"/>
        <v>1</v>
      </c>
      <c r="I769" s="5">
        <f t="shared" si="48"/>
        <v>0</v>
      </c>
    </row>
    <row r="770" spans="1:9">
      <c r="A770">
        <v>769</v>
      </c>
      <c r="B770">
        <v>10</v>
      </c>
      <c r="C770">
        <v>6000</v>
      </c>
      <c r="D770">
        <v>6370</v>
      </c>
      <c r="E770" s="5">
        <f t="shared" si="45"/>
        <v>370</v>
      </c>
      <c r="F770" s="5">
        <f t="shared" si="46"/>
        <v>136900</v>
      </c>
      <c r="G770" s="6">
        <f>SQRT(SUM($F$2:F770)/A770)</f>
        <v>1064.468074149838</v>
      </c>
      <c r="H770" s="5">
        <f t="shared" si="47"/>
        <v>1</v>
      </c>
      <c r="I770" s="5">
        <f t="shared" si="48"/>
        <v>1</v>
      </c>
    </row>
    <row r="771" spans="1:9">
      <c r="A771">
        <v>770</v>
      </c>
      <c r="B771">
        <v>9</v>
      </c>
      <c r="C771">
        <v>6000</v>
      </c>
      <c r="D771">
        <v>5598</v>
      </c>
      <c r="E771" s="5">
        <f t="shared" ref="E771:E834" si="49">ABS(C771-D771)</f>
        <v>402</v>
      </c>
      <c r="F771" s="5">
        <f t="shared" ref="F771:F834" si="50">POWER(E771,2)</f>
        <v>161604</v>
      </c>
      <c r="G771" s="6">
        <f>SQRT(SUM($F$2:F771)/A771)</f>
        <v>1063.8752783067232</v>
      </c>
      <c r="H771" s="5">
        <f t="shared" ref="H771:H834" si="51">IF(ABS(E771)/C771&gt;0.2,0,1)</f>
        <v>1</v>
      </c>
      <c r="I771" s="5">
        <f t="shared" ref="I771:I834" si="52">IF(ABS(E771)/C771&gt;0.1,0,1)</f>
        <v>1</v>
      </c>
    </row>
    <row r="772" spans="1:9">
      <c r="A772">
        <v>771</v>
      </c>
      <c r="B772">
        <v>10</v>
      </c>
      <c r="C772">
        <v>6000</v>
      </c>
      <c r="D772">
        <v>5925</v>
      </c>
      <c r="E772" s="5">
        <f t="shared" si="49"/>
        <v>75</v>
      </c>
      <c r="F772" s="5">
        <f t="shared" si="50"/>
        <v>5625</v>
      </c>
      <c r="G772" s="6">
        <f>SQRT(SUM($F$2:F772)/A772)</f>
        <v>1063.1885534230048</v>
      </c>
      <c r="H772" s="5">
        <f t="shared" si="51"/>
        <v>1</v>
      </c>
      <c r="I772" s="5">
        <f t="shared" si="52"/>
        <v>1</v>
      </c>
    </row>
    <row r="773" spans="1:9">
      <c r="A773">
        <v>772</v>
      </c>
      <c r="B773">
        <v>10</v>
      </c>
      <c r="C773">
        <v>6000</v>
      </c>
      <c r="D773">
        <v>5238</v>
      </c>
      <c r="E773" s="5">
        <f t="shared" si="49"/>
        <v>762</v>
      </c>
      <c r="F773" s="5">
        <f t="shared" si="50"/>
        <v>580644</v>
      </c>
      <c r="G773" s="6">
        <f>SQRT(SUM($F$2:F773)/A773)</f>
        <v>1062.8536211295452</v>
      </c>
      <c r="H773" s="5">
        <f t="shared" si="51"/>
        <v>1</v>
      </c>
      <c r="I773" s="5">
        <f t="shared" si="52"/>
        <v>0</v>
      </c>
    </row>
    <row r="774" spans="1:9">
      <c r="A774">
        <v>773</v>
      </c>
      <c r="B774">
        <v>10</v>
      </c>
      <c r="C774">
        <v>6000</v>
      </c>
      <c r="D774">
        <v>2298</v>
      </c>
      <c r="E774" s="5">
        <f t="shared" si="49"/>
        <v>3702</v>
      </c>
      <c r="F774" s="5">
        <f t="shared" si="50"/>
        <v>13704804</v>
      </c>
      <c r="G774" s="6">
        <f>SQRT(SUM($F$2:F774)/A774)</f>
        <v>1070.4792370220048</v>
      </c>
      <c r="H774" s="5">
        <f t="shared" si="51"/>
        <v>0</v>
      </c>
      <c r="I774" s="5">
        <f t="shared" si="52"/>
        <v>0</v>
      </c>
    </row>
    <row r="775" spans="1:9">
      <c r="A775">
        <v>774</v>
      </c>
      <c r="B775">
        <v>14</v>
      </c>
      <c r="C775">
        <v>6000</v>
      </c>
      <c r="D775">
        <v>7789</v>
      </c>
      <c r="E775" s="5">
        <f t="shared" si="49"/>
        <v>1789</v>
      </c>
      <c r="F775" s="5">
        <f t="shared" si="50"/>
        <v>3200521</v>
      </c>
      <c r="G775" s="6">
        <f>SQRT(SUM($F$2:F775)/A775)</f>
        <v>1071.7183924247538</v>
      </c>
      <c r="H775" s="5">
        <f t="shared" si="51"/>
        <v>0</v>
      </c>
      <c r="I775" s="5">
        <f t="shared" si="52"/>
        <v>0</v>
      </c>
    </row>
    <row r="776" spans="1:9">
      <c r="A776">
        <v>775</v>
      </c>
      <c r="B776">
        <v>8</v>
      </c>
      <c r="C776">
        <v>6000</v>
      </c>
      <c r="D776">
        <v>4842</v>
      </c>
      <c r="E776" s="5">
        <f t="shared" si="49"/>
        <v>1158</v>
      </c>
      <c r="F776" s="5">
        <f t="shared" si="50"/>
        <v>1340964</v>
      </c>
      <c r="G776" s="6">
        <f>SQRT(SUM($F$2:F776)/A776)</f>
        <v>1071.8341987814249</v>
      </c>
      <c r="H776" s="5">
        <f t="shared" si="51"/>
        <v>1</v>
      </c>
      <c r="I776" s="5">
        <f t="shared" si="52"/>
        <v>0</v>
      </c>
    </row>
    <row r="777" spans="1:9">
      <c r="A777">
        <v>776</v>
      </c>
      <c r="B777">
        <v>12</v>
      </c>
      <c r="C777">
        <v>6000</v>
      </c>
      <c r="D777">
        <v>7476</v>
      </c>
      <c r="E777" s="5">
        <f t="shared" si="49"/>
        <v>1476</v>
      </c>
      <c r="F777" s="5">
        <f t="shared" si="50"/>
        <v>2178576</v>
      </c>
      <c r="G777" s="6">
        <f>SQRT(SUM($F$2:F777)/A777)</f>
        <v>1072.4530497016794</v>
      </c>
      <c r="H777" s="5">
        <f t="shared" si="51"/>
        <v>0</v>
      </c>
      <c r="I777" s="5">
        <f t="shared" si="52"/>
        <v>0</v>
      </c>
    </row>
    <row r="778" spans="1:9">
      <c r="A778">
        <v>777</v>
      </c>
      <c r="B778">
        <v>8</v>
      </c>
      <c r="C778">
        <v>6000</v>
      </c>
      <c r="D778">
        <v>5103</v>
      </c>
      <c r="E778" s="5">
        <f t="shared" si="49"/>
        <v>897</v>
      </c>
      <c r="F778" s="5">
        <f t="shared" si="50"/>
        <v>804609</v>
      </c>
      <c r="G778" s="6">
        <f>SQRT(SUM($F$2:F778)/A778)</f>
        <v>1072.2456924454511</v>
      </c>
      <c r="H778" s="5">
        <f t="shared" si="51"/>
        <v>1</v>
      </c>
      <c r="I778" s="5">
        <f t="shared" si="52"/>
        <v>0</v>
      </c>
    </row>
    <row r="779" spans="1:9">
      <c r="A779">
        <v>778</v>
      </c>
      <c r="B779">
        <v>11</v>
      </c>
      <c r="C779">
        <v>6000</v>
      </c>
      <c r="D779">
        <v>7077</v>
      </c>
      <c r="E779" s="5">
        <f t="shared" si="49"/>
        <v>1077</v>
      </c>
      <c r="F779" s="5">
        <f t="shared" si="50"/>
        <v>1159929</v>
      </c>
      <c r="G779" s="6">
        <f>SQRT(SUM($F$2:F779)/A779)</f>
        <v>1072.2518169109785</v>
      </c>
      <c r="H779" s="5">
        <f t="shared" si="51"/>
        <v>1</v>
      </c>
      <c r="I779" s="5">
        <f t="shared" si="52"/>
        <v>0</v>
      </c>
    </row>
    <row r="780" spans="1:9">
      <c r="A780">
        <v>779</v>
      </c>
      <c r="B780">
        <v>9</v>
      </c>
      <c r="C780">
        <v>6000</v>
      </c>
      <c r="D780">
        <v>5696</v>
      </c>
      <c r="E780" s="5">
        <f t="shared" si="49"/>
        <v>304</v>
      </c>
      <c r="F780" s="5">
        <f t="shared" si="50"/>
        <v>92416</v>
      </c>
      <c r="G780" s="6">
        <f>SQRT(SUM($F$2:F780)/A780)</f>
        <v>1071.6187268631506</v>
      </c>
      <c r="H780" s="5">
        <f t="shared" si="51"/>
        <v>1</v>
      </c>
      <c r="I780" s="5">
        <f t="shared" si="52"/>
        <v>1</v>
      </c>
    </row>
    <row r="781" spans="1:9">
      <c r="A781">
        <v>780</v>
      </c>
      <c r="B781">
        <v>10</v>
      </c>
      <c r="C781">
        <v>6000</v>
      </c>
      <c r="D781">
        <v>7008</v>
      </c>
      <c r="E781" s="5">
        <f t="shared" si="49"/>
        <v>1008</v>
      </c>
      <c r="F781" s="5">
        <f t="shared" si="50"/>
        <v>1016064</v>
      </c>
      <c r="G781" s="6">
        <f>SQRT(SUM($F$2:F781)/A781)</f>
        <v>1071.5395825274384</v>
      </c>
      <c r="H781" s="5">
        <f t="shared" si="51"/>
        <v>1</v>
      </c>
      <c r="I781" s="5">
        <f t="shared" si="52"/>
        <v>0</v>
      </c>
    </row>
    <row r="782" spans="1:9">
      <c r="A782">
        <v>781</v>
      </c>
      <c r="B782">
        <v>9</v>
      </c>
      <c r="C782">
        <v>6000</v>
      </c>
      <c r="D782">
        <v>7631</v>
      </c>
      <c r="E782" s="5">
        <f t="shared" si="49"/>
        <v>1631</v>
      </c>
      <c r="F782" s="5">
        <f t="shared" si="50"/>
        <v>2660161</v>
      </c>
      <c r="G782" s="6">
        <f>SQRT(SUM($F$2:F782)/A782)</f>
        <v>1072.442544028946</v>
      </c>
      <c r="H782" s="5">
        <f t="shared" si="51"/>
        <v>0</v>
      </c>
      <c r="I782" s="5">
        <f t="shared" si="52"/>
        <v>0</v>
      </c>
    </row>
    <row r="783" spans="1:9">
      <c r="A783">
        <v>782</v>
      </c>
      <c r="B783">
        <v>8</v>
      </c>
      <c r="C783">
        <v>6000</v>
      </c>
      <c r="D783">
        <v>5980</v>
      </c>
      <c r="E783" s="5">
        <f t="shared" si="49"/>
        <v>20</v>
      </c>
      <c r="F783" s="5">
        <f t="shared" si="50"/>
        <v>400</v>
      </c>
      <c r="G783" s="6">
        <f>SQRT(SUM($F$2:F783)/A783)</f>
        <v>1071.7568583531947</v>
      </c>
      <c r="H783" s="5">
        <f t="shared" si="51"/>
        <v>1</v>
      </c>
      <c r="I783" s="5">
        <f t="shared" si="52"/>
        <v>1</v>
      </c>
    </row>
    <row r="784" spans="1:9">
      <c r="A784">
        <v>783</v>
      </c>
      <c r="B784">
        <v>9</v>
      </c>
      <c r="C784">
        <v>6000</v>
      </c>
      <c r="D784">
        <v>6358</v>
      </c>
      <c r="E784" s="5">
        <f t="shared" si="49"/>
        <v>358</v>
      </c>
      <c r="F784" s="5">
        <f t="shared" si="50"/>
        <v>128164</v>
      </c>
      <c r="G784" s="6">
        <f>SQRT(SUM($F$2:F784)/A784)</f>
        <v>1071.14865655727</v>
      </c>
      <c r="H784" s="5">
        <f t="shared" si="51"/>
        <v>1</v>
      </c>
      <c r="I784" s="5">
        <f t="shared" si="52"/>
        <v>1</v>
      </c>
    </row>
    <row r="785" spans="1:9">
      <c r="A785">
        <v>784</v>
      </c>
      <c r="B785">
        <v>9</v>
      </c>
      <c r="C785">
        <v>6000</v>
      </c>
      <c r="D785">
        <v>5281</v>
      </c>
      <c r="E785" s="5">
        <f t="shared" si="49"/>
        <v>719</v>
      </c>
      <c r="F785" s="5">
        <f t="shared" si="50"/>
        <v>516961</v>
      </c>
      <c r="G785" s="6">
        <f>SQRT(SUM($F$2:F785)/A785)</f>
        <v>1070.7732555475591</v>
      </c>
      <c r="H785" s="5">
        <f t="shared" si="51"/>
        <v>1</v>
      </c>
      <c r="I785" s="5">
        <f t="shared" si="52"/>
        <v>0</v>
      </c>
    </row>
    <row r="786" spans="1:9">
      <c r="A786">
        <v>785</v>
      </c>
      <c r="B786">
        <v>10</v>
      </c>
      <c r="C786">
        <v>6000</v>
      </c>
      <c r="D786">
        <v>6836</v>
      </c>
      <c r="E786" s="5">
        <f t="shared" si="49"/>
        <v>836</v>
      </c>
      <c r="F786" s="5">
        <f t="shared" si="50"/>
        <v>698896</v>
      </c>
      <c r="G786" s="6">
        <f>SQRT(SUM($F$2:F786)/A786)</f>
        <v>1070.5069350962524</v>
      </c>
      <c r="H786" s="5">
        <f t="shared" si="51"/>
        <v>1</v>
      </c>
      <c r="I786" s="5">
        <f t="shared" si="52"/>
        <v>0</v>
      </c>
    </row>
    <row r="787" spans="1:9">
      <c r="A787">
        <v>786</v>
      </c>
      <c r="B787">
        <v>8</v>
      </c>
      <c r="C787">
        <v>6000</v>
      </c>
      <c r="D787">
        <v>5992</v>
      </c>
      <c r="E787" s="5">
        <f t="shared" si="49"/>
        <v>8</v>
      </c>
      <c r="F787" s="5">
        <f t="shared" si="50"/>
        <v>64</v>
      </c>
      <c r="G787" s="6">
        <f>SQRT(SUM($F$2:F787)/A787)</f>
        <v>1069.8257723602039</v>
      </c>
      <c r="H787" s="5">
        <f t="shared" si="51"/>
        <v>1</v>
      </c>
      <c r="I787" s="5">
        <f t="shared" si="52"/>
        <v>1</v>
      </c>
    </row>
    <row r="788" spans="1:9">
      <c r="A788">
        <v>787</v>
      </c>
      <c r="B788">
        <v>9</v>
      </c>
      <c r="C788">
        <v>6000</v>
      </c>
      <c r="D788">
        <v>6068</v>
      </c>
      <c r="E788" s="5">
        <f t="shared" si="49"/>
        <v>68</v>
      </c>
      <c r="F788" s="5">
        <f t="shared" si="50"/>
        <v>4624</v>
      </c>
      <c r="G788" s="6">
        <f>SQRT(SUM($F$2:F788)/A788)</f>
        <v>1069.1486180468132</v>
      </c>
      <c r="H788" s="5">
        <f t="shared" si="51"/>
        <v>1</v>
      </c>
      <c r="I788" s="5">
        <f t="shared" si="52"/>
        <v>1</v>
      </c>
    </row>
    <row r="789" spans="1:9">
      <c r="A789">
        <v>788</v>
      </c>
      <c r="B789">
        <v>9</v>
      </c>
      <c r="C789">
        <v>6000</v>
      </c>
      <c r="D789">
        <v>6291</v>
      </c>
      <c r="E789" s="5">
        <f t="shared" si="49"/>
        <v>291</v>
      </c>
      <c r="F789" s="5">
        <f t="shared" si="50"/>
        <v>84681</v>
      </c>
      <c r="G789" s="6">
        <f>SQRT(SUM($F$2:F789)/A789)</f>
        <v>1068.5202960620106</v>
      </c>
      <c r="H789" s="5">
        <f t="shared" si="51"/>
        <v>1</v>
      </c>
      <c r="I789" s="5">
        <f t="shared" si="52"/>
        <v>1</v>
      </c>
    </row>
    <row r="790" spans="1:9">
      <c r="A790">
        <v>789</v>
      </c>
      <c r="B790">
        <v>9</v>
      </c>
      <c r="C790">
        <v>6000</v>
      </c>
      <c r="D790">
        <v>6602</v>
      </c>
      <c r="E790" s="5">
        <f t="shared" si="49"/>
        <v>602</v>
      </c>
      <c r="F790" s="5">
        <f t="shared" si="50"/>
        <v>362404</v>
      </c>
      <c r="G790" s="6">
        <f>SQRT(SUM($F$2:F790)/A790)</f>
        <v>1068.0579933035326</v>
      </c>
      <c r="H790" s="5">
        <f t="shared" si="51"/>
        <v>1</v>
      </c>
      <c r="I790" s="5">
        <f t="shared" si="52"/>
        <v>0</v>
      </c>
    </row>
    <row r="791" spans="1:9">
      <c r="A791">
        <v>790</v>
      </c>
      <c r="B791">
        <v>8</v>
      </c>
      <c r="C791">
        <v>6000</v>
      </c>
      <c r="D791">
        <v>6554</v>
      </c>
      <c r="E791" s="5">
        <f t="shared" si="49"/>
        <v>554</v>
      </c>
      <c r="F791" s="5">
        <f t="shared" si="50"/>
        <v>306916</v>
      </c>
      <c r="G791" s="6">
        <f>SQRT(SUM($F$2:F791)/A791)</f>
        <v>1067.5637656228719</v>
      </c>
      <c r="H791" s="5">
        <f t="shared" si="51"/>
        <v>1</v>
      </c>
      <c r="I791" s="5">
        <f t="shared" si="52"/>
        <v>1</v>
      </c>
    </row>
    <row r="792" spans="1:9">
      <c r="A792">
        <v>791</v>
      </c>
      <c r="B792">
        <v>8</v>
      </c>
      <c r="C792">
        <v>6000</v>
      </c>
      <c r="D792">
        <v>6016</v>
      </c>
      <c r="E792" s="5">
        <f t="shared" si="49"/>
        <v>16</v>
      </c>
      <c r="F792" s="5">
        <f t="shared" si="50"/>
        <v>256</v>
      </c>
      <c r="G792" s="6">
        <f>SQRT(SUM($F$2:F792)/A792)</f>
        <v>1066.8888848146687</v>
      </c>
      <c r="H792" s="5">
        <f t="shared" si="51"/>
        <v>1</v>
      </c>
      <c r="I792" s="5">
        <f t="shared" si="52"/>
        <v>1</v>
      </c>
    </row>
    <row r="793" spans="1:9">
      <c r="A793">
        <v>792</v>
      </c>
      <c r="B793">
        <v>9</v>
      </c>
      <c r="C793">
        <v>6000</v>
      </c>
      <c r="D793">
        <v>6980</v>
      </c>
      <c r="E793" s="5">
        <f t="shared" si="49"/>
        <v>980</v>
      </c>
      <c r="F793" s="5">
        <f t="shared" si="50"/>
        <v>960400</v>
      </c>
      <c r="G793" s="6">
        <f>SQRT(SUM($F$2:F793)/A793)</f>
        <v>1066.7836388278117</v>
      </c>
      <c r="H793" s="5">
        <f t="shared" si="51"/>
        <v>1</v>
      </c>
      <c r="I793" s="5">
        <f t="shared" si="52"/>
        <v>0</v>
      </c>
    </row>
    <row r="794" spans="1:9">
      <c r="A794">
        <v>793</v>
      </c>
      <c r="B794">
        <v>8</v>
      </c>
      <c r="C794">
        <v>6000</v>
      </c>
      <c r="D794">
        <v>6000</v>
      </c>
      <c r="E794" s="5">
        <f t="shared" si="49"/>
        <v>0</v>
      </c>
      <c r="F794" s="5">
        <f t="shared" si="50"/>
        <v>0</v>
      </c>
      <c r="G794" s="6">
        <f>SQRT(SUM($F$2:F794)/A794)</f>
        <v>1066.1108013980081</v>
      </c>
      <c r="H794" s="5">
        <f t="shared" si="51"/>
        <v>1</v>
      </c>
      <c r="I794" s="5">
        <f t="shared" si="52"/>
        <v>1</v>
      </c>
    </row>
    <row r="795" spans="1:9">
      <c r="A795">
        <v>794</v>
      </c>
      <c r="B795">
        <v>9</v>
      </c>
      <c r="C795">
        <v>6000</v>
      </c>
      <c r="D795">
        <v>6379</v>
      </c>
      <c r="E795" s="5">
        <f t="shared" si="49"/>
        <v>379</v>
      </c>
      <c r="F795" s="5">
        <f t="shared" si="50"/>
        <v>143641</v>
      </c>
      <c r="G795" s="6">
        <f>SQRT(SUM($F$2:F795)/A795)</f>
        <v>1065.5241304372607</v>
      </c>
      <c r="H795" s="5">
        <f t="shared" si="51"/>
        <v>1</v>
      </c>
      <c r="I795" s="5">
        <f t="shared" si="52"/>
        <v>1</v>
      </c>
    </row>
    <row r="796" spans="1:9">
      <c r="A796">
        <v>795</v>
      </c>
      <c r="B796">
        <v>8</v>
      </c>
      <c r="C796">
        <v>6000</v>
      </c>
      <c r="D796">
        <v>5987</v>
      </c>
      <c r="E796" s="5">
        <f t="shared" si="49"/>
        <v>13</v>
      </c>
      <c r="F796" s="5">
        <f t="shared" si="50"/>
        <v>169</v>
      </c>
      <c r="G796" s="6">
        <f>SQRT(SUM($F$2:F796)/A796)</f>
        <v>1064.8538784217942</v>
      </c>
      <c r="H796" s="5">
        <f t="shared" si="51"/>
        <v>1</v>
      </c>
      <c r="I796" s="5">
        <f t="shared" si="52"/>
        <v>1</v>
      </c>
    </row>
    <row r="797" spans="1:9">
      <c r="A797">
        <v>796</v>
      </c>
      <c r="B797">
        <v>9</v>
      </c>
      <c r="C797">
        <v>6000</v>
      </c>
      <c r="D797">
        <v>6632</v>
      </c>
      <c r="E797" s="5">
        <f t="shared" si="49"/>
        <v>632</v>
      </c>
      <c r="F797" s="5">
        <f t="shared" si="50"/>
        <v>399424</v>
      </c>
      <c r="G797" s="6">
        <f>SQRT(SUM($F$2:F797)/A797)</f>
        <v>1064.4205261703023</v>
      </c>
      <c r="H797" s="5">
        <f t="shared" si="51"/>
        <v>1</v>
      </c>
      <c r="I797" s="5">
        <f t="shared" si="52"/>
        <v>0</v>
      </c>
    </row>
    <row r="798" spans="1:9">
      <c r="A798">
        <v>797</v>
      </c>
      <c r="B798">
        <v>8</v>
      </c>
      <c r="C798">
        <v>6000</v>
      </c>
      <c r="D798">
        <v>6515</v>
      </c>
      <c r="E798" s="5">
        <f t="shared" si="49"/>
        <v>515</v>
      </c>
      <c r="F798" s="5">
        <f t="shared" si="50"/>
        <v>265225</v>
      </c>
      <c r="G798" s="6">
        <f>SQRT(SUM($F$2:F798)/A798)</f>
        <v>1063.908955690049</v>
      </c>
      <c r="H798" s="5">
        <f t="shared" si="51"/>
        <v>1</v>
      </c>
      <c r="I798" s="5">
        <f t="shared" si="52"/>
        <v>1</v>
      </c>
    </row>
    <row r="799" spans="1:9">
      <c r="A799">
        <v>798</v>
      </c>
      <c r="B799">
        <v>8</v>
      </c>
      <c r="C799">
        <v>6000</v>
      </c>
      <c r="D799">
        <v>6268</v>
      </c>
      <c r="E799" s="5">
        <f t="shared" si="49"/>
        <v>268</v>
      </c>
      <c r="F799" s="5">
        <f t="shared" si="50"/>
        <v>71824</v>
      </c>
      <c r="G799" s="6">
        <f>SQRT(SUM($F$2:F799)/A799)</f>
        <v>1063.2844619939644</v>
      </c>
      <c r="H799" s="5">
        <f t="shared" si="51"/>
        <v>1</v>
      </c>
      <c r="I799" s="5">
        <f t="shared" si="52"/>
        <v>1</v>
      </c>
    </row>
    <row r="800" spans="1:9">
      <c r="A800">
        <v>799</v>
      </c>
      <c r="B800">
        <v>8</v>
      </c>
      <c r="C800">
        <v>6000</v>
      </c>
      <c r="D800">
        <v>5390</v>
      </c>
      <c r="E800" s="5">
        <f t="shared" si="49"/>
        <v>610</v>
      </c>
      <c r="F800" s="5">
        <f t="shared" si="50"/>
        <v>372100</v>
      </c>
      <c r="G800" s="6">
        <f>SQRT(SUM($F$2:F800)/A800)</f>
        <v>1062.8379783439539</v>
      </c>
      <c r="H800" s="5">
        <f t="shared" si="51"/>
        <v>1</v>
      </c>
      <c r="I800" s="5">
        <f t="shared" si="52"/>
        <v>0</v>
      </c>
    </row>
    <row r="801" spans="1:9">
      <c r="A801">
        <v>800</v>
      </c>
      <c r="B801">
        <v>9</v>
      </c>
      <c r="C801">
        <v>6000</v>
      </c>
      <c r="D801">
        <v>7105</v>
      </c>
      <c r="E801" s="5">
        <f t="shared" si="49"/>
        <v>1105</v>
      </c>
      <c r="F801" s="5">
        <f t="shared" si="50"/>
        <v>1221025</v>
      </c>
      <c r="G801" s="6">
        <f>SQRT(SUM($F$2:F801)/A801)</f>
        <v>1062.8917248478324</v>
      </c>
      <c r="H801" s="5">
        <f t="shared" si="51"/>
        <v>1</v>
      </c>
      <c r="I801" s="5">
        <f t="shared" si="52"/>
        <v>0</v>
      </c>
    </row>
    <row r="802" spans="1:9">
      <c r="A802">
        <v>801</v>
      </c>
      <c r="B802">
        <v>1</v>
      </c>
      <c r="C802">
        <v>9000</v>
      </c>
      <c r="D802">
        <v>906</v>
      </c>
      <c r="E802" s="5">
        <f t="shared" si="49"/>
        <v>8094</v>
      </c>
      <c r="F802" s="5">
        <f t="shared" si="50"/>
        <v>65512836</v>
      </c>
      <c r="G802" s="6">
        <f>SQRT(SUM($F$2:F802)/A802)</f>
        <v>1100.0532792680835</v>
      </c>
      <c r="H802" s="5">
        <f t="shared" si="51"/>
        <v>0</v>
      </c>
      <c r="I802" s="5">
        <f t="shared" si="52"/>
        <v>0</v>
      </c>
    </row>
    <row r="803" spans="1:9">
      <c r="A803">
        <v>802</v>
      </c>
      <c r="B803">
        <v>10</v>
      </c>
      <c r="C803">
        <v>9000</v>
      </c>
      <c r="D803">
        <v>5699</v>
      </c>
      <c r="E803" s="5">
        <f t="shared" si="49"/>
        <v>3301</v>
      </c>
      <c r="F803" s="5">
        <f t="shared" si="50"/>
        <v>10896601</v>
      </c>
      <c r="G803" s="6">
        <f>SQRT(SUM($F$2:F803)/A803)</f>
        <v>1105.5293425242248</v>
      </c>
      <c r="H803" s="5">
        <f t="shared" si="51"/>
        <v>0</v>
      </c>
      <c r="I803" s="5">
        <f t="shared" si="52"/>
        <v>0</v>
      </c>
    </row>
    <row r="804" spans="1:9">
      <c r="A804">
        <v>803</v>
      </c>
      <c r="B804">
        <v>6</v>
      </c>
      <c r="C804">
        <v>9000</v>
      </c>
      <c r="D804">
        <v>4429</v>
      </c>
      <c r="E804" s="5">
        <f t="shared" si="49"/>
        <v>4571</v>
      </c>
      <c r="F804" s="5">
        <f t="shared" si="50"/>
        <v>20894041</v>
      </c>
      <c r="G804" s="6">
        <f>SQRT(SUM($F$2:F804)/A804)</f>
        <v>1116.5541040396658</v>
      </c>
      <c r="H804" s="5">
        <f t="shared" si="51"/>
        <v>0</v>
      </c>
      <c r="I804" s="5">
        <f t="shared" si="52"/>
        <v>0</v>
      </c>
    </row>
    <row r="805" spans="1:9">
      <c r="A805">
        <v>804</v>
      </c>
      <c r="B805">
        <v>9</v>
      </c>
      <c r="C805">
        <v>9000</v>
      </c>
      <c r="D805">
        <v>5977</v>
      </c>
      <c r="E805" s="5">
        <f t="shared" si="49"/>
        <v>3023</v>
      </c>
      <c r="F805" s="5">
        <f t="shared" si="50"/>
        <v>9138529</v>
      </c>
      <c r="G805" s="6">
        <f>SQRT(SUM($F$2:F805)/A805)</f>
        <v>1120.9410259162119</v>
      </c>
      <c r="H805" s="5">
        <f t="shared" si="51"/>
        <v>0</v>
      </c>
      <c r="I805" s="5">
        <f t="shared" si="52"/>
        <v>0</v>
      </c>
    </row>
    <row r="806" spans="1:9">
      <c r="A806">
        <v>805</v>
      </c>
      <c r="B806">
        <v>8</v>
      </c>
      <c r="C806">
        <v>9000</v>
      </c>
      <c r="D806">
        <v>5763</v>
      </c>
      <c r="E806" s="5">
        <f t="shared" si="49"/>
        <v>3237</v>
      </c>
      <c r="F806" s="5">
        <f t="shared" si="50"/>
        <v>10478169</v>
      </c>
      <c r="G806" s="6">
        <f>SQRT(SUM($F$2:F806)/A806)</f>
        <v>1126.0391920851605</v>
      </c>
      <c r="H806" s="5">
        <f t="shared" si="51"/>
        <v>0</v>
      </c>
      <c r="I806" s="5">
        <f t="shared" si="52"/>
        <v>0</v>
      </c>
    </row>
    <row r="807" spans="1:9">
      <c r="A807">
        <v>806</v>
      </c>
      <c r="B807">
        <v>9</v>
      </c>
      <c r="C807">
        <v>9000</v>
      </c>
      <c r="D807">
        <v>6187</v>
      </c>
      <c r="E807" s="5">
        <f t="shared" si="49"/>
        <v>2813</v>
      </c>
      <c r="F807" s="5">
        <f t="shared" si="50"/>
        <v>7912969</v>
      </c>
      <c r="G807" s="6">
        <f>SQRT(SUM($F$2:F807)/A807)</f>
        <v>1129.6940669329567</v>
      </c>
      <c r="H807" s="5">
        <f t="shared" si="51"/>
        <v>0</v>
      </c>
      <c r="I807" s="5">
        <f t="shared" si="52"/>
        <v>0</v>
      </c>
    </row>
    <row r="808" spans="1:9">
      <c r="A808">
        <v>807</v>
      </c>
      <c r="B808">
        <v>9</v>
      </c>
      <c r="C808">
        <v>9000</v>
      </c>
      <c r="D808">
        <v>5405</v>
      </c>
      <c r="E808" s="5">
        <f t="shared" si="49"/>
        <v>3595</v>
      </c>
      <c r="F808" s="5">
        <f t="shared" si="50"/>
        <v>12924025</v>
      </c>
      <c r="G808" s="6">
        <f>SQRT(SUM($F$2:F808)/A808)</f>
        <v>1136.0643301898074</v>
      </c>
      <c r="H808" s="5">
        <f t="shared" si="51"/>
        <v>0</v>
      </c>
      <c r="I808" s="5">
        <f t="shared" si="52"/>
        <v>0</v>
      </c>
    </row>
    <row r="809" spans="1:9">
      <c r="A809">
        <v>808</v>
      </c>
      <c r="B809">
        <v>10</v>
      </c>
      <c r="C809">
        <v>9000</v>
      </c>
      <c r="D809">
        <v>5723</v>
      </c>
      <c r="E809" s="5">
        <f t="shared" si="49"/>
        <v>3277</v>
      </c>
      <c r="F809" s="5">
        <f t="shared" si="50"/>
        <v>10738729</v>
      </c>
      <c r="G809" s="6">
        <f>SQRT(SUM($F$2:F809)/A809)</f>
        <v>1141.1990795250892</v>
      </c>
      <c r="H809" s="5">
        <f t="shared" si="51"/>
        <v>0</v>
      </c>
      <c r="I809" s="5">
        <f t="shared" si="52"/>
        <v>0</v>
      </c>
    </row>
    <row r="810" spans="1:9">
      <c r="A810">
        <v>809</v>
      </c>
      <c r="B810">
        <v>11</v>
      </c>
      <c r="C810">
        <v>9000</v>
      </c>
      <c r="D810">
        <v>6524</v>
      </c>
      <c r="E810" s="5">
        <f t="shared" si="49"/>
        <v>2476</v>
      </c>
      <c r="F810" s="5">
        <f t="shared" si="50"/>
        <v>6130576</v>
      </c>
      <c r="G810" s="6">
        <f>SQRT(SUM($F$2:F810)/A810)</f>
        <v>1143.8109538493934</v>
      </c>
      <c r="H810" s="5">
        <f t="shared" si="51"/>
        <v>0</v>
      </c>
      <c r="I810" s="5">
        <f t="shared" si="52"/>
        <v>0</v>
      </c>
    </row>
    <row r="811" spans="1:9">
      <c r="A811">
        <v>810</v>
      </c>
      <c r="B811">
        <v>11</v>
      </c>
      <c r="C811">
        <v>9000</v>
      </c>
      <c r="D811">
        <v>7106</v>
      </c>
      <c r="E811" s="5">
        <f t="shared" si="49"/>
        <v>1894</v>
      </c>
      <c r="F811" s="5">
        <f t="shared" si="50"/>
        <v>3587236</v>
      </c>
      <c r="G811" s="6">
        <f>SQRT(SUM($F$2:F811)/A811)</f>
        <v>1145.0401718113337</v>
      </c>
      <c r="H811" s="5">
        <f t="shared" si="51"/>
        <v>0</v>
      </c>
      <c r="I811" s="5">
        <f t="shared" si="52"/>
        <v>0</v>
      </c>
    </row>
    <row r="812" spans="1:9">
      <c r="A812">
        <v>811</v>
      </c>
      <c r="B812">
        <v>10</v>
      </c>
      <c r="C812">
        <v>9000</v>
      </c>
      <c r="D812">
        <v>6714</v>
      </c>
      <c r="E812" s="5">
        <f t="shared" si="49"/>
        <v>2286</v>
      </c>
      <c r="F812" s="5">
        <f t="shared" si="50"/>
        <v>5225796</v>
      </c>
      <c r="G812" s="6">
        <f>SQRT(SUM($F$2:F812)/A812)</f>
        <v>1147.146012011111</v>
      </c>
      <c r="H812" s="5">
        <f t="shared" si="51"/>
        <v>0</v>
      </c>
      <c r="I812" s="5">
        <f t="shared" si="52"/>
        <v>0</v>
      </c>
    </row>
    <row r="813" spans="1:9">
      <c r="A813">
        <v>812</v>
      </c>
      <c r="B813">
        <v>11</v>
      </c>
      <c r="C813">
        <v>9000</v>
      </c>
      <c r="D813">
        <v>6637</v>
      </c>
      <c r="E813" s="5">
        <f t="shared" si="49"/>
        <v>2363</v>
      </c>
      <c r="F813" s="5">
        <f t="shared" si="50"/>
        <v>5583769</v>
      </c>
      <c r="G813" s="6">
        <f>SQRT(SUM($F$2:F813)/A813)</f>
        <v>1149.4346066760957</v>
      </c>
      <c r="H813" s="5">
        <f t="shared" si="51"/>
        <v>0</v>
      </c>
      <c r="I813" s="5">
        <f t="shared" si="52"/>
        <v>0</v>
      </c>
    </row>
    <row r="814" spans="1:9">
      <c r="A814">
        <v>813</v>
      </c>
      <c r="B814">
        <v>12</v>
      </c>
      <c r="C814">
        <v>9000</v>
      </c>
      <c r="D814">
        <v>7439</v>
      </c>
      <c r="E814" s="5">
        <f t="shared" si="49"/>
        <v>1561</v>
      </c>
      <c r="F814" s="5">
        <f t="shared" si="50"/>
        <v>2436721</v>
      </c>
      <c r="G814" s="6">
        <f>SQRT(SUM($F$2:F814)/A814)</f>
        <v>1150.0313124781417</v>
      </c>
      <c r="H814" s="5">
        <f t="shared" si="51"/>
        <v>1</v>
      </c>
      <c r="I814" s="5">
        <f t="shared" si="52"/>
        <v>0</v>
      </c>
    </row>
    <row r="815" spans="1:9">
      <c r="A815">
        <v>814</v>
      </c>
      <c r="B815">
        <v>12</v>
      </c>
      <c r="C815">
        <v>9000</v>
      </c>
      <c r="D815">
        <v>7802</v>
      </c>
      <c r="E815" s="5">
        <f t="shared" si="49"/>
        <v>1198</v>
      </c>
      <c r="F815" s="5">
        <f t="shared" si="50"/>
        <v>1435204</v>
      </c>
      <c r="G815" s="6">
        <f>SQRT(SUM($F$2:F815)/A815)</f>
        <v>1150.0914694955302</v>
      </c>
      <c r="H815" s="5">
        <f t="shared" si="51"/>
        <v>1</v>
      </c>
      <c r="I815" s="5">
        <f t="shared" si="52"/>
        <v>0</v>
      </c>
    </row>
    <row r="816" spans="1:9">
      <c r="A816">
        <v>815</v>
      </c>
      <c r="B816">
        <v>11</v>
      </c>
      <c r="C816">
        <v>9000</v>
      </c>
      <c r="D816">
        <v>7086</v>
      </c>
      <c r="E816" s="5">
        <f t="shared" si="49"/>
        <v>1914</v>
      </c>
      <c r="F816" s="5">
        <f t="shared" si="50"/>
        <v>3663396</v>
      </c>
      <c r="G816" s="6">
        <f>SQRT(SUM($F$2:F816)/A816)</f>
        <v>1151.3393917920225</v>
      </c>
      <c r="H816" s="5">
        <f t="shared" si="51"/>
        <v>0</v>
      </c>
      <c r="I816" s="5">
        <f t="shared" si="52"/>
        <v>0</v>
      </c>
    </row>
    <row r="817" spans="1:9">
      <c r="A817">
        <v>816</v>
      </c>
      <c r="B817">
        <v>13</v>
      </c>
      <c r="C817">
        <v>9000</v>
      </c>
      <c r="D817">
        <v>8338</v>
      </c>
      <c r="E817" s="5">
        <f t="shared" si="49"/>
        <v>662</v>
      </c>
      <c r="F817" s="5">
        <f t="shared" si="50"/>
        <v>438244</v>
      </c>
      <c r="G817" s="6">
        <f>SQRT(SUM($F$2:F817)/A817)</f>
        <v>1150.8670516563741</v>
      </c>
      <c r="H817" s="5">
        <f t="shared" si="51"/>
        <v>1</v>
      </c>
      <c r="I817" s="5">
        <f t="shared" si="52"/>
        <v>1</v>
      </c>
    </row>
    <row r="818" spans="1:9">
      <c r="A818">
        <v>817</v>
      </c>
      <c r="B818">
        <v>11</v>
      </c>
      <c r="C818">
        <v>9000</v>
      </c>
      <c r="D818">
        <v>7482</v>
      </c>
      <c r="E818" s="5">
        <f t="shared" si="49"/>
        <v>1518</v>
      </c>
      <c r="F818" s="5">
        <f t="shared" si="50"/>
        <v>2304324</v>
      </c>
      <c r="G818" s="6">
        <f>SQRT(SUM($F$2:F818)/A818)</f>
        <v>1151.387976194743</v>
      </c>
      <c r="H818" s="5">
        <f t="shared" si="51"/>
        <v>1</v>
      </c>
      <c r="I818" s="5">
        <f t="shared" si="52"/>
        <v>0</v>
      </c>
    </row>
    <row r="819" spans="1:9">
      <c r="A819">
        <v>818</v>
      </c>
      <c r="B819">
        <v>13</v>
      </c>
      <c r="C819">
        <v>9000</v>
      </c>
      <c r="D819">
        <v>8207</v>
      </c>
      <c r="E819" s="5">
        <f t="shared" si="49"/>
        <v>793</v>
      </c>
      <c r="F819" s="5">
        <f t="shared" si="50"/>
        <v>628849</v>
      </c>
      <c r="G819" s="6">
        <f>SQRT(SUM($F$2:F819)/A819)</f>
        <v>1151.0179766800286</v>
      </c>
      <c r="H819" s="5">
        <f t="shared" si="51"/>
        <v>1</v>
      </c>
      <c r="I819" s="5">
        <f t="shared" si="52"/>
        <v>1</v>
      </c>
    </row>
    <row r="820" spans="1:9">
      <c r="A820">
        <v>819</v>
      </c>
      <c r="B820">
        <v>12</v>
      </c>
      <c r="C820">
        <v>9000</v>
      </c>
      <c r="D820">
        <v>7127</v>
      </c>
      <c r="E820" s="5">
        <f t="shared" si="49"/>
        <v>1873</v>
      </c>
      <c r="F820" s="5">
        <f t="shared" si="50"/>
        <v>3508129</v>
      </c>
      <c r="G820" s="6">
        <f>SQRT(SUM($F$2:F820)/A820)</f>
        <v>1152.1754112400499</v>
      </c>
      <c r="H820" s="5">
        <f t="shared" si="51"/>
        <v>0</v>
      </c>
      <c r="I820" s="5">
        <f t="shared" si="52"/>
        <v>0</v>
      </c>
    </row>
    <row r="821" spans="1:9">
      <c r="A821">
        <v>820</v>
      </c>
      <c r="B821">
        <v>14</v>
      </c>
      <c r="C821">
        <v>9000</v>
      </c>
      <c r="D821">
        <v>9102</v>
      </c>
      <c r="E821" s="5">
        <f t="shared" si="49"/>
        <v>102</v>
      </c>
      <c r="F821" s="5">
        <f t="shared" si="50"/>
        <v>10404</v>
      </c>
      <c r="G821" s="6">
        <f>SQRT(SUM($F$2:F821)/A821)</f>
        <v>1151.4781603046306</v>
      </c>
      <c r="H821" s="5">
        <f t="shared" si="51"/>
        <v>1</v>
      </c>
      <c r="I821" s="5">
        <f t="shared" si="52"/>
        <v>1</v>
      </c>
    </row>
    <row r="822" spans="1:9">
      <c r="A822">
        <v>821</v>
      </c>
      <c r="B822">
        <v>12</v>
      </c>
      <c r="C822">
        <v>9000</v>
      </c>
      <c r="D822">
        <v>5544</v>
      </c>
      <c r="E822" s="5">
        <f t="shared" si="49"/>
        <v>3456</v>
      </c>
      <c r="F822" s="5">
        <f t="shared" si="50"/>
        <v>11943936</v>
      </c>
      <c r="G822" s="6">
        <f>SQRT(SUM($F$2:F822)/A822)</f>
        <v>1157.080379080935</v>
      </c>
      <c r="H822" s="5">
        <f t="shared" si="51"/>
        <v>0</v>
      </c>
      <c r="I822" s="5">
        <f t="shared" si="52"/>
        <v>0</v>
      </c>
    </row>
    <row r="823" spans="1:9">
      <c r="A823">
        <v>822</v>
      </c>
      <c r="B823">
        <v>16</v>
      </c>
      <c r="C823">
        <v>9000</v>
      </c>
      <c r="D823">
        <v>8891</v>
      </c>
      <c r="E823" s="5">
        <f t="shared" si="49"/>
        <v>109</v>
      </c>
      <c r="F823" s="5">
        <f t="shared" si="50"/>
        <v>11881</v>
      </c>
      <c r="G823" s="6">
        <f>SQRT(SUM($F$2:F823)/A823)</f>
        <v>1156.3825942911637</v>
      </c>
      <c r="H823" s="5">
        <f t="shared" si="51"/>
        <v>1</v>
      </c>
      <c r="I823" s="5">
        <f t="shared" si="52"/>
        <v>1</v>
      </c>
    </row>
    <row r="824" spans="1:9">
      <c r="A824">
        <v>823</v>
      </c>
      <c r="B824">
        <v>13</v>
      </c>
      <c r="C824">
        <v>9000</v>
      </c>
      <c r="D824">
        <v>8696</v>
      </c>
      <c r="E824" s="5">
        <f t="shared" si="49"/>
        <v>304</v>
      </c>
      <c r="F824" s="5">
        <f t="shared" si="50"/>
        <v>92416</v>
      </c>
      <c r="G824" s="6">
        <f>SQRT(SUM($F$2:F824)/A824)</f>
        <v>1155.72842115918</v>
      </c>
      <c r="H824" s="5">
        <f t="shared" si="51"/>
        <v>1</v>
      </c>
      <c r="I824" s="5">
        <f t="shared" si="52"/>
        <v>1</v>
      </c>
    </row>
    <row r="825" spans="1:9">
      <c r="A825">
        <v>824</v>
      </c>
      <c r="B825">
        <v>13</v>
      </c>
      <c r="C825">
        <v>9000</v>
      </c>
      <c r="D825">
        <v>8248</v>
      </c>
      <c r="E825" s="5">
        <f t="shared" si="49"/>
        <v>752</v>
      </c>
      <c r="F825" s="5">
        <f t="shared" si="50"/>
        <v>565504</v>
      </c>
      <c r="G825" s="6">
        <f>SQRT(SUM($F$2:F825)/A825)</f>
        <v>1155.3239674048982</v>
      </c>
      <c r="H825" s="5">
        <f t="shared" si="51"/>
        <v>1</v>
      </c>
      <c r="I825" s="5">
        <f t="shared" si="52"/>
        <v>1</v>
      </c>
    </row>
    <row r="826" spans="1:9">
      <c r="A826">
        <v>825</v>
      </c>
      <c r="B826">
        <v>14</v>
      </c>
      <c r="C826">
        <v>9000</v>
      </c>
      <c r="D826">
        <v>8710</v>
      </c>
      <c r="E826" s="5">
        <f t="shared" si="49"/>
        <v>290</v>
      </c>
      <c r="F826" s="5">
        <f t="shared" si="50"/>
        <v>84100</v>
      </c>
      <c r="G826" s="6">
        <f>SQRT(SUM($F$2:F826)/A826)</f>
        <v>1154.6677019030981</v>
      </c>
      <c r="H826" s="5">
        <f t="shared" si="51"/>
        <v>1</v>
      </c>
      <c r="I826" s="5">
        <f t="shared" si="52"/>
        <v>1</v>
      </c>
    </row>
    <row r="827" spans="1:9">
      <c r="A827">
        <v>826</v>
      </c>
      <c r="B827">
        <v>13</v>
      </c>
      <c r="C827">
        <v>9000</v>
      </c>
      <c r="D827">
        <v>8803</v>
      </c>
      <c r="E827" s="5">
        <f t="shared" si="49"/>
        <v>197</v>
      </c>
      <c r="F827" s="5">
        <f t="shared" si="50"/>
        <v>38809</v>
      </c>
      <c r="G827" s="6">
        <f>SQRT(SUM($F$2:F827)/A827)</f>
        <v>1153.9888963423157</v>
      </c>
      <c r="H827" s="5">
        <f t="shared" si="51"/>
        <v>1</v>
      </c>
      <c r="I827" s="5">
        <f t="shared" si="52"/>
        <v>1</v>
      </c>
    </row>
    <row r="828" spans="1:9">
      <c r="A828">
        <v>827</v>
      </c>
      <c r="B828">
        <v>13</v>
      </c>
      <c r="C828">
        <v>9000</v>
      </c>
      <c r="D828">
        <v>8232</v>
      </c>
      <c r="E828" s="5">
        <f t="shared" si="49"/>
        <v>768</v>
      </c>
      <c r="F828" s="5">
        <f t="shared" si="50"/>
        <v>589824</v>
      </c>
      <c r="G828" s="6">
        <f>SQRT(SUM($F$2:F828)/A828)</f>
        <v>1153.6001541255744</v>
      </c>
      <c r="H828" s="5">
        <f t="shared" si="51"/>
        <v>1</v>
      </c>
      <c r="I828" s="5">
        <f t="shared" si="52"/>
        <v>1</v>
      </c>
    </row>
    <row r="829" spans="1:9">
      <c r="A829">
        <v>828</v>
      </c>
      <c r="B829">
        <v>14</v>
      </c>
      <c r="C829">
        <v>9000</v>
      </c>
      <c r="D829">
        <v>8950</v>
      </c>
      <c r="E829" s="5">
        <f t="shared" si="49"/>
        <v>50</v>
      </c>
      <c r="F829" s="5">
        <f t="shared" si="50"/>
        <v>2500</v>
      </c>
      <c r="G829" s="6">
        <f>SQRT(SUM($F$2:F829)/A829)</f>
        <v>1152.9046346590674</v>
      </c>
      <c r="H829" s="5">
        <f t="shared" si="51"/>
        <v>1</v>
      </c>
      <c r="I829" s="5">
        <f t="shared" si="52"/>
        <v>1</v>
      </c>
    </row>
    <row r="830" spans="1:9">
      <c r="A830">
        <v>829</v>
      </c>
      <c r="B830">
        <v>13</v>
      </c>
      <c r="C830">
        <v>9000</v>
      </c>
      <c r="D830">
        <v>8523</v>
      </c>
      <c r="E830" s="5">
        <f t="shared" si="49"/>
        <v>477</v>
      </c>
      <c r="F830" s="5">
        <f t="shared" si="50"/>
        <v>227529</v>
      </c>
      <c r="G830" s="6">
        <f>SQRT(SUM($F$2:F830)/A830)</f>
        <v>1152.3281625517495</v>
      </c>
      <c r="H830" s="5">
        <f t="shared" si="51"/>
        <v>1</v>
      </c>
      <c r="I830" s="5">
        <f t="shared" si="52"/>
        <v>1</v>
      </c>
    </row>
    <row r="831" spans="1:9">
      <c r="A831">
        <v>830</v>
      </c>
      <c r="B831">
        <v>14</v>
      </c>
      <c r="C831">
        <v>9000</v>
      </c>
      <c r="D831">
        <v>9281</v>
      </c>
      <c r="E831" s="5">
        <f t="shared" si="49"/>
        <v>281</v>
      </c>
      <c r="F831" s="5">
        <f t="shared" si="50"/>
        <v>78961</v>
      </c>
      <c r="G831" s="6">
        <f>SQRT(SUM($F$2:F831)/A831)</f>
        <v>1151.675082818736</v>
      </c>
      <c r="H831" s="5">
        <f t="shared" si="51"/>
        <v>1</v>
      </c>
      <c r="I831" s="5">
        <f t="shared" si="52"/>
        <v>1</v>
      </c>
    </row>
    <row r="832" spans="1:9">
      <c r="A832">
        <v>831</v>
      </c>
      <c r="B832">
        <v>13</v>
      </c>
      <c r="C832">
        <v>9000</v>
      </c>
      <c r="D832">
        <v>8633</v>
      </c>
      <c r="E832" s="5">
        <f t="shared" si="49"/>
        <v>367</v>
      </c>
      <c r="F832" s="5">
        <f t="shared" si="50"/>
        <v>134689</v>
      </c>
      <c r="G832" s="6">
        <f>SQRT(SUM($F$2:F832)/A832)</f>
        <v>1151.0523364937728</v>
      </c>
      <c r="H832" s="5">
        <f t="shared" si="51"/>
        <v>1</v>
      </c>
      <c r="I832" s="5">
        <f t="shared" si="52"/>
        <v>1</v>
      </c>
    </row>
    <row r="833" spans="1:9">
      <c r="A833">
        <v>832</v>
      </c>
      <c r="B833">
        <v>14</v>
      </c>
      <c r="C833">
        <v>9000</v>
      </c>
      <c r="D833">
        <v>8123</v>
      </c>
      <c r="E833" s="5">
        <f t="shared" si="49"/>
        <v>877</v>
      </c>
      <c r="F833" s="5">
        <f t="shared" si="50"/>
        <v>769129</v>
      </c>
      <c r="G833" s="6">
        <f>SQRT(SUM($F$2:F833)/A833)</f>
        <v>1150.7621220471508</v>
      </c>
      <c r="H833" s="5">
        <f t="shared" si="51"/>
        <v>1</v>
      </c>
      <c r="I833" s="5">
        <f t="shared" si="52"/>
        <v>1</v>
      </c>
    </row>
    <row r="834" spans="1:9">
      <c r="A834">
        <v>833</v>
      </c>
      <c r="B834">
        <v>14</v>
      </c>
      <c r="C834">
        <v>9000</v>
      </c>
      <c r="D834">
        <v>8953</v>
      </c>
      <c r="E834" s="5">
        <f t="shared" si="49"/>
        <v>47</v>
      </c>
      <c r="F834" s="5">
        <f t="shared" si="50"/>
        <v>2209</v>
      </c>
      <c r="G834" s="6">
        <f>SQRT(SUM($F$2:F834)/A834)</f>
        <v>1150.0723339639728</v>
      </c>
      <c r="H834" s="5">
        <f t="shared" si="51"/>
        <v>1</v>
      </c>
      <c r="I834" s="5">
        <f t="shared" si="52"/>
        <v>1</v>
      </c>
    </row>
    <row r="835" spans="1:9">
      <c r="A835">
        <v>834</v>
      </c>
      <c r="B835">
        <v>13</v>
      </c>
      <c r="C835">
        <v>9000</v>
      </c>
      <c r="D835">
        <v>8194</v>
      </c>
      <c r="E835" s="5">
        <f t="shared" ref="E835:E898" si="53">ABS(C835-D835)</f>
        <v>806</v>
      </c>
      <c r="F835" s="5">
        <f t="shared" ref="F835:F898" si="54">POWER(E835,2)</f>
        <v>649636</v>
      </c>
      <c r="G835" s="6">
        <f>SQRT(SUM($F$2:F835)/A835)</f>
        <v>1149.7214369115698</v>
      </c>
      <c r="H835" s="5">
        <f t="shared" ref="H835:H898" si="55">IF(ABS(E835)/C835&gt;0.2,0,1)</f>
        <v>1</v>
      </c>
      <c r="I835" s="5">
        <f t="shared" ref="I835:I898" si="56">IF(ABS(E835)/C835&gt;0.1,0,1)</f>
        <v>1</v>
      </c>
    </row>
    <row r="836" spans="1:9">
      <c r="A836">
        <v>835</v>
      </c>
      <c r="B836">
        <v>14</v>
      </c>
      <c r="C836">
        <v>9000</v>
      </c>
      <c r="D836">
        <v>8575</v>
      </c>
      <c r="E836" s="5">
        <f t="shared" si="53"/>
        <v>425</v>
      </c>
      <c r="F836" s="5">
        <f t="shared" si="54"/>
        <v>180625</v>
      </c>
      <c r="G836" s="6">
        <f>SQRT(SUM($F$2:F836)/A836)</f>
        <v>1149.1269010559881</v>
      </c>
      <c r="H836" s="5">
        <f t="shared" si="55"/>
        <v>1</v>
      </c>
      <c r="I836" s="5">
        <f t="shared" si="56"/>
        <v>1</v>
      </c>
    </row>
    <row r="837" spans="1:9">
      <c r="A837">
        <v>836</v>
      </c>
      <c r="B837">
        <v>14</v>
      </c>
      <c r="C837">
        <v>9000</v>
      </c>
      <c r="D837">
        <v>8784</v>
      </c>
      <c r="E837" s="5">
        <f t="shared" si="53"/>
        <v>216</v>
      </c>
      <c r="F837" s="5">
        <f t="shared" si="54"/>
        <v>46656</v>
      </c>
      <c r="G837" s="6">
        <f>SQRT(SUM($F$2:F837)/A837)</f>
        <v>1148.4637158824673</v>
      </c>
      <c r="H837" s="5">
        <f t="shared" si="55"/>
        <v>1</v>
      </c>
      <c r="I837" s="5">
        <f t="shared" si="56"/>
        <v>1</v>
      </c>
    </row>
    <row r="838" spans="1:9">
      <c r="A838">
        <v>837</v>
      </c>
      <c r="B838">
        <v>14</v>
      </c>
      <c r="C838">
        <v>9000</v>
      </c>
      <c r="D838">
        <v>9217</v>
      </c>
      <c r="E838" s="5">
        <f t="shared" si="53"/>
        <v>217</v>
      </c>
      <c r="F838" s="5">
        <f t="shared" si="54"/>
        <v>47089</v>
      </c>
      <c r="G838" s="6">
        <f>SQRT(SUM($F$2:F838)/A838)</f>
        <v>1147.8019589273938</v>
      </c>
      <c r="H838" s="5">
        <f t="shared" si="55"/>
        <v>1</v>
      </c>
      <c r="I838" s="5">
        <f t="shared" si="56"/>
        <v>1</v>
      </c>
    </row>
    <row r="839" spans="1:9">
      <c r="A839">
        <v>838</v>
      </c>
      <c r="B839">
        <v>14</v>
      </c>
      <c r="C839">
        <v>9000</v>
      </c>
      <c r="D839">
        <v>9157</v>
      </c>
      <c r="E839" s="5">
        <f t="shared" si="53"/>
        <v>157</v>
      </c>
      <c r="F839" s="5">
        <f t="shared" si="54"/>
        <v>24649</v>
      </c>
      <c r="G839" s="6">
        <f>SQRT(SUM($F$2:F839)/A839)</f>
        <v>1147.1297292598558</v>
      </c>
      <c r="H839" s="5">
        <f t="shared" si="55"/>
        <v>1</v>
      </c>
      <c r="I839" s="5">
        <f t="shared" si="56"/>
        <v>1</v>
      </c>
    </row>
    <row r="840" spans="1:9">
      <c r="A840">
        <v>839</v>
      </c>
      <c r="B840">
        <v>14</v>
      </c>
      <c r="C840">
        <v>9000</v>
      </c>
      <c r="D840">
        <v>8330</v>
      </c>
      <c r="E840" s="5">
        <f t="shared" si="53"/>
        <v>670</v>
      </c>
      <c r="F840" s="5">
        <f t="shared" si="54"/>
        <v>448900</v>
      </c>
      <c r="G840" s="6">
        <f>SQRT(SUM($F$2:F840)/A840)</f>
        <v>1146.6792205335098</v>
      </c>
      <c r="H840" s="5">
        <f t="shared" si="55"/>
        <v>1</v>
      </c>
      <c r="I840" s="5">
        <f t="shared" si="56"/>
        <v>1</v>
      </c>
    </row>
    <row r="841" spans="1:9">
      <c r="A841">
        <v>840</v>
      </c>
      <c r="B841">
        <v>15</v>
      </c>
      <c r="C841">
        <v>9000</v>
      </c>
      <c r="D841">
        <v>9833</v>
      </c>
      <c r="E841" s="5">
        <f t="shared" si="53"/>
        <v>833</v>
      </c>
      <c r="F841" s="5">
        <f t="shared" si="54"/>
        <v>693889</v>
      </c>
      <c r="G841" s="6">
        <f>SQRT(SUM($F$2:F841)/A841)</f>
        <v>1146.356823967626</v>
      </c>
      <c r="H841" s="5">
        <f t="shared" si="55"/>
        <v>1</v>
      </c>
      <c r="I841" s="5">
        <f t="shared" si="56"/>
        <v>1</v>
      </c>
    </row>
    <row r="842" spans="1:9">
      <c r="A842">
        <v>841</v>
      </c>
      <c r="B842">
        <v>13</v>
      </c>
      <c r="C842">
        <v>9000</v>
      </c>
      <c r="D842">
        <v>8105</v>
      </c>
      <c r="E842" s="5">
        <f t="shared" si="53"/>
        <v>895</v>
      </c>
      <c r="F842" s="5">
        <f t="shared" si="54"/>
        <v>801025</v>
      </c>
      <c r="G842" s="6">
        <f>SQRT(SUM($F$2:F842)/A842)</f>
        <v>1146.0906814813386</v>
      </c>
      <c r="H842" s="5">
        <f t="shared" si="55"/>
        <v>1</v>
      </c>
      <c r="I842" s="5">
        <f t="shared" si="56"/>
        <v>1</v>
      </c>
    </row>
    <row r="843" spans="1:9">
      <c r="A843">
        <v>842</v>
      </c>
      <c r="B843">
        <v>15</v>
      </c>
      <c r="C843">
        <v>9000</v>
      </c>
      <c r="D843">
        <v>9554</v>
      </c>
      <c r="E843" s="5">
        <f t="shared" si="53"/>
        <v>554</v>
      </c>
      <c r="F843" s="5">
        <f t="shared" si="54"/>
        <v>306916</v>
      </c>
      <c r="G843" s="6">
        <f>SQRT(SUM($F$2:F843)/A843)</f>
        <v>1145.5690087983526</v>
      </c>
      <c r="H843" s="5">
        <f t="shared" si="55"/>
        <v>1</v>
      </c>
      <c r="I843" s="5">
        <f t="shared" si="56"/>
        <v>1</v>
      </c>
    </row>
    <row r="844" spans="1:9">
      <c r="A844">
        <v>843</v>
      </c>
      <c r="B844">
        <v>13</v>
      </c>
      <c r="C844">
        <v>9000</v>
      </c>
      <c r="D844">
        <v>8290</v>
      </c>
      <c r="E844" s="5">
        <f t="shared" si="53"/>
        <v>710</v>
      </c>
      <c r="F844" s="5">
        <f t="shared" si="54"/>
        <v>504100</v>
      </c>
      <c r="G844" s="6">
        <f>SQRT(SUM($F$2:F844)/A844)</f>
        <v>1145.1504710838169</v>
      </c>
      <c r="H844" s="5">
        <f t="shared" si="55"/>
        <v>1</v>
      </c>
      <c r="I844" s="5">
        <f t="shared" si="56"/>
        <v>1</v>
      </c>
    </row>
    <row r="845" spans="1:9">
      <c r="A845">
        <v>844</v>
      </c>
      <c r="B845">
        <v>15</v>
      </c>
      <c r="C845">
        <v>9000</v>
      </c>
      <c r="D845">
        <v>9352</v>
      </c>
      <c r="E845" s="5">
        <f t="shared" si="53"/>
        <v>352</v>
      </c>
      <c r="F845" s="5">
        <f t="shared" si="54"/>
        <v>123904</v>
      </c>
      <c r="G845" s="6">
        <f>SQRT(SUM($F$2:F845)/A845)</f>
        <v>1144.5359984110451</v>
      </c>
      <c r="H845" s="5">
        <f t="shared" si="55"/>
        <v>1</v>
      </c>
      <c r="I845" s="5">
        <f t="shared" si="56"/>
        <v>1</v>
      </c>
    </row>
    <row r="846" spans="1:9">
      <c r="A846">
        <v>845</v>
      </c>
      <c r="B846">
        <v>13</v>
      </c>
      <c r="C846">
        <v>9000</v>
      </c>
      <c r="D846">
        <v>7983</v>
      </c>
      <c r="E846" s="5">
        <f t="shared" si="53"/>
        <v>1017</v>
      </c>
      <c r="F846" s="5">
        <f t="shared" si="54"/>
        <v>1034289</v>
      </c>
      <c r="G846" s="6">
        <f>SQRT(SUM($F$2:F846)/A846)</f>
        <v>1144.3934684586798</v>
      </c>
      <c r="H846" s="5">
        <f t="shared" si="55"/>
        <v>1</v>
      </c>
      <c r="I846" s="5">
        <f t="shared" si="56"/>
        <v>0</v>
      </c>
    </row>
    <row r="847" spans="1:9">
      <c r="A847">
        <v>846</v>
      </c>
      <c r="B847">
        <v>15</v>
      </c>
      <c r="C847">
        <v>9000</v>
      </c>
      <c r="D847">
        <v>9038</v>
      </c>
      <c r="E847" s="5">
        <f t="shared" si="53"/>
        <v>38</v>
      </c>
      <c r="F847" s="5">
        <f t="shared" si="54"/>
        <v>1444</v>
      </c>
      <c r="G847" s="6">
        <f>SQRT(SUM($F$2:F847)/A847)</f>
        <v>1143.7176591818236</v>
      </c>
      <c r="H847" s="5">
        <f t="shared" si="55"/>
        <v>1</v>
      </c>
      <c r="I847" s="5">
        <f t="shared" si="56"/>
        <v>1</v>
      </c>
    </row>
    <row r="848" spans="1:9">
      <c r="A848">
        <v>847</v>
      </c>
      <c r="B848">
        <v>14</v>
      </c>
      <c r="C848">
        <v>9000</v>
      </c>
      <c r="D848">
        <v>8683</v>
      </c>
      <c r="E848" s="5">
        <f t="shared" si="53"/>
        <v>317</v>
      </c>
      <c r="F848" s="5">
        <f t="shared" si="54"/>
        <v>100489</v>
      </c>
      <c r="G848" s="6">
        <f>SQRT(SUM($F$2:F848)/A848)</f>
        <v>1143.0941976697122</v>
      </c>
      <c r="H848" s="5">
        <f t="shared" si="55"/>
        <v>1</v>
      </c>
      <c r="I848" s="5">
        <f t="shared" si="56"/>
        <v>1</v>
      </c>
    </row>
    <row r="849" spans="1:9">
      <c r="A849">
        <v>848</v>
      </c>
      <c r="B849">
        <v>14</v>
      </c>
      <c r="C849">
        <v>9000</v>
      </c>
      <c r="D849">
        <v>8919</v>
      </c>
      <c r="E849" s="5">
        <f t="shared" si="53"/>
        <v>81</v>
      </c>
      <c r="F849" s="5">
        <f t="shared" si="54"/>
        <v>6561</v>
      </c>
      <c r="G849" s="6">
        <f>SQRT(SUM($F$2:F849)/A849)</f>
        <v>1142.4233908711051</v>
      </c>
      <c r="H849" s="5">
        <f t="shared" si="55"/>
        <v>1</v>
      </c>
      <c r="I849" s="5">
        <f t="shared" si="56"/>
        <v>1</v>
      </c>
    </row>
    <row r="850" spans="1:9">
      <c r="A850">
        <v>849</v>
      </c>
      <c r="B850">
        <v>14</v>
      </c>
      <c r="C850">
        <v>9000</v>
      </c>
      <c r="D850">
        <v>8577</v>
      </c>
      <c r="E850" s="5">
        <f t="shared" si="53"/>
        <v>423</v>
      </c>
      <c r="F850" s="5">
        <f t="shared" si="54"/>
        <v>178929</v>
      </c>
      <c r="G850" s="6">
        <f>SQRT(SUM($F$2:F850)/A850)</f>
        <v>1141.8426772750452</v>
      </c>
      <c r="H850" s="5">
        <f t="shared" si="55"/>
        <v>1</v>
      </c>
      <c r="I850" s="5">
        <f t="shared" si="56"/>
        <v>1</v>
      </c>
    </row>
    <row r="851" spans="1:9">
      <c r="A851">
        <v>850</v>
      </c>
      <c r="B851">
        <v>15</v>
      </c>
      <c r="C851">
        <v>9000</v>
      </c>
      <c r="D851">
        <v>9407</v>
      </c>
      <c r="E851" s="5">
        <f t="shared" si="53"/>
        <v>407</v>
      </c>
      <c r="F851" s="5">
        <f t="shared" si="54"/>
        <v>165649</v>
      </c>
      <c r="G851" s="6">
        <f>SQRT(SUM($F$2:F851)/A851)</f>
        <v>1141.2561907569993</v>
      </c>
      <c r="H851" s="5">
        <f t="shared" si="55"/>
        <v>1</v>
      </c>
      <c r="I851" s="5">
        <f t="shared" si="56"/>
        <v>1</v>
      </c>
    </row>
    <row r="852" spans="1:9">
      <c r="A852">
        <v>851</v>
      </c>
      <c r="B852">
        <v>14</v>
      </c>
      <c r="C852">
        <v>9000</v>
      </c>
      <c r="D852">
        <v>9218</v>
      </c>
      <c r="E852" s="5">
        <f t="shared" si="53"/>
        <v>218</v>
      </c>
      <c r="F852" s="5">
        <f t="shared" si="54"/>
        <v>47524</v>
      </c>
      <c r="G852" s="6">
        <f>SQRT(SUM($F$2:F852)/A852)</f>
        <v>1140.609935890416</v>
      </c>
      <c r="H852" s="5">
        <f t="shared" si="55"/>
        <v>1</v>
      </c>
      <c r="I852" s="5">
        <f t="shared" si="56"/>
        <v>1</v>
      </c>
    </row>
    <row r="853" spans="1:9">
      <c r="A853">
        <v>852</v>
      </c>
      <c r="B853">
        <v>14</v>
      </c>
      <c r="C853">
        <v>9000</v>
      </c>
      <c r="D853">
        <v>9176</v>
      </c>
      <c r="E853" s="5">
        <f t="shared" si="53"/>
        <v>176</v>
      </c>
      <c r="F853" s="5">
        <f t="shared" si="54"/>
        <v>30976</v>
      </c>
      <c r="G853" s="6">
        <f>SQRT(SUM($F$2:F853)/A853)</f>
        <v>1139.9563140258156</v>
      </c>
      <c r="H853" s="5">
        <f t="shared" si="55"/>
        <v>1</v>
      </c>
      <c r="I853" s="5">
        <f t="shared" si="56"/>
        <v>1</v>
      </c>
    </row>
    <row r="854" spans="1:9">
      <c r="A854">
        <v>853</v>
      </c>
      <c r="B854">
        <v>14</v>
      </c>
      <c r="C854">
        <v>9000</v>
      </c>
      <c r="D854">
        <v>8759</v>
      </c>
      <c r="E854" s="5">
        <f t="shared" si="53"/>
        <v>241</v>
      </c>
      <c r="F854" s="5">
        <f t="shared" si="54"/>
        <v>58081</v>
      </c>
      <c r="G854" s="6">
        <f>SQRT(SUM($F$2:F854)/A854)</f>
        <v>1139.3177963288615</v>
      </c>
      <c r="H854" s="5">
        <f t="shared" si="55"/>
        <v>1</v>
      </c>
      <c r="I854" s="5">
        <f t="shared" si="56"/>
        <v>1</v>
      </c>
    </row>
    <row r="855" spans="1:9">
      <c r="A855">
        <v>854</v>
      </c>
      <c r="B855">
        <v>14</v>
      </c>
      <c r="C855">
        <v>9000</v>
      </c>
      <c r="D855">
        <v>8757</v>
      </c>
      <c r="E855" s="5">
        <f t="shared" si="53"/>
        <v>243</v>
      </c>
      <c r="F855" s="5">
        <f t="shared" si="54"/>
        <v>59049</v>
      </c>
      <c r="G855" s="6">
        <f>SQRT(SUM($F$2:F855)/A855)</f>
        <v>1138.6809149166047</v>
      </c>
      <c r="H855" s="5">
        <f t="shared" si="55"/>
        <v>1</v>
      </c>
      <c r="I855" s="5">
        <f t="shared" si="56"/>
        <v>1</v>
      </c>
    </row>
    <row r="856" spans="1:9">
      <c r="A856">
        <v>855</v>
      </c>
      <c r="B856">
        <v>14</v>
      </c>
      <c r="C856">
        <v>9000</v>
      </c>
      <c r="D856">
        <v>9102</v>
      </c>
      <c r="E856" s="5">
        <f t="shared" si="53"/>
        <v>102</v>
      </c>
      <c r="F856" s="5">
        <f t="shared" si="54"/>
        <v>10404</v>
      </c>
      <c r="G856" s="6">
        <f>SQRT(SUM($F$2:F856)/A856)</f>
        <v>1138.0201711487896</v>
      </c>
      <c r="H856" s="5">
        <f t="shared" si="55"/>
        <v>1</v>
      </c>
      <c r="I856" s="5">
        <f t="shared" si="56"/>
        <v>1</v>
      </c>
    </row>
    <row r="857" spans="1:9">
      <c r="A857">
        <v>856</v>
      </c>
      <c r="B857">
        <v>14</v>
      </c>
      <c r="C857">
        <v>9000</v>
      </c>
      <c r="D857">
        <v>8652</v>
      </c>
      <c r="E857" s="5">
        <f t="shared" si="53"/>
        <v>348</v>
      </c>
      <c r="F857" s="5">
        <f t="shared" si="54"/>
        <v>121104</v>
      </c>
      <c r="G857" s="6">
        <f>SQRT(SUM($F$2:F857)/A857)</f>
        <v>1137.4174392344996</v>
      </c>
      <c r="H857" s="5">
        <f t="shared" si="55"/>
        <v>1</v>
      </c>
      <c r="I857" s="5">
        <f t="shared" si="56"/>
        <v>1</v>
      </c>
    </row>
    <row r="858" spans="1:9">
      <c r="A858">
        <v>857</v>
      </c>
      <c r="B858">
        <v>15</v>
      </c>
      <c r="C858">
        <v>9000</v>
      </c>
      <c r="D858">
        <v>9249</v>
      </c>
      <c r="E858" s="5">
        <f t="shared" si="53"/>
        <v>249</v>
      </c>
      <c r="F858" s="5">
        <f t="shared" si="54"/>
        <v>62001</v>
      </c>
      <c r="G858" s="6">
        <f>SQRT(SUM($F$2:F858)/A858)</f>
        <v>1136.7854625498358</v>
      </c>
      <c r="H858" s="5">
        <f t="shared" si="55"/>
        <v>1</v>
      </c>
      <c r="I858" s="5">
        <f t="shared" si="56"/>
        <v>1</v>
      </c>
    </row>
    <row r="859" spans="1:9">
      <c r="A859">
        <v>858</v>
      </c>
      <c r="B859">
        <v>14</v>
      </c>
      <c r="C859">
        <v>9000</v>
      </c>
      <c r="D859">
        <v>8800</v>
      </c>
      <c r="E859" s="5">
        <f t="shared" si="53"/>
        <v>200</v>
      </c>
      <c r="F859" s="5">
        <f t="shared" si="54"/>
        <v>40000</v>
      </c>
      <c r="G859" s="6">
        <f>SQRT(SUM($F$2:F859)/A859)</f>
        <v>1136.1433240047897</v>
      </c>
      <c r="H859" s="5">
        <f t="shared" si="55"/>
        <v>1</v>
      </c>
      <c r="I859" s="5">
        <f t="shared" si="56"/>
        <v>1</v>
      </c>
    </row>
    <row r="860" spans="1:9">
      <c r="A860">
        <v>859</v>
      </c>
      <c r="B860">
        <v>14</v>
      </c>
      <c r="C860">
        <v>9000</v>
      </c>
      <c r="D860">
        <v>8350</v>
      </c>
      <c r="E860" s="5">
        <f t="shared" si="53"/>
        <v>650</v>
      </c>
      <c r="F860" s="5">
        <f t="shared" si="54"/>
        <v>422500</v>
      </c>
      <c r="G860" s="6">
        <f>SQRT(SUM($F$2:F860)/A860)</f>
        <v>1135.6983758601204</v>
      </c>
      <c r="H860" s="5">
        <f t="shared" si="55"/>
        <v>1</v>
      </c>
      <c r="I860" s="5">
        <f t="shared" si="56"/>
        <v>1</v>
      </c>
    </row>
    <row r="861" spans="1:9">
      <c r="A861">
        <v>860</v>
      </c>
      <c r="B861">
        <v>15</v>
      </c>
      <c r="C861">
        <v>9000</v>
      </c>
      <c r="D861">
        <v>10155</v>
      </c>
      <c r="E861" s="5">
        <f t="shared" si="53"/>
        <v>1155</v>
      </c>
      <c r="F861" s="5">
        <f t="shared" si="54"/>
        <v>1334025</v>
      </c>
      <c r="G861" s="6">
        <f>SQRT(SUM($F$2:F861)/A861)</f>
        <v>1135.7210101035807</v>
      </c>
      <c r="H861" s="5">
        <f t="shared" si="55"/>
        <v>1</v>
      </c>
      <c r="I861" s="5">
        <f t="shared" si="56"/>
        <v>0</v>
      </c>
    </row>
    <row r="862" spans="1:9">
      <c r="A862">
        <v>861</v>
      </c>
      <c r="B862">
        <v>13</v>
      </c>
      <c r="C862">
        <v>9000</v>
      </c>
      <c r="D862">
        <v>8043</v>
      </c>
      <c r="E862" s="5">
        <f t="shared" si="53"/>
        <v>957</v>
      </c>
      <c r="F862" s="5">
        <f t="shared" si="54"/>
        <v>915849</v>
      </c>
      <c r="G862" s="6">
        <f>SQRT(SUM($F$2:F862)/A862)</f>
        <v>1135.5297525011536</v>
      </c>
      <c r="H862" s="5">
        <f t="shared" si="55"/>
        <v>1</v>
      </c>
      <c r="I862" s="5">
        <f t="shared" si="56"/>
        <v>0</v>
      </c>
    </row>
    <row r="863" spans="1:9">
      <c r="A863">
        <v>862</v>
      </c>
      <c r="B863">
        <v>15</v>
      </c>
      <c r="C863">
        <v>9000</v>
      </c>
      <c r="D863">
        <v>8987</v>
      </c>
      <c r="E863" s="5">
        <f t="shared" si="53"/>
        <v>13</v>
      </c>
      <c r="F863" s="5">
        <f t="shared" si="54"/>
        <v>169</v>
      </c>
      <c r="G863" s="6">
        <f>SQRT(SUM($F$2:F863)/A863)</f>
        <v>1134.8709877923193</v>
      </c>
      <c r="H863" s="5">
        <f t="shared" si="55"/>
        <v>1</v>
      </c>
      <c r="I863" s="5">
        <f t="shared" si="56"/>
        <v>1</v>
      </c>
    </row>
    <row r="864" spans="1:9">
      <c r="A864">
        <v>863</v>
      </c>
      <c r="B864">
        <v>14</v>
      </c>
      <c r="C864">
        <v>9000</v>
      </c>
      <c r="D864">
        <v>8991</v>
      </c>
      <c r="E864" s="5">
        <f t="shared" si="53"/>
        <v>9</v>
      </c>
      <c r="F864" s="5">
        <f t="shared" si="54"/>
        <v>81</v>
      </c>
      <c r="G864" s="6">
        <f>SQRT(SUM($F$2:F864)/A864)</f>
        <v>1134.2133235276647</v>
      </c>
      <c r="H864" s="5">
        <f t="shared" si="55"/>
        <v>1</v>
      </c>
      <c r="I864" s="5">
        <f t="shared" si="56"/>
        <v>1</v>
      </c>
    </row>
    <row r="865" spans="1:9">
      <c r="A865">
        <v>864</v>
      </c>
      <c r="B865">
        <v>14</v>
      </c>
      <c r="C865">
        <v>9000</v>
      </c>
      <c r="D865">
        <v>9105</v>
      </c>
      <c r="E865" s="5">
        <f t="shared" si="53"/>
        <v>105</v>
      </c>
      <c r="F865" s="5">
        <f t="shared" si="54"/>
        <v>11025</v>
      </c>
      <c r="G865" s="6">
        <f>SQRT(SUM($F$2:F865)/A865)</f>
        <v>1133.5623885156949</v>
      </c>
      <c r="H865" s="5">
        <f t="shared" si="55"/>
        <v>1</v>
      </c>
      <c r="I865" s="5">
        <f t="shared" si="56"/>
        <v>1</v>
      </c>
    </row>
    <row r="866" spans="1:9">
      <c r="A866">
        <v>865</v>
      </c>
      <c r="B866">
        <v>14</v>
      </c>
      <c r="C866">
        <v>9000</v>
      </c>
      <c r="D866">
        <v>9089</v>
      </c>
      <c r="E866" s="5">
        <f t="shared" si="53"/>
        <v>89</v>
      </c>
      <c r="F866" s="5">
        <f t="shared" si="54"/>
        <v>7921</v>
      </c>
      <c r="G866" s="6">
        <f>SQRT(SUM($F$2:F866)/A866)</f>
        <v>1132.9110021216688</v>
      </c>
      <c r="H866" s="5">
        <f t="shared" si="55"/>
        <v>1</v>
      </c>
      <c r="I866" s="5">
        <f t="shared" si="56"/>
        <v>1</v>
      </c>
    </row>
    <row r="867" spans="1:9">
      <c r="A867">
        <v>866</v>
      </c>
      <c r="B867">
        <v>14</v>
      </c>
      <c r="C867">
        <v>9000</v>
      </c>
      <c r="D867">
        <v>8243</v>
      </c>
      <c r="E867" s="5">
        <f t="shared" si="53"/>
        <v>757</v>
      </c>
      <c r="F867" s="5">
        <f t="shared" si="54"/>
        <v>573049</v>
      </c>
      <c r="G867" s="6">
        <f>SQRT(SUM($F$2:F867)/A867)</f>
        <v>1132.5488824468637</v>
      </c>
      <c r="H867" s="5">
        <f t="shared" si="55"/>
        <v>1</v>
      </c>
      <c r="I867" s="5">
        <f t="shared" si="56"/>
        <v>1</v>
      </c>
    </row>
    <row r="868" spans="1:9">
      <c r="A868">
        <v>867</v>
      </c>
      <c r="B868">
        <v>15</v>
      </c>
      <c r="C868">
        <v>9000</v>
      </c>
      <c r="D868">
        <v>8951</v>
      </c>
      <c r="E868" s="5">
        <f t="shared" si="53"/>
        <v>49</v>
      </c>
      <c r="F868" s="5">
        <f t="shared" si="54"/>
        <v>2401</v>
      </c>
      <c r="G868" s="6">
        <f>SQRT(SUM($F$2:F868)/A868)</f>
        <v>1131.8967749366018</v>
      </c>
      <c r="H868" s="5">
        <f t="shared" si="55"/>
        <v>1</v>
      </c>
      <c r="I868" s="5">
        <f t="shared" si="56"/>
        <v>1</v>
      </c>
    </row>
    <row r="869" spans="1:9">
      <c r="A869">
        <v>868</v>
      </c>
      <c r="B869">
        <v>15</v>
      </c>
      <c r="C869">
        <v>9000</v>
      </c>
      <c r="D869">
        <v>9892</v>
      </c>
      <c r="E869" s="5">
        <f t="shared" si="53"/>
        <v>892</v>
      </c>
      <c r="F869" s="5">
        <f t="shared" si="54"/>
        <v>795664</v>
      </c>
      <c r="G869" s="6">
        <f>SQRT(SUM($F$2:F869)/A869)</f>
        <v>1131.6496573607083</v>
      </c>
      <c r="H869" s="5">
        <f t="shared" si="55"/>
        <v>1</v>
      </c>
      <c r="I869" s="5">
        <f t="shared" si="56"/>
        <v>1</v>
      </c>
    </row>
    <row r="870" spans="1:9">
      <c r="A870">
        <v>869</v>
      </c>
      <c r="B870">
        <v>13</v>
      </c>
      <c r="C870">
        <v>9000</v>
      </c>
      <c r="D870">
        <v>8097</v>
      </c>
      <c r="E870" s="5">
        <f t="shared" si="53"/>
        <v>903</v>
      </c>
      <c r="F870" s="5">
        <f t="shared" si="54"/>
        <v>815409</v>
      </c>
      <c r="G870" s="6">
        <f>SQRT(SUM($F$2:F870)/A870)</f>
        <v>1131.4130959936608</v>
      </c>
      <c r="H870" s="5">
        <f t="shared" si="55"/>
        <v>1</v>
      </c>
      <c r="I870" s="5">
        <f t="shared" si="56"/>
        <v>0</v>
      </c>
    </row>
    <row r="871" spans="1:9">
      <c r="A871">
        <v>870</v>
      </c>
      <c r="B871">
        <v>15</v>
      </c>
      <c r="C871">
        <v>9000</v>
      </c>
      <c r="D871">
        <v>9214</v>
      </c>
      <c r="E871" s="5">
        <f t="shared" si="53"/>
        <v>214</v>
      </c>
      <c r="F871" s="5">
        <f t="shared" si="54"/>
        <v>45796</v>
      </c>
      <c r="G871" s="6">
        <f>SQRT(SUM($F$2:F871)/A871)</f>
        <v>1130.7859473042145</v>
      </c>
      <c r="H871" s="5">
        <f t="shared" si="55"/>
        <v>1</v>
      </c>
      <c r="I871" s="5">
        <f t="shared" si="56"/>
        <v>1</v>
      </c>
    </row>
    <row r="872" spans="1:9">
      <c r="A872">
        <v>871</v>
      </c>
      <c r="B872">
        <v>14</v>
      </c>
      <c r="C872">
        <v>9000</v>
      </c>
      <c r="D872">
        <v>8067</v>
      </c>
      <c r="E872" s="5">
        <f t="shared" si="53"/>
        <v>933</v>
      </c>
      <c r="F872" s="5">
        <f t="shared" si="54"/>
        <v>870489</v>
      </c>
      <c r="G872" s="6">
        <f>SQRT(SUM($F$2:F872)/A872)</f>
        <v>1130.5787083807379</v>
      </c>
      <c r="H872" s="5">
        <f t="shared" si="55"/>
        <v>1</v>
      </c>
      <c r="I872" s="5">
        <f t="shared" si="56"/>
        <v>0</v>
      </c>
    </row>
    <row r="873" spans="1:9">
      <c r="A873">
        <v>872</v>
      </c>
      <c r="B873">
        <v>16</v>
      </c>
      <c r="C873">
        <v>9000</v>
      </c>
      <c r="D873">
        <v>8885</v>
      </c>
      <c r="E873" s="5">
        <f t="shared" si="53"/>
        <v>115</v>
      </c>
      <c r="F873" s="5">
        <f t="shared" si="54"/>
        <v>13225</v>
      </c>
      <c r="G873" s="6">
        <f>SQRT(SUM($F$2:F873)/A873)</f>
        <v>1129.9369659491404</v>
      </c>
      <c r="H873" s="5">
        <f t="shared" si="55"/>
        <v>1</v>
      </c>
      <c r="I873" s="5">
        <f t="shared" si="56"/>
        <v>1</v>
      </c>
    </row>
    <row r="874" spans="1:9">
      <c r="A874">
        <v>873</v>
      </c>
      <c r="B874">
        <v>15</v>
      </c>
      <c r="C874">
        <v>9000</v>
      </c>
      <c r="D874">
        <v>9009</v>
      </c>
      <c r="E874" s="5">
        <f t="shared" si="53"/>
        <v>9</v>
      </c>
      <c r="F874" s="5">
        <f t="shared" si="54"/>
        <v>81</v>
      </c>
      <c r="G874" s="6">
        <f>SQRT(SUM($F$2:F874)/A874)</f>
        <v>1129.2896641142927</v>
      </c>
      <c r="H874" s="5">
        <f t="shared" si="55"/>
        <v>1</v>
      </c>
      <c r="I874" s="5">
        <f t="shared" si="56"/>
        <v>1</v>
      </c>
    </row>
    <row r="875" spans="1:9">
      <c r="A875">
        <v>874</v>
      </c>
      <c r="B875">
        <v>15</v>
      </c>
      <c r="C875">
        <v>9000</v>
      </c>
      <c r="D875">
        <v>9442</v>
      </c>
      <c r="E875" s="5">
        <f t="shared" si="53"/>
        <v>442</v>
      </c>
      <c r="F875" s="5">
        <f t="shared" si="54"/>
        <v>195364</v>
      </c>
      <c r="G875" s="6">
        <f>SQRT(SUM($F$2:F875)/A875)</f>
        <v>1128.7424534922877</v>
      </c>
      <c r="H875" s="5">
        <f t="shared" si="55"/>
        <v>1</v>
      </c>
      <c r="I875" s="5">
        <f t="shared" si="56"/>
        <v>1</v>
      </c>
    </row>
    <row r="876" spans="1:9">
      <c r="A876">
        <v>875</v>
      </c>
      <c r="B876">
        <v>14</v>
      </c>
      <c r="C876">
        <v>9000</v>
      </c>
      <c r="D876">
        <v>8491</v>
      </c>
      <c r="E876" s="5">
        <f t="shared" si="53"/>
        <v>509</v>
      </c>
      <c r="F876" s="5">
        <f t="shared" si="54"/>
        <v>259081</v>
      </c>
      <c r="G876" s="6">
        <f>SQRT(SUM($F$2:F876)/A876)</f>
        <v>1128.2285011721442</v>
      </c>
      <c r="H876" s="5">
        <f t="shared" si="55"/>
        <v>1</v>
      </c>
      <c r="I876" s="5">
        <f t="shared" si="56"/>
        <v>1</v>
      </c>
    </row>
    <row r="877" spans="1:9">
      <c r="A877">
        <v>876</v>
      </c>
      <c r="B877">
        <v>15</v>
      </c>
      <c r="C877">
        <v>9000</v>
      </c>
      <c r="D877">
        <v>9080</v>
      </c>
      <c r="E877" s="5">
        <f t="shared" si="53"/>
        <v>80</v>
      </c>
      <c r="F877" s="5">
        <f t="shared" si="54"/>
        <v>6400</v>
      </c>
      <c r="G877" s="6">
        <f>SQRT(SUM($F$2:F877)/A877)</f>
        <v>1127.5875908833668</v>
      </c>
      <c r="H877" s="5">
        <f t="shared" si="55"/>
        <v>1</v>
      </c>
      <c r="I877" s="5">
        <f t="shared" si="56"/>
        <v>1</v>
      </c>
    </row>
    <row r="878" spans="1:9">
      <c r="A878">
        <v>877</v>
      </c>
      <c r="B878">
        <v>15</v>
      </c>
      <c r="C878">
        <v>9000</v>
      </c>
      <c r="D878">
        <v>9448</v>
      </c>
      <c r="E878" s="5">
        <f t="shared" si="53"/>
        <v>448</v>
      </c>
      <c r="F878" s="5">
        <f t="shared" si="54"/>
        <v>200704</v>
      </c>
      <c r="G878" s="6">
        <f>SQRT(SUM($F$2:F878)/A878)</f>
        <v>1127.0460734891847</v>
      </c>
      <c r="H878" s="5">
        <f t="shared" si="55"/>
        <v>1</v>
      </c>
      <c r="I878" s="5">
        <f t="shared" si="56"/>
        <v>1</v>
      </c>
    </row>
    <row r="879" spans="1:9">
      <c r="A879">
        <v>878</v>
      </c>
      <c r="B879">
        <v>14</v>
      </c>
      <c r="C879">
        <v>9000</v>
      </c>
      <c r="D879">
        <v>7640</v>
      </c>
      <c r="E879" s="5">
        <f t="shared" si="53"/>
        <v>1360</v>
      </c>
      <c r="F879" s="5">
        <f t="shared" si="54"/>
        <v>1849600</v>
      </c>
      <c r="G879" s="6">
        <f>SQRT(SUM($F$2:F879)/A879)</f>
        <v>1127.3387792649662</v>
      </c>
      <c r="H879" s="5">
        <f t="shared" si="55"/>
        <v>1</v>
      </c>
      <c r="I879" s="5">
        <f t="shared" si="56"/>
        <v>0</v>
      </c>
    </row>
    <row r="880" spans="1:9">
      <c r="A880">
        <v>879</v>
      </c>
      <c r="B880">
        <v>16</v>
      </c>
      <c r="C880">
        <v>9000</v>
      </c>
      <c r="D880">
        <v>8859</v>
      </c>
      <c r="E880" s="5">
        <f t="shared" si="53"/>
        <v>141</v>
      </c>
      <c r="F880" s="5">
        <f t="shared" si="54"/>
        <v>19881</v>
      </c>
      <c r="G880" s="6">
        <f>SQRT(SUM($F$2:F880)/A880)</f>
        <v>1126.7073718168726</v>
      </c>
      <c r="H880" s="5">
        <f t="shared" si="55"/>
        <v>1</v>
      </c>
      <c r="I880" s="5">
        <f t="shared" si="56"/>
        <v>1</v>
      </c>
    </row>
    <row r="881" spans="1:9">
      <c r="A881">
        <v>880</v>
      </c>
      <c r="B881">
        <v>15</v>
      </c>
      <c r="C881">
        <v>9000</v>
      </c>
      <c r="D881">
        <v>9428</v>
      </c>
      <c r="E881" s="5">
        <f t="shared" si="53"/>
        <v>428</v>
      </c>
      <c r="F881" s="5">
        <f t="shared" si="54"/>
        <v>183184</v>
      </c>
      <c r="G881" s="6">
        <f>SQRT(SUM($F$2:F881)/A881)</f>
        <v>1126.1594409157331</v>
      </c>
      <c r="H881" s="5">
        <f t="shared" si="55"/>
        <v>1</v>
      </c>
      <c r="I881" s="5">
        <f t="shared" si="56"/>
        <v>1</v>
      </c>
    </row>
    <row r="882" spans="1:9">
      <c r="A882">
        <v>881</v>
      </c>
      <c r="B882">
        <v>14</v>
      </c>
      <c r="C882">
        <v>9000</v>
      </c>
      <c r="D882">
        <v>5625</v>
      </c>
      <c r="E882" s="5">
        <f t="shared" si="53"/>
        <v>3375</v>
      </c>
      <c r="F882" s="5">
        <f t="shared" si="54"/>
        <v>11390625</v>
      </c>
      <c r="G882" s="6">
        <f>SQRT(SUM($F$2:F882)/A882)</f>
        <v>1131.2491970134049</v>
      </c>
      <c r="H882" s="5">
        <f t="shared" si="55"/>
        <v>0</v>
      </c>
      <c r="I882" s="5">
        <f t="shared" si="56"/>
        <v>0</v>
      </c>
    </row>
    <row r="883" spans="1:9">
      <c r="A883">
        <v>882</v>
      </c>
      <c r="B883">
        <v>19</v>
      </c>
      <c r="C883">
        <v>9000</v>
      </c>
      <c r="D883">
        <v>9710</v>
      </c>
      <c r="E883" s="5">
        <f t="shared" si="53"/>
        <v>710</v>
      </c>
      <c r="F883" s="5">
        <f t="shared" si="54"/>
        <v>504100</v>
      </c>
      <c r="G883" s="6">
        <f>SQRT(SUM($F$2:F883)/A883)</f>
        <v>1130.8604478925372</v>
      </c>
      <c r="H883" s="5">
        <f t="shared" si="55"/>
        <v>1</v>
      </c>
      <c r="I883" s="5">
        <f t="shared" si="56"/>
        <v>1</v>
      </c>
    </row>
    <row r="884" spans="1:9">
      <c r="A884">
        <v>883</v>
      </c>
      <c r="B884">
        <v>15</v>
      </c>
      <c r="C884">
        <v>9000</v>
      </c>
      <c r="D884">
        <v>8912</v>
      </c>
      <c r="E884" s="5">
        <f t="shared" si="53"/>
        <v>88</v>
      </c>
      <c r="F884" s="5">
        <f t="shared" si="54"/>
        <v>7744</v>
      </c>
      <c r="G884" s="6">
        <f>SQRT(SUM($F$2:F884)/A884)</f>
        <v>1130.2237949747239</v>
      </c>
      <c r="H884" s="5">
        <f t="shared" si="55"/>
        <v>1</v>
      </c>
      <c r="I884" s="5">
        <f t="shared" si="56"/>
        <v>1</v>
      </c>
    </row>
    <row r="885" spans="1:9">
      <c r="A885">
        <v>884</v>
      </c>
      <c r="B885">
        <v>16</v>
      </c>
      <c r="C885">
        <v>9000</v>
      </c>
      <c r="D885">
        <v>8956</v>
      </c>
      <c r="E885" s="5">
        <f t="shared" si="53"/>
        <v>44</v>
      </c>
      <c r="F885" s="5">
        <f t="shared" si="54"/>
        <v>1936</v>
      </c>
      <c r="G885" s="6">
        <f>SQRT(SUM($F$2:F885)/A885)</f>
        <v>1129.5853166346317</v>
      </c>
      <c r="H885" s="5">
        <f t="shared" si="55"/>
        <v>1</v>
      </c>
      <c r="I885" s="5">
        <f t="shared" si="56"/>
        <v>1</v>
      </c>
    </row>
    <row r="886" spans="1:9">
      <c r="A886">
        <v>885</v>
      </c>
      <c r="B886">
        <v>16</v>
      </c>
      <c r="C886">
        <v>9000</v>
      </c>
      <c r="D886">
        <v>9775</v>
      </c>
      <c r="E886" s="5">
        <f t="shared" si="53"/>
        <v>775</v>
      </c>
      <c r="F886" s="5">
        <f t="shared" si="54"/>
        <v>600625</v>
      </c>
      <c r="G886" s="6">
        <f>SQRT(SUM($F$2:F886)/A886)</f>
        <v>1129.2474900504808</v>
      </c>
      <c r="H886" s="5">
        <f t="shared" si="55"/>
        <v>1</v>
      </c>
      <c r="I886" s="5">
        <f t="shared" si="56"/>
        <v>1</v>
      </c>
    </row>
    <row r="887" spans="1:9">
      <c r="A887">
        <v>886</v>
      </c>
      <c r="B887">
        <v>14</v>
      </c>
      <c r="C887">
        <v>9000</v>
      </c>
      <c r="D887">
        <v>8206</v>
      </c>
      <c r="E887" s="5">
        <f t="shared" si="53"/>
        <v>794</v>
      </c>
      <c r="F887" s="5">
        <f t="shared" si="54"/>
        <v>630436</v>
      </c>
      <c r="G887" s="6">
        <f>SQRT(SUM($F$2:F887)/A887)</f>
        <v>1128.9252275063329</v>
      </c>
      <c r="H887" s="5">
        <f t="shared" si="55"/>
        <v>1</v>
      </c>
      <c r="I887" s="5">
        <f t="shared" si="56"/>
        <v>1</v>
      </c>
    </row>
    <row r="888" spans="1:9">
      <c r="A888">
        <v>887</v>
      </c>
      <c r="B888">
        <v>16</v>
      </c>
      <c r="C888">
        <v>9000</v>
      </c>
      <c r="D888">
        <v>9110</v>
      </c>
      <c r="E888" s="5">
        <f t="shared" si="53"/>
        <v>110</v>
      </c>
      <c r="F888" s="5">
        <f t="shared" si="54"/>
        <v>12100</v>
      </c>
      <c r="G888" s="6">
        <f>SQRT(SUM($F$2:F888)/A888)</f>
        <v>1128.2947205073194</v>
      </c>
      <c r="H888" s="5">
        <f t="shared" si="55"/>
        <v>1</v>
      </c>
      <c r="I888" s="5">
        <f t="shared" si="56"/>
        <v>1</v>
      </c>
    </row>
    <row r="889" spans="1:9">
      <c r="A889">
        <v>888</v>
      </c>
      <c r="B889">
        <v>15</v>
      </c>
      <c r="C889">
        <v>9000</v>
      </c>
      <c r="D889">
        <v>8792</v>
      </c>
      <c r="E889" s="5">
        <f t="shared" si="53"/>
        <v>208</v>
      </c>
      <c r="F889" s="5">
        <f t="shared" si="54"/>
        <v>43264</v>
      </c>
      <c r="G889" s="6">
        <f>SQRT(SUM($F$2:F889)/A889)</f>
        <v>1127.6808428510849</v>
      </c>
      <c r="H889" s="5">
        <f t="shared" si="55"/>
        <v>1</v>
      </c>
      <c r="I889" s="5">
        <f t="shared" si="56"/>
        <v>1</v>
      </c>
    </row>
    <row r="890" spans="1:9">
      <c r="A890">
        <v>889</v>
      </c>
      <c r="B890">
        <v>16</v>
      </c>
      <c r="C890">
        <v>9000</v>
      </c>
      <c r="D890">
        <v>8521</v>
      </c>
      <c r="E890" s="5">
        <f t="shared" si="53"/>
        <v>479</v>
      </c>
      <c r="F890" s="5">
        <f t="shared" si="54"/>
        <v>229441</v>
      </c>
      <c r="G890" s="6">
        <f>SQRT(SUM($F$2:F890)/A890)</f>
        <v>1127.1609152684839</v>
      </c>
      <c r="H890" s="5">
        <f t="shared" si="55"/>
        <v>1</v>
      </c>
      <c r="I890" s="5">
        <f t="shared" si="56"/>
        <v>1</v>
      </c>
    </row>
    <row r="891" spans="1:9">
      <c r="A891">
        <v>890</v>
      </c>
      <c r="B891">
        <v>16</v>
      </c>
      <c r="C891">
        <v>9000</v>
      </c>
      <c r="D891">
        <v>9602</v>
      </c>
      <c r="E891" s="5">
        <f t="shared" si="53"/>
        <v>602</v>
      </c>
      <c r="F891" s="5">
        <f t="shared" si="54"/>
        <v>362404</v>
      </c>
      <c r="G891" s="6">
        <f>SQRT(SUM($F$2:F891)/A891)</f>
        <v>1126.7082167171666</v>
      </c>
      <c r="H891" s="5">
        <f t="shared" si="55"/>
        <v>1</v>
      </c>
      <c r="I891" s="5">
        <f t="shared" si="56"/>
        <v>1</v>
      </c>
    </row>
    <row r="892" spans="1:9">
      <c r="A892">
        <v>891</v>
      </c>
      <c r="B892">
        <v>15</v>
      </c>
      <c r="C892">
        <v>9000</v>
      </c>
      <c r="D892">
        <v>9127</v>
      </c>
      <c r="E892" s="5">
        <f t="shared" si="53"/>
        <v>127</v>
      </c>
      <c r="F892" s="5">
        <f t="shared" si="54"/>
        <v>16129</v>
      </c>
      <c r="G892" s="6">
        <f>SQRT(SUM($F$2:F892)/A892)</f>
        <v>1126.0838051634537</v>
      </c>
      <c r="H892" s="5">
        <f t="shared" si="55"/>
        <v>1</v>
      </c>
      <c r="I892" s="5">
        <f t="shared" si="56"/>
        <v>1</v>
      </c>
    </row>
    <row r="893" spans="1:9">
      <c r="A893">
        <v>892</v>
      </c>
      <c r="B893">
        <v>15</v>
      </c>
      <c r="C893">
        <v>9000</v>
      </c>
      <c r="D893">
        <v>8651</v>
      </c>
      <c r="E893" s="5">
        <f t="shared" si="53"/>
        <v>349</v>
      </c>
      <c r="F893" s="5">
        <f t="shared" si="54"/>
        <v>121801</v>
      </c>
      <c r="G893" s="6">
        <f>SQRT(SUM($F$2:F893)/A893)</f>
        <v>1125.5130773206197</v>
      </c>
      <c r="H893" s="5">
        <f t="shared" si="55"/>
        <v>1</v>
      </c>
      <c r="I893" s="5">
        <f t="shared" si="56"/>
        <v>1</v>
      </c>
    </row>
    <row r="894" spans="1:9">
      <c r="A894">
        <v>893</v>
      </c>
      <c r="B894">
        <v>16</v>
      </c>
      <c r="C894">
        <v>9000</v>
      </c>
      <c r="D894">
        <v>9464</v>
      </c>
      <c r="E894" s="5">
        <f t="shared" si="53"/>
        <v>464</v>
      </c>
      <c r="F894" s="5">
        <f t="shared" si="54"/>
        <v>215296</v>
      </c>
      <c r="G894" s="6">
        <f>SQRT(SUM($F$2:F894)/A894)</f>
        <v>1124.9898727925413</v>
      </c>
      <c r="H894" s="5">
        <f t="shared" si="55"/>
        <v>1</v>
      </c>
      <c r="I894" s="5">
        <f t="shared" si="56"/>
        <v>1</v>
      </c>
    </row>
    <row r="895" spans="1:9">
      <c r="A895">
        <v>894</v>
      </c>
      <c r="B895">
        <v>15</v>
      </c>
      <c r="C895">
        <v>9000</v>
      </c>
      <c r="D895">
        <v>8196</v>
      </c>
      <c r="E895" s="5">
        <f t="shared" si="53"/>
        <v>804</v>
      </c>
      <c r="F895" s="5">
        <f t="shared" si="54"/>
        <v>646416</v>
      </c>
      <c r="G895" s="6">
        <f>SQRT(SUM($F$2:F895)/A895)</f>
        <v>1124.6820047714925</v>
      </c>
      <c r="H895" s="5">
        <f t="shared" si="55"/>
        <v>1</v>
      </c>
      <c r="I895" s="5">
        <f t="shared" si="56"/>
        <v>1</v>
      </c>
    </row>
    <row r="896" spans="1:9">
      <c r="A896">
        <v>895</v>
      </c>
      <c r="B896">
        <v>16</v>
      </c>
      <c r="C896">
        <v>9000</v>
      </c>
      <c r="D896">
        <v>9473</v>
      </c>
      <c r="E896" s="5">
        <f t="shared" si="53"/>
        <v>473</v>
      </c>
      <c r="F896" s="5">
        <f t="shared" si="54"/>
        <v>223729</v>
      </c>
      <c r="G896" s="6">
        <f>SQRT(SUM($F$2:F896)/A896)</f>
        <v>1124.1647039309878</v>
      </c>
      <c r="H896" s="5">
        <f t="shared" si="55"/>
        <v>1</v>
      </c>
      <c r="I896" s="5">
        <f t="shared" si="56"/>
        <v>1</v>
      </c>
    </row>
    <row r="897" spans="1:9">
      <c r="A897">
        <v>896</v>
      </c>
      <c r="B897">
        <v>15</v>
      </c>
      <c r="C897">
        <v>9000</v>
      </c>
      <c r="D897">
        <v>9323</v>
      </c>
      <c r="E897" s="5">
        <f t="shared" si="53"/>
        <v>323</v>
      </c>
      <c r="F897" s="5">
        <f t="shared" si="54"/>
        <v>104329</v>
      </c>
      <c r="G897" s="6">
        <f>SQRT(SUM($F$2:F897)/A897)</f>
        <v>1123.5890214230913</v>
      </c>
      <c r="H897" s="5">
        <f t="shared" si="55"/>
        <v>1</v>
      </c>
      <c r="I897" s="5">
        <f t="shared" si="56"/>
        <v>1</v>
      </c>
    </row>
    <row r="898" spans="1:9">
      <c r="A898">
        <v>897</v>
      </c>
      <c r="B898">
        <v>15</v>
      </c>
      <c r="C898">
        <v>9000</v>
      </c>
      <c r="D898">
        <v>8580</v>
      </c>
      <c r="E898" s="5">
        <f t="shared" si="53"/>
        <v>420</v>
      </c>
      <c r="F898" s="5">
        <f t="shared" si="54"/>
        <v>176400</v>
      </c>
      <c r="G898" s="6">
        <f>SQRT(SUM($F$2:F898)/A898)</f>
        <v>1123.0501005868321</v>
      </c>
      <c r="H898" s="5">
        <f t="shared" si="55"/>
        <v>1</v>
      </c>
      <c r="I898" s="5">
        <f t="shared" si="56"/>
        <v>1</v>
      </c>
    </row>
    <row r="899" spans="1:9">
      <c r="A899">
        <v>898</v>
      </c>
      <c r="B899">
        <v>16</v>
      </c>
      <c r="C899">
        <v>9000</v>
      </c>
      <c r="D899">
        <v>9826</v>
      </c>
      <c r="E899" s="5">
        <f t="shared" ref="E899:E962" si="57">ABS(C899-D899)</f>
        <v>826</v>
      </c>
      <c r="F899" s="5">
        <f t="shared" ref="F899:F962" si="58">POWER(E899,2)</f>
        <v>682276</v>
      </c>
      <c r="G899" s="6">
        <f>SQRT(SUM($F$2:F899)/A899)</f>
        <v>1122.7630207074649</v>
      </c>
      <c r="H899" s="5">
        <f t="shared" ref="H899:H962" si="59">IF(ABS(E899)/C899&gt;0.2,0,1)</f>
        <v>1</v>
      </c>
      <c r="I899" s="5">
        <f t="shared" ref="I899:I962" si="60">IF(ABS(E899)/C899&gt;0.1,0,1)</f>
        <v>1</v>
      </c>
    </row>
    <row r="900" spans="1:9">
      <c r="A900">
        <v>899</v>
      </c>
      <c r="B900">
        <v>14</v>
      </c>
      <c r="C900">
        <v>9000</v>
      </c>
      <c r="D900">
        <v>8473</v>
      </c>
      <c r="E900" s="5">
        <f t="shared" si="57"/>
        <v>527</v>
      </c>
      <c r="F900" s="5">
        <f t="shared" si="58"/>
        <v>277729</v>
      </c>
      <c r="G900" s="6">
        <f>SQRT(SUM($F$2:F900)/A900)</f>
        <v>1122.2760402714196</v>
      </c>
      <c r="H900" s="5">
        <f t="shared" si="59"/>
        <v>1</v>
      </c>
      <c r="I900" s="5">
        <f t="shared" si="60"/>
        <v>1</v>
      </c>
    </row>
    <row r="901" spans="1:9">
      <c r="A901">
        <v>900</v>
      </c>
      <c r="B901">
        <v>16</v>
      </c>
      <c r="C901">
        <v>9000</v>
      </c>
      <c r="D901">
        <v>9169</v>
      </c>
      <c r="E901" s="5">
        <f t="shared" si="57"/>
        <v>169</v>
      </c>
      <c r="F901" s="5">
        <f t="shared" si="58"/>
        <v>28561</v>
      </c>
      <c r="G901" s="6">
        <f>SQRT(SUM($F$2:F901)/A901)</f>
        <v>1121.6665264982578</v>
      </c>
      <c r="H901" s="5">
        <f t="shared" si="59"/>
        <v>1</v>
      </c>
      <c r="I901" s="5">
        <f t="shared" si="60"/>
        <v>1</v>
      </c>
    </row>
    <row r="902" spans="1:9">
      <c r="A902">
        <v>901</v>
      </c>
      <c r="B902">
        <v>15</v>
      </c>
      <c r="C902">
        <v>5000</v>
      </c>
      <c r="D902">
        <v>9794</v>
      </c>
      <c r="E902" s="5">
        <f t="shared" si="57"/>
        <v>4794</v>
      </c>
      <c r="F902" s="5">
        <f t="shared" si="58"/>
        <v>22982436</v>
      </c>
      <c r="G902" s="6">
        <f>SQRT(SUM($F$2:F902)/A902)</f>
        <v>1132.3635094999568</v>
      </c>
      <c r="H902" s="5">
        <f t="shared" si="59"/>
        <v>0</v>
      </c>
      <c r="I902" s="5">
        <f t="shared" si="60"/>
        <v>0</v>
      </c>
    </row>
    <row r="903" spans="1:9">
      <c r="A903">
        <v>902</v>
      </c>
      <c r="B903">
        <v>9</v>
      </c>
      <c r="C903">
        <v>5000</v>
      </c>
      <c r="D903">
        <v>5580</v>
      </c>
      <c r="E903" s="5">
        <f t="shared" si="57"/>
        <v>580</v>
      </c>
      <c r="F903" s="5">
        <f t="shared" si="58"/>
        <v>336400</v>
      </c>
      <c r="G903" s="6">
        <f>SQRT(SUM($F$2:F903)/A903)</f>
        <v>1131.9003960825726</v>
      </c>
      <c r="H903" s="5">
        <f t="shared" si="59"/>
        <v>1</v>
      </c>
      <c r="I903" s="5">
        <f t="shared" si="60"/>
        <v>0</v>
      </c>
    </row>
    <row r="904" spans="1:9">
      <c r="A904">
        <v>903</v>
      </c>
      <c r="B904">
        <v>14</v>
      </c>
      <c r="C904">
        <v>5000</v>
      </c>
      <c r="D904">
        <v>7972</v>
      </c>
      <c r="E904" s="5">
        <f t="shared" si="57"/>
        <v>2972</v>
      </c>
      <c r="F904" s="5">
        <f t="shared" si="58"/>
        <v>8832784</v>
      </c>
      <c r="G904" s="6">
        <f>SQRT(SUM($F$2:F904)/A904)</f>
        <v>1135.588517591036</v>
      </c>
      <c r="H904" s="5">
        <f t="shared" si="59"/>
        <v>0</v>
      </c>
      <c r="I904" s="5">
        <f t="shared" si="60"/>
        <v>0</v>
      </c>
    </row>
    <row r="905" spans="1:9">
      <c r="A905">
        <v>904</v>
      </c>
      <c r="B905">
        <v>10</v>
      </c>
      <c r="C905">
        <v>5000</v>
      </c>
      <c r="D905">
        <v>5926</v>
      </c>
      <c r="E905" s="5">
        <f t="shared" si="57"/>
        <v>926</v>
      </c>
      <c r="F905" s="5">
        <f t="shared" si="58"/>
        <v>857476</v>
      </c>
      <c r="G905" s="6">
        <f>SQRT(SUM($F$2:F905)/A905)</f>
        <v>1135.3780475421868</v>
      </c>
      <c r="H905" s="5">
        <f t="shared" si="59"/>
        <v>1</v>
      </c>
      <c r="I905" s="5">
        <f t="shared" si="60"/>
        <v>0</v>
      </c>
    </row>
    <row r="906" spans="1:9">
      <c r="A906">
        <v>905</v>
      </c>
      <c r="B906">
        <v>12</v>
      </c>
      <c r="C906">
        <v>5000</v>
      </c>
      <c r="D906">
        <v>7478</v>
      </c>
      <c r="E906" s="5">
        <f t="shared" si="57"/>
        <v>2478</v>
      </c>
      <c r="F906" s="5">
        <f t="shared" si="58"/>
        <v>6140484</v>
      </c>
      <c r="G906" s="6">
        <f>SQRT(SUM($F$2:F906)/A906)</f>
        <v>1137.7363379033102</v>
      </c>
      <c r="H906" s="5">
        <f t="shared" si="59"/>
        <v>0</v>
      </c>
      <c r="I906" s="5">
        <f t="shared" si="60"/>
        <v>0</v>
      </c>
    </row>
    <row r="907" spans="1:9">
      <c r="A907">
        <v>906</v>
      </c>
      <c r="B907">
        <v>10</v>
      </c>
      <c r="C907">
        <v>5000</v>
      </c>
      <c r="D907">
        <v>5962</v>
      </c>
      <c r="E907" s="5">
        <f t="shared" si="57"/>
        <v>962</v>
      </c>
      <c r="F907" s="5">
        <f t="shared" si="58"/>
        <v>925444</v>
      </c>
      <c r="G907" s="6">
        <f>SQRT(SUM($F$2:F907)/A907)</f>
        <v>1137.5573347508575</v>
      </c>
      <c r="H907" s="5">
        <f t="shared" si="59"/>
        <v>1</v>
      </c>
      <c r="I907" s="5">
        <f t="shared" si="60"/>
        <v>0</v>
      </c>
    </row>
    <row r="908" spans="1:9">
      <c r="A908">
        <v>907</v>
      </c>
      <c r="B908">
        <v>11</v>
      </c>
      <c r="C908">
        <v>5000</v>
      </c>
      <c r="D908">
        <v>6383</v>
      </c>
      <c r="E908" s="5">
        <f t="shared" si="57"/>
        <v>1383</v>
      </c>
      <c r="F908" s="5">
        <f t="shared" si="58"/>
        <v>1912689</v>
      </c>
      <c r="G908" s="6">
        <f>SQRT(SUM($F$2:F908)/A908)</f>
        <v>1137.8570983147338</v>
      </c>
      <c r="H908" s="5">
        <f t="shared" si="59"/>
        <v>0</v>
      </c>
      <c r="I908" s="5">
        <f t="shared" si="60"/>
        <v>0</v>
      </c>
    </row>
    <row r="909" spans="1:9">
      <c r="A909">
        <v>908</v>
      </c>
      <c r="B909">
        <v>11</v>
      </c>
      <c r="C909">
        <v>5000</v>
      </c>
      <c r="D909">
        <v>6349</v>
      </c>
      <c r="E909" s="5">
        <f t="shared" si="57"/>
        <v>1349</v>
      </c>
      <c r="F909" s="5">
        <f t="shared" si="58"/>
        <v>1819801</v>
      </c>
      <c r="G909" s="6">
        <f>SQRT(SUM($F$2:F909)/A909)</f>
        <v>1138.1111811122353</v>
      </c>
      <c r="H909" s="5">
        <f t="shared" si="59"/>
        <v>0</v>
      </c>
      <c r="I909" s="5">
        <f t="shared" si="60"/>
        <v>0</v>
      </c>
    </row>
    <row r="910" spans="1:9">
      <c r="A910">
        <v>909</v>
      </c>
      <c r="B910">
        <v>10</v>
      </c>
      <c r="C910">
        <v>5000</v>
      </c>
      <c r="D910">
        <v>5840</v>
      </c>
      <c r="E910" s="5">
        <f t="shared" si="57"/>
        <v>840</v>
      </c>
      <c r="F910" s="5">
        <f t="shared" si="58"/>
        <v>705600</v>
      </c>
      <c r="G910" s="6">
        <f>SQRT(SUM($F$2:F910)/A910)</f>
        <v>1137.8261417865619</v>
      </c>
      <c r="H910" s="5">
        <f t="shared" si="59"/>
        <v>1</v>
      </c>
      <c r="I910" s="5">
        <f t="shared" si="60"/>
        <v>0</v>
      </c>
    </row>
    <row r="911" spans="1:9">
      <c r="A911">
        <v>910</v>
      </c>
      <c r="B911">
        <v>11</v>
      </c>
      <c r="C911">
        <v>5000</v>
      </c>
      <c r="D911">
        <v>6679</v>
      </c>
      <c r="E911" s="5">
        <f t="shared" si="57"/>
        <v>1679</v>
      </c>
      <c r="F911" s="5">
        <f t="shared" si="58"/>
        <v>2819041</v>
      </c>
      <c r="G911" s="6">
        <f>SQRT(SUM($F$2:F911)/A911)</f>
        <v>1138.5620254137609</v>
      </c>
      <c r="H911" s="5">
        <f t="shared" si="59"/>
        <v>0</v>
      </c>
      <c r="I911" s="5">
        <f t="shared" si="60"/>
        <v>0</v>
      </c>
    </row>
    <row r="912" spans="1:9">
      <c r="A912">
        <v>911</v>
      </c>
      <c r="B912">
        <v>9</v>
      </c>
      <c r="C912">
        <v>5000</v>
      </c>
      <c r="D912">
        <v>5433</v>
      </c>
      <c r="E912" s="5">
        <f t="shared" si="57"/>
        <v>433</v>
      </c>
      <c r="F912" s="5">
        <f t="shared" si="58"/>
        <v>187489</v>
      </c>
      <c r="G912" s="6">
        <f>SQRT(SUM($F$2:F912)/A912)</f>
        <v>1138.0273827197559</v>
      </c>
      <c r="H912" s="5">
        <f t="shared" si="59"/>
        <v>1</v>
      </c>
      <c r="I912" s="5">
        <f t="shared" si="60"/>
        <v>1</v>
      </c>
    </row>
    <row r="913" spans="1:9">
      <c r="A913">
        <v>912</v>
      </c>
      <c r="B913">
        <v>11</v>
      </c>
      <c r="C913">
        <v>5000</v>
      </c>
      <c r="D913">
        <v>6783</v>
      </c>
      <c r="E913" s="5">
        <f t="shared" si="57"/>
        <v>1783</v>
      </c>
      <c r="F913" s="5">
        <f t="shared" si="58"/>
        <v>3179089</v>
      </c>
      <c r="G913" s="6">
        <f>SQRT(SUM($F$2:F913)/A913)</f>
        <v>1138.9346312665384</v>
      </c>
      <c r="H913" s="5">
        <f t="shared" si="59"/>
        <v>0</v>
      </c>
      <c r="I913" s="5">
        <f t="shared" si="60"/>
        <v>0</v>
      </c>
    </row>
    <row r="914" spans="1:9">
      <c r="A914">
        <v>913</v>
      </c>
      <c r="B914">
        <v>9</v>
      </c>
      <c r="C914">
        <v>5000</v>
      </c>
      <c r="D914">
        <v>5392</v>
      </c>
      <c r="E914" s="5">
        <f t="shared" si="57"/>
        <v>392</v>
      </c>
      <c r="F914" s="5">
        <f t="shared" si="58"/>
        <v>153664</v>
      </c>
      <c r="G914" s="6">
        <f>SQRT(SUM($F$2:F914)/A914)</f>
        <v>1138.3846542489814</v>
      </c>
      <c r="H914" s="5">
        <f t="shared" si="59"/>
        <v>1</v>
      </c>
      <c r="I914" s="5">
        <f t="shared" si="60"/>
        <v>1</v>
      </c>
    </row>
    <row r="915" spans="1:9">
      <c r="A915">
        <v>914</v>
      </c>
      <c r="B915">
        <v>10</v>
      </c>
      <c r="C915">
        <v>5000</v>
      </c>
      <c r="D915">
        <v>5899</v>
      </c>
      <c r="E915" s="5">
        <f t="shared" si="57"/>
        <v>899</v>
      </c>
      <c r="F915" s="5">
        <f t="shared" si="58"/>
        <v>808201</v>
      </c>
      <c r="G915" s="6">
        <f>SQRT(SUM($F$2:F915)/A915)</f>
        <v>1138.1502589882457</v>
      </c>
      <c r="H915" s="5">
        <f t="shared" si="59"/>
        <v>1</v>
      </c>
      <c r="I915" s="5">
        <f t="shared" si="60"/>
        <v>0</v>
      </c>
    </row>
    <row r="916" spans="1:9">
      <c r="A916">
        <v>915</v>
      </c>
      <c r="B916">
        <v>9</v>
      </c>
      <c r="C916">
        <v>5000</v>
      </c>
      <c r="D916">
        <v>6150</v>
      </c>
      <c r="E916" s="5">
        <f t="shared" si="57"/>
        <v>1150</v>
      </c>
      <c r="F916" s="5">
        <f t="shared" si="58"/>
        <v>1322500</v>
      </c>
      <c r="G916" s="6">
        <f>SQRT(SUM($F$2:F916)/A916)</f>
        <v>1138.1632768670509</v>
      </c>
      <c r="H916" s="5">
        <f t="shared" si="59"/>
        <v>0</v>
      </c>
      <c r="I916" s="5">
        <f t="shared" si="60"/>
        <v>0</v>
      </c>
    </row>
    <row r="917" spans="1:9">
      <c r="A917">
        <v>916</v>
      </c>
      <c r="B917">
        <v>9</v>
      </c>
      <c r="C917">
        <v>5000</v>
      </c>
      <c r="D917">
        <v>6219</v>
      </c>
      <c r="E917" s="5">
        <f t="shared" si="57"/>
        <v>1219</v>
      </c>
      <c r="F917" s="5">
        <f t="shared" si="58"/>
        <v>1485961</v>
      </c>
      <c r="G917" s="6">
        <f>SQRT(SUM($F$2:F917)/A917)</f>
        <v>1138.254656812551</v>
      </c>
      <c r="H917" s="5">
        <f t="shared" si="59"/>
        <v>0</v>
      </c>
      <c r="I917" s="5">
        <f t="shared" si="60"/>
        <v>0</v>
      </c>
    </row>
    <row r="918" spans="1:9">
      <c r="A918">
        <v>917</v>
      </c>
      <c r="B918">
        <v>9</v>
      </c>
      <c r="C918">
        <v>5000</v>
      </c>
      <c r="D918">
        <v>6771</v>
      </c>
      <c r="E918" s="5">
        <f t="shared" si="57"/>
        <v>1771</v>
      </c>
      <c r="F918" s="5">
        <f t="shared" si="58"/>
        <v>3136441</v>
      </c>
      <c r="G918" s="6">
        <f>SQRT(SUM($F$2:F918)/A918)</f>
        <v>1139.1361192351546</v>
      </c>
      <c r="H918" s="5">
        <f t="shared" si="59"/>
        <v>0</v>
      </c>
      <c r="I918" s="5">
        <f t="shared" si="60"/>
        <v>0</v>
      </c>
    </row>
    <row r="919" spans="1:9">
      <c r="A919">
        <v>918</v>
      </c>
      <c r="B919">
        <v>8</v>
      </c>
      <c r="C919">
        <v>5000</v>
      </c>
      <c r="D919">
        <v>5838</v>
      </c>
      <c r="E919" s="5">
        <f t="shared" si="57"/>
        <v>838</v>
      </c>
      <c r="F919" s="5">
        <f t="shared" si="58"/>
        <v>702244</v>
      </c>
      <c r="G919" s="6">
        <f>SQRT(SUM($F$2:F919)/A919)</f>
        <v>1138.8514074814327</v>
      </c>
      <c r="H919" s="5">
        <f t="shared" si="59"/>
        <v>1</v>
      </c>
      <c r="I919" s="5">
        <f t="shared" si="60"/>
        <v>0</v>
      </c>
    </row>
    <row r="920" spans="1:9">
      <c r="A920">
        <v>919</v>
      </c>
      <c r="B920">
        <v>8</v>
      </c>
      <c r="C920">
        <v>5000</v>
      </c>
      <c r="D920">
        <v>5425</v>
      </c>
      <c r="E920" s="5">
        <f t="shared" si="57"/>
        <v>425</v>
      </c>
      <c r="F920" s="5">
        <f t="shared" si="58"/>
        <v>180625</v>
      </c>
      <c r="G920" s="6">
        <f>SQRT(SUM($F$2:F920)/A920)</f>
        <v>1138.3179590269617</v>
      </c>
      <c r="H920" s="5">
        <f t="shared" si="59"/>
        <v>1</v>
      </c>
      <c r="I920" s="5">
        <f t="shared" si="60"/>
        <v>1</v>
      </c>
    </row>
    <row r="921" spans="1:9">
      <c r="A921">
        <v>920</v>
      </c>
      <c r="B921">
        <v>9</v>
      </c>
      <c r="C921">
        <v>5000</v>
      </c>
      <c r="D921">
        <v>5669</v>
      </c>
      <c r="E921" s="5">
        <f t="shared" si="57"/>
        <v>669</v>
      </c>
      <c r="F921" s="5">
        <f t="shared" si="58"/>
        <v>447561</v>
      </c>
      <c r="G921" s="6">
        <f>SQRT(SUM($F$2:F921)/A921)</f>
        <v>1137.9129193205083</v>
      </c>
      <c r="H921" s="5">
        <f t="shared" si="59"/>
        <v>1</v>
      </c>
      <c r="I921" s="5">
        <f t="shared" si="60"/>
        <v>0</v>
      </c>
    </row>
    <row r="922" spans="1:9">
      <c r="A922">
        <v>921</v>
      </c>
      <c r="B922">
        <v>8</v>
      </c>
      <c r="C922">
        <v>5000</v>
      </c>
      <c r="D922">
        <v>5190</v>
      </c>
      <c r="E922" s="5">
        <f t="shared" si="57"/>
        <v>190</v>
      </c>
      <c r="F922" s="5">
        <f t="shared" si="58"/>
        <v>36100</v>
      </c>
      <c r="G922" s="6">
        <f>SQRT(SUM($F$2:F922)/A922)</f>
        <v>1137.3122243026833</v>
      </c>
      <c r="H922" s="5">
        <f t="shared" si="59"/>
        <v>1</v>
      </c>
      <c r="I922" s="5">
        <f t="shared" si="60"/>
        <v>1</v>
      </c>
    </row>
    <row r="923" spans="1:9">
      <c r="A923">
        <v>922</v>
      </c>
      <c r="B923">
        <v>9</v>
      </c>
      <c r="C923">
        <v>5000</v>
      </c>
      <c r="D923">
        <v>5823</v>
      </c>
      <c r="E923" s="5">
        <f t="shared" si="57"/>
        <v>823</v>
      </c>
      <c r="F923" s="5">
        <f t="shared" si="58"/>
        <v>677329</v>
      </c>
      <c r="G923" s="6">
        <f>SQRT(SUM($F$2:F923)/A923)</f>
        <v>1137.0183903335144</v>
      </c>
      <c r="H923" s="5">
        <f t="shared" si="59"/>
        <v>1</v>
      </c>
      <c r="I923" s="5">
        <f t="shared" si="60"/>
        <v>0</v>
      </c>
    </row>
    <row r="924" spans="1:9">
      <c r="A924">
        <v>923</v>
      </c>
      <c r="B924">
        <v>8</v>
      </c>
      <c r="C924">
        <v>5000</v>
      </c>
      <c r="D924">
        <v>4473</v>
      </c>
      <c r="E924" s="5">
        <f t="shared" si="57"/>
        <v>527</v>
      </c>
      <c r="F924" s="5">
        <f t="shared" si="58"/>
        <v>277729</v>
      </c>
      <c r="G924" s="6">
        <f>SQRT(SUM($F$2:F924)/A924)</f>
        <v>1136.5346700994335</v>
      </c>
      <c r="H924" s="5">
        <f t="shared" si="59"/>
        <v>1</v>
      </c>
      <c r="I924" s="5">
        <f t="shared" si="60"/>
        <v>0</v>
      </c>
    </row>
    <row r="925" spans="1:9">
      <c r="A925">
        <v>924</v>
      </c>
      <c r="B925">
        <v>9</v>
      </c>
      <c r="C925">
        <v>5000</v>
      </c>
      <c r="D925">
        <v>6020</v>
      </c>
      <c r="E925" s="5">
        <f t="shared" si="57"/>
        <v>1020</v>
      </c>
      <c r="F925" s="5">
        <f t="shared" si="58"/>
        <v>1040400</v>
      </c>
      <c r="G925" s="6">
        <f>SQRT(SUM($F$2:F925)/A925)</f>
        <v>1136.4150098776963</v>
      </c>
      <c r="H925" s="5">
        <f t="shared" si="59"/>
        <v>0</v>
      </c>
      <c r="I925" s="5">
        <f t="shared" si="60"/>
        <v>0</v>
      </c>
    </row>
    <row r="926" spans="1:9">
      <c r="A926">
        <v>925</v>
      </c>
      <c r="B926">
        <v>8</v>
      </c>
      <c r="C926">
        <v>5000</v>
      </c>
      <c r="D926">
        <v>4879</v>
      </c>
      <c r="E926" s="5">
        <f t="shared" si="57"/>
        <v>121</v>
      </c>
      <c r="F926" s="5">
        <f t="shared" si="58"/>
        <v>14641</v>
      </c>
      <c r="G926" s="6">
        <f>SQRT(SUM($F$2:F926)/A926)</f>
        <v>1135.807533181759</v>
      </c>
      <c r="H926" s="5">
        <f t="shared" si="59"/>
        <v>1</v>
      </c>
      <c r="I926" s="5">
        <f t="shared" si="60"/>
        <v>1</v>
      </c>
    </row>
    <row r="927" spans="1:9">
      <c r="A927">
        <v>926</v>
      </c>
      <c r="B927">
        <v>9</v>
      </c>
      <c r="C927">
        <v>5000</v>
      </c>
      <c r="D927">
        <v>5330</v>
      </c>
      <c r="E927" s="5">
        <f t="shared" si="57"/>
        <v>330</v>
      </c>
      <c r="F927" s="5">
        <f t="shared" si="58"/>
        <v>108900</v>
      </c>
      <c r="G927" s="6">
        <f>SQRT(SUM($F$2:F927)/A927)</f>
        <v>1135.2458777832044</v>
      </c>
      <c r="H927" s="5">
        <f t="shared" si="59"/>
        <v>1</v>
      </c>
      <c r="I927" s="5">
        <f t="shared" si="60"/>
        <v>1</v>
      </c>
    </row>
    <row r="928" spans="1:9">
      <c r="A928">
        <v>927</v>
      </c>
      <c r="B928">
        <v>8</v>
      </c>
      <c r="C928">
        <v>5000</v>
      </c>
      <c r="D928">
        <v>4416</v>
      </c>
      <c r="E928" s="5">
        <f t="shared" si="57"/>
        <v>584</v>
      </c>
      <c r="F928" s="5">
        <f t="shared" si="58"/>
        <v>341056</v>
      </c>
      <c r="G928" s="6">
        <f>SQRT(SUM($F$2:F928)/A928)</f>
        <v>1134.7955073851172</v>
      </c>
      <c r="H928" s="5">
        <f t="shared" si="59"/>
        <v>1</v>
      </c>
      <c r="I928" s="5">
        <f t="shared" si="60"/>
        <v>0</v>
      </c>
    </row>
    <row r="929" spans="1:9">
      <c r="A929">
        <v>928</v>
      </c>
      <c r="B929">
        <v>9</v>
      </c>
      <c r="C929">
        <v>5000</v>
      </c>
      <c r="D929">
        <v>5210</v>
      </c>
      <c r="E929" s="5">
        <f t="shared" si="57"/>
        <v>210</v>
      </c>
      <c r="F929" s="5">
        <f t="shared" si="58"/>
        <v>44100</v>
      </c>
      <c r="G929" s="6">
        <f>SQRT(SUM($F$2:F929)/A929)</f>
        <v>1134.2048720625144</v>
      </c>
      <c r="H929" s="5">
        <f t="shared" si="59"/>
        <v>1</v>
      </c>
      <c r="I929" s="5">
        <f t="shared" si="60"/>
        <v>1</v>
      </c>
    </row>
    <row r="930" spans="1:9">
      <c r="A930">
        <v>929</v>
      </c>
      <c r="B930">
        <v>8</v>
      </c>
      <c r="C930">
        <v>5000</v>
      </c>
      <c r="D930">
        <v>4565</v>
      </c>
      <c r="E930" s="5">
        <f t="shared" si="57"/>
        <v>435</v>
      </c>
      <c r="F930" s="5">
        <f t="shared" si="58"/>
        <v>189225</v>
      </c>
      <c r="G930" s="6">
        <f>SQRT(SUM($F$2:F930)/A930)</f>
        <v>1133.6841013042626</v>
      </c>
      <c r="H930" s="5">
        <f t="shared" si="59"/>
        <v>1</v>
      </c>
      <c r="I930" s="5">
        <f t="shared" si="60"/>
        <v>1</v>
      </c>
    </row>
    <row r="931" spans="1:9">
      <c r="A931">
        <v>930</v>
      </c>
      <c r="B931">
        <v>9</v>
      </c>
      <c r="C931">
        <v>5000</v>
      </c>
      <c r="D931">
        <v>5231</v>
      </c>
      <c r="E931" s="5">
        <f t="shared" si="57"/>
        <v>231</v>
      </c>
      <c r="F931" s="5">
        <f t="shared" si="58"/>
        <v>53361</v>
      </c>
      <c r="G931" s="6">
        <f>SQRT(SUM($F$2:F931)/A931)</f>
        <v>1133.0997488571847</v>
      </c>
      <c r="H931" s="5">
        <f t="shared" si="59"/>
        <v>1</v>
      </c>
      <c r="I931" s="5">
        <f t="shared" si="60"/>
        <v>1</v>
      </c>
    </row>
    <row r="932" spans="1:9">
      <c r="A932">
        <v>931</v>
      </c>
      <c r="B932">
        <v>8</v>
      </c>
      <c r="C932">
        <v>5000</v>
      </c>
      <c r="D932">
        <v>4598</v>
      </c>
      <c r="E932" s="5">
        <f t="shared" si="57"/>
        <v>402</v>
      </c>
      <c r="F932" s="5">
        <f t="shared" si="58"/>
        <v>161604</v>
      </c>
      <c r="G932" s="6">
        <f>SQRT(SUM($F$2:F932)/A932)</f>
        <v>1132.5676805473518</v>
      </c>
      <c r="H932" s="5">
        <f t="shared" si="59"/>
        <v>1</v>
      </c>
      <c r="I932" s="5">
        <f t="shared" si="60"/>
        <v>1</v>
      </c>
    </row>
    <row r="933" spans="1:9">
      <c r="A933">
        <v>932</v>
      </c>
      <c r="B933">
        <v>9</v>
      </c>
      <c r="C933">
        <v>5000</v>
      </c>
      <c r="D933">
        <v>6251</v>
      </c>
      <c r="E933" s="5">
        <f t="shared" si="57"/>
        <v>1251</v>
      </c>
      <c r="F933" s="5">
        <f t="shared" si="58"/>
        <v>1565001</v>
      </c>
      <c r="G933" s="6">
        <f>SQRT(SUM($F$2:F933)/A933)</f>
        <v>1132.7013899705437</v>
      </c>
      <c r="H933" s="5">
        <f t="shared" si="59"/>
        <v>0</v>
      </c>
      <c r="I933" s="5">
        <f t="shared" si="60"/>
        <v>0</v>
      </c>
    </row>
    <row r="934" spans="1:9">
      <c r="A934">
        <v>933</v>
      </c>
      <c r="B934">
        <v>7</v>
      </c>
      <c r="C934">
        <v>5000</v>
      </c>
      <c r="D934">
        <v>4432</v>
      </c>
      <c r="E934" s="5">
        <f t="shared" si="57"/>
        <v>568</v>
      </c>
      <c r="F934" s="5">
        <f t="shared" si="58"/>
        <v>322624</v>
      </c>
      <c r="G934" s="6">
        <f>SQRT(SUM($F$2:F934)/A934)</f>
        <v>1132.2469181239958</v>
      </c>
      <c r="H934" s="5">
        <f t="shared" si="59"/>
        <v>1</v>
      </c>
      <c r="I934" s="5">
        <f t="shared" si="60"/>
        <v>0</v>
      </c>
    </row>
    <row r="935" spans="1:9">
      <c r="A935">
        <v>934</v>
      </c>
      <c r="B935">
        <v>9</v>
      </c>
      <c r="C935">
        <v>5000</v>
      </c>
      <c r="D935">
        <v>6264</v>
      </c>
      <c r="E935" s="5">
        <f t="shared" si="57"/>
        <v>1264</v>
      </c>
      <c r="F935" s="5">
        <f t="shared" si="58"/>
        <v>1597696</v>
      </c>
      <c r="G935" s="6">
        <f>SQRT(SUM($F$2:F935)/A935)</f>
        <v>1132.3961789037076</v>
      </c>
      <c r="H935" s="5">
        <f t="shared" si="59"/>
        <v>0</v>
      </c>
      <c r="I935" s="5">
        <f t="shared" si="60"/>
        <v>0</v>
      </c>
    </row>
    <row r="936" spans="1:9">
      <c r="A936">
        <v>935</v>
      </c>
      <c r="B936">
        <v>7</v>
      </c>
      <c r="C936">
        <v>5000</v>
      </c>
      <c r="D936">
        <v>4764</v>
      </c>
      <c r="E936" s="5">
        <f t="shared" si="57"/>
        <v>236</v>
      </c>
      <c r="F936" s="5">
        <f t="shared" si="58"/>
        <v>55696</v>
      </c>
      <c r="G936" s="6">
        <f>SQRT(SUM($F$2:F936)/A936)</f>
        <v>1131.8167729304205</v>
      </c>
      <c r="H936" s="5">
        <f t="shared" si="59"/>
        <v>1</v>
      </c>
      <c r="I936" s="5">
        <f t="shared" si="60"/>
        <v>1</v>
      </c>
    </row>
    <row r="937" spans="1:9">
      <c r="A937">
        <v>936</v>
      </c>
      <c r="B937">
        <v>9</v>
      </c>
      <c r="C937">
        <v>5000</v>
      </c>
      <c r="D937">
        <v>6159</v>
      </c>
      <c r="E937" s="5">
        <f t="shared" si="57"/>
        <v>1159</v>
      </c>
      <c r="F937" s="5">
        <f t="shared" si="58"/>
        <v>1343281</v>
      </c>
      <c r="G937" s="6">
        <f>SQRT(SUM($F$2:F937)/A937)</f>
        <v>1131.8461632127783</v>
      </c>
      <c r="H937" s="5">
        <f t="shared" si="59"/>
        <v>0</v>
      </c>
      <c r="I937" s="5">
        <f t="shared" si="60"/>
        <v>0</v>
      </c>
    </row>
    <row r="938" spans="1:9">
      <c r="A938">
        <v>937</v>
      </c>
      <c r="B938">
        <v>7</v>
      </c>
      <c r="C938">
        <v>5000</v>
      </c>
      <c r="D938">
        <v>4873</v>
      </c>
      <c r="E938" s="5">
        <f t="shared" si="57"/>
        <v>127</v>
      </c>
      <c r="F938" s="5">
        <f t="shared" si="58"/>
        <v>16129</v>
      </c>
      <c r="G938" s="6">
        <f>SQRT(SUM($F$2:F938)/A938)</f>
        <v>1131.2496367564881</v>
      </c>
      <c r="H938" s="5">
        <f t="shared" si="59"/>
        <v>1</v>
      </c>
      <c r="I938" s="5">
        <f t="shared" si="60"/>
        <v>1</v>
      </c>
    </row>
    <row r="939" spans="1:9">
      <c r="A939">
        <v>938</v>
      </c>
      <c r="B939">
        <v>8</v>
      </c>
      <c r="C939">
        <v>5000</v>
      </c>
      <c r="D939">
        <v>4938</v>
      </c>
      <c r="E939" s="5">
        <f t="shared" si="57"/>
        <v>62</v>
      </c>
      <c r="F939" s="5">
        <f t="shared" si="58"/>
        <v>3844</v>
      </c>
      <c r="G939" s="6">
        <f>SQRT(SUM($F$2:F939)/A939)</f>
        <v>1130.6482766918959</v>
      </c>
      <c r="H939" s="5">
        <f t="shared" si="59"/>
        <v>1</v>
      </c>
      <c r="I939" s="5">
        <f t="shared" si="60"/>
        <v>1</v>
      </c>
    </row>
    <row r="940" spans="1:9">
      <c r="A940">
        <v>939</v>
      </c>
      <c r="B940">
        <v>8</v>
      </c>
      <c r="C940">
        <v>5000</v>
      </c>
      <c r="D940">
        <v>5315</v>
      </c>
      <c r="E940" s="5">
        <f t="shared" si="57"/>
        <v>315</v>
      </c>
      <c r="F940" s="5">
        <f t="shared" si="58"/>
        <v>99225</v>
      </c>
      <c r="G940" s="6">
        <f>SQRT(SUM($F$2:F940)/A940)</f>
        <v>1130.0928213547459</v>
      </c>
      <c r="H940" s="5">
        <f t="shared" si="59"/>
        <v>1</v>
      </c>
      <c r="I940" s="5">
        <f t="shared" si="60"/>
        <v>1</v>
      </c>
    </row>
    <row r="941" spans="1:9">
      <c r="A941">
        <v>940</v>
      </c>
      <c r="B941">
        <v>8</v>
      </c>
      <c r="C941">
        <v>5000</v>
      </c>
      <c r="D941">
        <v>3159</v>
      </c>
      <c r="E941" s="5">
        <f t="shared" si="57"/>
        <v>1841</v>
      </c>
      <c r="F941" s="5">
        <f t="shared" si="58"/>
        <v>3389281</v>
      </c>
      <c r="G941" s="6">
        <f>SQRT(SUM($F$2:F941)/A941)</f>
        <v>1131.0865464375017</v>
      </c>
      <c r="H941" s="5">
        <f t="shared" si="59"/>
        <v>0</v>
      </c>
      <c r="I941" s="5">
        <f t="shared" si="60"/>
        <v>0</v>
      </c>
    </row>
    <row r="942" spans="1:9">
      <c r="A942">
        <v>941</v>
      </c>
      <c r="B942">
        <v>10</v>
      </c>
      <c r="C942">
        <v>5000</v>
      </c>
      <c r="D942">
        <v>2126</v>
      </c>
      <c r="E942" s="5">
        <f t="shared" si="57"/>
        <v>2874</v>
      </c>
      <c r="F942" s="5">
        <f t="shared" si="58"/>
        <v>8259876</v>
      </c>
      <c r="G942" s="6">
        <f>SQRT(SUM($F$2:F942)/A942)</f>
        <v>1134.3610395808832</v>
      </c>
      <c r="H942" s="5">
        <f t="shared" si="59"/>
        <v>0</v>
      </c>
      <c r="I942" s="5">
        <f t="shared" si="60"/>
        <v>0</v>
      </c>
    </row>
    <row r="943" spans="1:9">
      <c r="A943">
        <v>942</v>
      </c>
      <c r="B943">
        <v>12</v>
      </c>
      <c r="C943">
        <v>5000</v>
      </c>
      <c r="D943">
        <v>4901</v>
      </c>
      <c r="E943" s="5">
        <f t="shared" si="57"/>
        <v>99</v>
      </c>
      <c r="F943" s="5">
        <f t="shared" si="58"/>
        <v>9801</v>
      </c>
      <c r="G943" s="6">
        <f>SQRT(SUM($F$2:F943)/A943)</f>
        <v>1133.7633657103017</v>
      </c>
      <c r="H943" s="5">
        <f t="shared" si="59"/>
        <v>1</v>
      </c>
      <c r="I943" s="5">
        <f t="shared" si="60"/>
        <v>1</v>
      </c>
    </row>
    <row r="944" spans="1:9">
      <c r="A944">
        <v>943</v>
      </c>
      <c r="B944">
        <v>9</v>
      </c>
      <c r="C944">
        <v>5000</v>
      </c>
      <c r="D944">
        <v>5994</v>
      </c>
      <c r="E944" s="5">
        <f t="shared" si="57"/>
        <v>994</v>
      </c>
      <c r="F944" s="5">
        <f t="shared" si="58"/>
        <v>988036</v>
      </c>
      <c r="G944" s="6">
        <f>SQRT(SUM($F$2:F944)/A944)</f>
        <v>1133.6242810580823</v>
      </c>
      <c r="H944" s="5">
        <f t="shared" si="59"/>
        <v>1</v>
      </c>
      <c r="I944" s="5">
        <f t="shared" si="60"/>
        <v>0</v>
      </c>
    </row>
    <row r="945" spans="1:9">
      <c r="A945">
        <v>944</v>
      </c>
      <c r="B945">
        <v>8</v>
      </c>
      <c r="C945">
        <v>5000</v>
      </c>
      <c r="D945">
        <v>4508</v>
      </c>
      <c r="E945" s="5">
        <f t="shared" si="57"/>
        <v>492</v>
      </c>
      <c r="F945" s="5">
        <f t="shared" si="58"/>
        <v>242064</v>
      </c>
      <c r="G945" s="6">
        <f>SQRT(SUM($F$2:F945)/A945)</f>
        <v>1133.1368387529296</v>
      </c>
      <c r="H945" s="5">
        <f t="shared" si="59"/>
        <v>1</v>
      </c>
      <c r="I945" s="5">
        <f t="shared" si="60"/>
        <v>1</v>
      </c>
    </row>
    <row r="946" spans="1:9">
      <c r="A946">
        <v>945</v>
      </c>
      <c r="B946">
        <v>10</v>
      </c>
      <c r="C946">
        <v>5000</v>
      </c>
      <c r="D946">
        <v>5523</v>
      </c>
      <c r="E946" s="5">
        <f t="shared" si="57"/>
        <v>523</v>
      </c>
      <c r="F946" s="5">
        <f t="shared" si="58"/>
        <v>273529</v>
      </c>
      <c r="G946" s="6">
        <f>SQRT(SUM($F$2:F946)/A946)</f>
        <v>1132.6649172702466</v>
      </c>
      <c r="H946" s="5">
        <f t="shared" si="59"/>
        <v>1</v>
      </c>
      <c r="I946" s="5">
        <f t="shared" si="60"/>
        <v>0</v>
      </c>
    </row>
    <row r="947" spans="1:9">
      <c r="A947">
        <v>946</v>
      </c>
      <c r="B947">
        <v>8</v>
      </c>
      <c r="C947">
        <v>5000</v>
      </c>
      <c r="D947">
        <v>4483</v>
      </c>
      <c r="E947" s="5">
        <f t="shared" si="57"/>
        <v>517</v>
      </c>
      <c r="F947" s="5">
        <f t="shared" si="58"/>
        <v>267289</v>
      </c>
      <c r="G947" s="6">
        <f>SQRT(SUM($F$2:F947)/A947)</f>
        <v>1132.1908844057618</v>
      </c>
      <c r="H947" s="5">
        <f t="shared" si="59"/>
        <v>1</v>
      </c>
      <c r="I947" s="5">
        <f t="shared" si="60"/>
        <v>0</v>
      </c>
    </row>
    <row r="948" spans="1:9">
      <c r="A948">
        <v>947</v>
      </c>
      <c r="B948">
        <v>10</v>
      </c>
      <c r="C948">
        <v>5000</v>
      </c>
      <c r="D948">
        <v>5836</v>
      </c>
      <c r="E948" s="5">
        <f t="shared" si="57"/>
        <v>836</v>
      </c>
      <c r="F948" s="5">
        <f t="shared" si="58"/>
        <v>698896</v>
      </c>
      <c r="G948" s="6">
        <f>SQRT(SUM($F$2:F948)/A948)</f>
        <v>1131.9189955382856</v>
      </c>
      <c r="H948" s="5">
        <f t="shared" si="59"/>
        <v>1</v>
      </c>
      <c r="I948" s="5">
        <f t="shared" si="60"/>
        <v>0</v>
      </c>
    </row>
    <row r="949" spans="1:9">
      <c r="A949">
        <v>948</v>
      </c>
      <c r="B949">
        <v>8</v>
      </c>
      <c r="C949">
        <v>5000</v>
      </c>
      <c r="D949">
        <v>4632</v>
      </c>
      <c r="E949" s="5">
        <f t="shared" si="57"/>
        <v>368</v>
      </c>
      <c r="F949" s="5">
        <f t="shared" si="58"/>
        <v>135424</v>
      </c>
      <c r="G949" s="6">
        <f>SQRT(SUM($F$2:F949)/A949)</f>
        <v>1131.3849677044855</v>
      </c>
      <c r="H949" s="5">
        <f t="shared" si="59"/>
        <v>1</v>
      </c>
      <c r="I949" s="5">
        <f t="shared" si="60"/>
        <v>1</v>
      </c>
    </row>
    <row r="950" spans="1:9">
      <c r="A950">
        <v>949</v>
      </c>
      <c r="B950">
        <v>9</v>
      </c>
      <c r="C950">
        <v>5000</v>
      </c>
      <c r="D950">
        <v>5432</v>
      </c>
      <c r="E950" s="5">
        <f t="shared" si="57"/>
        <v>432</v>
      </c>
      <c r="F950" s="5">
        <f t="shared" si="58"/>
        <v>186624</v>
      </c>
      <c r="G950" s="6">
        <f>SQRT(SUM($F$2:F950)/A950)</f>
        <v>1130.8756680585866</v>
      </c>
      <c r="H950" s="5">
        <f t="shared" si="59"/>
        <v>1</v>
      </c>
      <c r="I950" s="5">
        <f t="shared" si="60"/>
        <v>1</v>
      </c>
    </row>
    <row r="951" spans="1:9">
      <c r="A951">
        <v>950</v>
      </c>
      <c r="B951">
        <v>8</v>
      </c>
      <c r="C951">
        <v>5000</v>
      </c>
      <c r="D951">
        <v>4516</v>
      </c>
      <c r="E951" s="5">
        <f t="shared" si="57"/>
        <v>484</v>
      </c>
      <c r="F951" s="5">
        <f t="shared" si="58"/>
        <v>234256</v>
      </c>
      <c r="G951" s="6">
        <f>SQRT(SUM($F$2:F951)/A951)</f>
        <v>1130.3893898261692</v>
      </c>
      <c r="H951" s="5">
        <f t="shared" si="59"/>
        <v>1</v>
      </c>
      <c r="I951" s="5">
        <f t="shared" si="60"/>
        <v>1</v>
      </c>
    </row>
    <row r="952" spans="1:9">
      <c r="A952">
        <v>951</v>
      </c>
      <c r="B952">
        <v>10</v>
      </c>
      <c r="C952">
        <v>5000</v>
      </c>
      <c r="D952">
        <v>7134</v>
      </c>
      <c r="E952" s="5">
        <f t="shared" si="57"/>
        <v>2134</v>
      </c>
      <c r="F952" s="5">
        <f t="shared" si="58"/>
        <v>4553956</v>
      </c>
      <c r="G952" s="6">
        <f>SQRT(SUM($F$2:F952)/A952)</f>
        <v>1131.9121664118127</v>
      </c>
      <c r="H952" s="5">
        <f t="shared" si="59"/>
        <v>0</v>
      </c>
      <c r="I952" s="5">
        <f t="shared" si="60"/>
        <v>0</v>
      </c>
    </row>
    <row r="953" spans="1:9">
      <c r="A953">
        <v>952</v>
      </c>
      <c r="B953">
        <v>6</v>
      </c>
      <c r="C953">
        <v>5000</v>
      </c>
      <c r="D953">
        <v>3912</v>
      </c>
      <c r="E953" s="5">
        <f t="shared" si="57"/>
        <v>1088</v>
      </c>
      <c r="F953" s="5">
        <f t="shared" si="58"/>
        <v>1183744</v>
      </c>
      <c r="G953" s="6">
        <f>SQRT(SUM($F$2:F953)/A953)</f>
        <v>1131.8669340088177</v>
      </c>
      <c r="H953" s="5">
        <f t="shared" si="59"/>
        <v>0</v>
      </c>
      <c r="I953" s="5">
        <f t="shared" si="60"/>
        <v>0</v>
      </c>
    </row>
    <row r="954" spans="1:9">
      <c r="A954">
        <v>953</v>
      </c>
      <c r="B954">
        <v>10</v>
      </c>
      <c r="C954">
        <v>5000</v>
      </c>
      <c r="D954">
        <v>6551</v>
      </c>
      <c r="E954" s="5">
        <f t="shared" si="57"/>
        <v>1551</v>
      </c>
      <c r="F954" s="5">
        <f t="shared" si="58"/>
        <v>2405601</v>
      </c>
      <c r="G954" s="6">
        <f>SQRT(SUM($F$2:F954)/A954)</f>
        <v>1132.3880481091828</v>
      </c>
      <c r="H954" s="5">
        <f t="shared" si="59"/>
        <v>0</v>
      </c>
      <c r="I954" s="5">
        <f t="shared" si="60"/>
        <v>0</v>
      </c>
    </row>
    <row r="955" spans="1:9">
      <c r="A955">
        <v>954</v>
      </c>
      <c r="B955">
        <v>7</v>
      </c>
      <c r="C955">
        <v>5000</v>
      </c>
      <c r="D955">
        <v>4643</v>
      </c>
      <c r="E955" s="5">
        <f t="shared" si="57"/>
        <v>357</v>
      </c>
      <c r="F955" s="5">
        <f t="shared" si="58"/>
        <v>127449</v>
      </c>
      <c r="G955" s="6">
        <f>SQRT(SUM($F$2:F955)/A955)</f>
        <v>1131.853414996762</v>
      </c>
      <c r="H955" s="5">
        <f t="shared" si="59"/>
        <v>1</v>
      </c>
      <c r="I955" s="5">
        <f t="shared" si="60"/>
        <v>1</v>
      </c>
    </row>
    <row r="956" spans="1:9">
      <c r="A956">
        <v>955</v>
      </c>
      <c r="B956">
        <v>9</v>
      </c>
      <c r="C956">
        <v>5000</v>
      </c>
      <c r="D956">
        <v>5776</v>
      </c>
      <c r="E956" s="5">
        <f t="shared" si="57"/>
        <v>776</v>
      </c>
      <c r="F956" s="5">
        <f t="shared" si="58"/>
        <v>602176</v>
      </c>
      <c r="G956" s="6">
        <f>SQRT(SUM($F$2:F956)/A956)</f>
        <v>1131.53932590666</v>
      </c>
      <c r="H956" s="5">
        <f t="shared" si="59"/>
        <v>1</v>
      </c>
      <c r="I956" s="5">
        <f t="shared" si="60"/>
        <v>0</v>
      </c>
    </row>
    <row r="957" spans="1:9">
      <c r="A957">
        <v>956</v>
      </c>
      <c r="B957">
        <v>7</v>
      </c>
      <c r="C957">
        <v>5000</v>
      </c>
      <c r="D957">
        <v>5270</v>
      </c>
      <c r="E957" s="5">
        <f t="shared" si="57"/>
        <v>270</v>
      </c>
      <c r="F957" s="5">
        <f t="shared" si="58"/>
        <v>72900</v>
      </c>
      <c r="G957" s="6">
        <f>SQRT(SUM($F$2:F957)/A957)</f>
        <v>1130.9810742786854</v>
      </c>
      <c r="H957" s="5">
        <f t="shared" si="59"/>
        <v>1</v>
      </c>
      <c r="I957" s="5">
        <f t="shared" si="60"/>
        <v>1</v>
      </c>
    </row>
    <row r="958" spans="1:9">
      <c r="A958">
        <v>957</v>
      </c>
      <c r="B958">
        <v>8</v>
      </c>
      <c r="C958">
        <v>5000</v>
      </c>
      <c r="D958">
        <v>4103</v>
      </c>
      <c r="E958" s="5">
        <f t="shared" si="57"/>
        <v>897</v>
      </c>
      <c r="F958" s="5">
        <f t="shared" si="58"/>
        <v>804609</v>
      </c>
      <c r="G958" s="6">
        <f>SQRT(SUM($F$2:F958)/A958)</f>
        <v>1130.7618495959118</v>
      </c>
      <c r="H958" s="5">
        <f t="shared" si="59"/>
        <v>1</v>
      </c>
      <c r="I958" s="5">
        <f t="shared" si="60"/>
        <v>0</v>
      </c>
    </row>
    <row r="959" spans="1:9">
      <c r="A959">
        <v>958</v>
      </c>
      <c r="B959">
        <v>9</v>
      </c>
      <c r="C959">
        <v>5000</v>
      </c>
      <c r="D959">
        <v>5411</v>
      </c>
      <c r="E959" s="5">
        <f t="shared" si="57"/>
        <v>411</v>
      </c>
      <c r="F959" s="5">
        <f t="shared" si="58"/>
        <v>168921</v>
      </c>
      <c r="G959" s="6">
        <f>SQRT(SUM($F$2:F959)/A959)</f>
        <v>1130.2495336653453</v>
      </c>
      <c r="H959" s="5">
        <f t="shared" si="59"/>
        <v>1</v>
      </c>
      <c r="I959" s="5">
        <f t="shared" si="60"/>
        <v>1</v>
      </c>
    </row>
    <row r="960" spans="1:9">
      <c r="A960">
        <v>959</v>
      </c>
      <c r="B960">
        <v>8</v>
      </c>
      <c r="C960">
        <v>5000</v>
      </c>
      <c r="D960">
        <v>5257</v>
      </c>
      <c r="E960" s="5">
        <f t="shared" si="57"/>
        <v>257</v>
      </c>
      <c r="F960" s="5">
        <f t="shared" si="58"/>
        <v>66049</v>
      </c>
      <c r="G960" s="6">
        <f>SQRT(SUM($F$2:F960)/A960)</f>
        <v>1129.6905779358149</v>
      </c>
      <c r="H960" s="5">
        <f t="shared" si="59"/>
        <v>1</v>
      </c>
      <c r="I960" s="5">
        <f t="shared" si="60"/>
        <v>1</v>
      </c>
    </row>
    <row r="961" spans="1:9">
      <c r="A961">
        <v>960</v>
      </c>
      <c r="B961">
        <v>8</v>
      </c>
      <c r="C961">
        <v>5000</v>
      </c>
      <c r="D961">
        <v>5175</v>
      </c>
      <c r="E961" s="5">
        <f t="shared" si="57"/>
        <v>175</v>
      </c>
      <c r="F961" s="5">
        <f t="shared" si="58"/>
        <v>30625</v>
      </c>
      <c r="G961" s="6">
        <f>SQRT(SUM($F$2:F961)/A961)</f>
        <v>1129.1161707651402</v>
      </c>
      <c r="H961" s="5">
        <f t="shared" si="59"/>
        <v>1</v>
      </c>
      <c r="I961" s="5">
        <f t="shared" si="60"/>
        <v>1</v>
      </c>
    </row>
    <row r="962" spans="1:9">
      <c r="A962">
        <v>961</v>
      </c>
      <c r="B962">
        <v>8</v>
      </c>
      <c r="C962">
        <v>5000</v>
      </c>
      <c r="D962">
        <v>5449</v>
      </c>
      <c r="E962" s="5">
        <f t="shared" si="57"/>
        <v>449</v>
      </c>
      <c r="F962" s="5">
        <f t="shared" si="58"/>
        <v>201601</v>
      </c>
      <c r="G962" s="6">
        <f>SQRT(SUM($F$2:F962)/A962)</f>
        <v>1128.6214897925895</v>
      </c>
      <c r="H962" s="5">
        <f t="shared" si="59"/>
        <v>1</v>
      </c>
      <c r="I962" s="5">
        <f t="shared" si="60"/>
        <v>1</v>
      </c>
    </row>
    <row r="963" spans="1:9">
      <c r="A963">
        <v>962</v>
      </c>
      <c r="B963">
        <v>8</v>
      </c>
      <c r="C963">
        <v>5000</v>
      </c>
      <c r="D963">
        <v>5463</v>
      </c>
      <c r="E963" s="5">
        <f t="shared" ref="E963:E1001" si="61">ABS(C963-D963)</f>
        <v>463</v>
      </c>
      <c r="F963" s="5">
        <f t="shared" ref="F963:F1001" si="62">POWER(E963,2)</f>
        <v>214369</v>
      </c>
      <c r="G963" s="6">
        <f>SQRT(SUM($F$2:F963)/A963)</f>
        <v>1128.1335034751878</v>
      </c>
      <c r="H963" s="5">
        <f t="shared" ref="H963:H1001" si="63">IF(ABS(E963)/C963&gt;0.2,0,1)</f>
        <v>1</v>
      </c>
      <c r="I963" s="5">
        <f t="shared" ref="I963:I1001" si="64">IF(ABS(E963)/C963&gt;0.1,0,1)</f>
        <v>1</v>
      </c>
    </row>
    <row r="964" spans="1:9">
      <c r="A964">
        <v>963</v>
      </c>
      <c r="B964">
        <v>8</v>
      </c>
      <c r="C964">
        <v>5000</v>
      </c>
      <c r="D964">
        <v>5326</v>
      </c>
      <c r="E964" s="5">
        <f t="shared" si="61"/>
        <v>326</v>
      </c>
      <c r="F964" s="5">
        <f t="shared" si="62"/>
        <v>106276</v>
      </c>
      <c r="G964" s="6">
        <f>SQRT(SUM($F$2:F964)/A964)</f>
        <v>1127.5965489281725</v>
      </c>
      <c r="H964" s="5">
        <f t="shared" si="63"/>
        <v>1</v>
      </c>
      <c r="I964" s="5">
        <f t="shared" si="64"/>
        <v>1</v>
      </c>
    </row>
    <row r="965" spans="1:9">
      <c r="A965">
        <v>964</v>
      </c>
      <c r="B965">
        <v>8</v>
      </c>
      <c r="C965">
        <v>5000</v>
      </c>
      <c r="D965">
        <v>5101</v>
      </c>
      <c r="E965" s="5">
        <f t="shared" si="61"/>
        <v>101</v>
      </c>
      <c r="F965" s="5">
        <f t="shared" si="62"/>
        <v>10201</v>
      </c>
      <c r="G965" s="6">
        <f>SQRT(SUM($F$2:F965)/A965)</f>
        <v>1127.0162388790568</v>
      </c>
      <c r="H965" s="5">
        <f t="shared" si="63"/>
        <v>1</v>
      </c>
      <c r="I965" s="5">
        <f t="shared" si="64"/>
        <v>1</v>
      </c>
    </row>
    <row r="966" spans="1:9">
      <c r="A966">
        <v>965</v>
      </c>
      <c r="B966">
        <v>8</v>
      </c>
      <c r="C966">
        <v>5000</v>
      </c>
      <c r="D966">
        <v>5217</v>
      </c>
      <c r="E966" s="5">
        <f t="shared" si="61"/>
        <v>217</v>
      </c>
      <c r="F966" s="5">
        <f t="shared" si="62"/>
        <v>47089</v>
      </c>
      <c r="G966" s="6">
        <f>SQRT(SUM($F$2:F966)/A966)</f>
        <v>1126.4538010069959</v>
      </c>
      <c r="H966" s="5">
        <f t="shared" si="63"/>
        <v>1</v>
      </c>
      <c r="I966" s="5">
        <f t="shared" si="64"/>
        <v>1</v>
      </c>
    </row>
    <row r="967" spans="1:9">
      <c r="A967">
        <v>966</v>
      </c>
      <c r="B967">
        <v>8</v>
      </c>
      <c r="C967">
        <v>5000</v>
      </c>
      <c r="D967">
        <v>5173</v>
      </c>
      <c r="E967" s="5">
        <f t="shared" si="61"/>
        <v>173</v>
      </c>
      <c r="F967" s="5">
        <f t="shared" si="62"/>
        <v>29929</v>
      </c>
      <c r="G967" s="6">
        <f>SQRT(SUM($F$2:F967)/A967)</f>
        <v>1125.8843586385394</v>
      </c>
      <c r="H967" s="5">
        <f t="shared" si="63"/>
        <v>1</v>
      </c>
      <c r="I967" s="5">
        <f t="shared" si="64"/>
        <v>1</v>
      </c>
    </row>
    <row r="968" spans="1:9">
      <c r="A968">
        <v>967</v>
      </c>
      <c r="B968">
        <v>8</v>
      </c>
      <c r="C968">
        <v>5000</v>
      </c>
      <c r="D968">
        <v>5209</v>
      </c>
      <c r="E968" s="5">
        <f t="shared" si="61"/>
        <v>209</v>
      </c>
      <c r="F968" s="5">
        <f t="shared" si="62"/>
        <v>43681</v>
      </c>
      <c r="G968" s="6">
        <f>SQRT(SUM($F$2:F968)/A968)</f>
        <v>1125.322125547224</v>
      </c>
      <c r="H968" s="5">
        <f t="shared" si="63"/>
        <v>1</v>
      </c>
      <c r="I968" s="5">
        <f t="shared" si="64"/>
        <v>1</v>
      </c>
    </row>
    <row r="969" spans="1:9">
      <c r="A969">
        <v>968</v>
      </c>
      <c r="B969">
        <v>8</v>
      </c>
      <c r="C969">
        <v>5000</v>
      </c>
      <c r="D969">
        <v>5093</v>
      </c>
      <c r="E969" s="5">
        <f t="shared" si="61"/>
        <v>93</v>
      </c>
      <c r="F969" s="5">
        <f t="shared" si="62"/>
        <v>8649</v>
      </c>
      <c r="G969" s="6">
        <f>SQRT(SUM($F$2:F969)/A969)</f>
        <v>1124.7446859047943</v>
      </c>
      <c r="H969" s="5">
        <f t="shared" si="63"/>
        <v>1</v>
      </c>
      <c r="I969" s="5">
        <f t="shared" si="64"/>
        <v>1</v>
      </c>
    </row>
    <row r="970" spans="1:9">
      <c r="A970">
        <v>969</v>
      </c>
      <c r="B970">
        <v>8</v>
      </c>
      <c r="C970">
        <v>5000</v>
      </c>
      <c r="D970">
        <v>5177</v>
      </c>
      <c r="E970" s="5">
        <f t="shared" si="61"/>
        <v>177</v>
      </c>
      <c r="F970" s="5">
        <f t="shared" si="62"/>
        <v>31329</v>
      </c>
      <c r="G970" s="6">
        <f>SQRT(SUM($F$2:F970)/A970)</f>
        <v>1124.1785525247562</v>
      </c>
      <c r="H970" s="5">
        <f t="shared" si="63"/>
        <v>1</v>
      </c>
      <c r="I970" s="5">
        <f t="shared" si="64"/>
        <v>1</v>
      </c>
    </row>
    <row r="971" spans="1:9">
      <c r="A971">
        <v>970</v>
      </c>
      <c r="B971">
        <v>8</v>
      </c>
      <c r="C971">
        <v>5000</v>
      </c>
      <c r="D971">
        <v>5499</v>
      </c>
      <c r="E971" s="5">
        <f t="shared" si="61"/>
        <v>499</v>
      </c>
      <c r="F971" s="5">
        <f t="shared" si="62"/>
        <v>249001</v>
      </c>
      <c r="G971" s="6">
        <f>SQRT(SUM($F$2:F971)/A971)</f>
        <v>1123.7131558814424</v>
      </c>
      <c r="H971" s="5">
        <f t="shared" si="63"/>
        <v>1</v>
      </c>
      <c r="I971" s="5">
        <f t="shared" si="64"/>
        <v>1</v>
      </c>
    </row>
    <row r="972" spans="1:9">
      <c r="A972">
        <v>971</v>
      </c>
      <c r="B972">
        <v>7</v>
      </c>
      <c r="C972">
        <v>5000</v>
      </c>
      <c r="D972">
        <v>4945</v>
      </c>
      <c r="E972" s="5">
        <f t="shared" si="61"/>
        <v>55</v>
      </c>
      <c r="F972" s="5">
        <f t="shared" si="62"/>
        <v>3025</v>
      </c>
      <c r="G972" s="6">
        <f>SQRT(SUM($F$2:F972)/A972)</f>
        <v>1123.1357566694116</v>
      </c>
      <c r="H972" s="5">
        <f t="shared" si="63"/>
        <v>1</v>
      </c>
      <c r="I972" s="5">
        <f t="shared" si="64"/>
        <v>1</v>
      </c>
    </row>
    <row r="973" spans="1:9">
      <c r="A973">
        <v>972</v>
      </c>
      <c r="B973">
        <v>8</v>
      </c>
      <c r="C973">
        <v>5000</v>
      </c>
      <c r="D973">
        <v>5476</v>
      </c>
      <c r="E973" s="5">
        <f t="shared" si="61"/>
        <v>476</v>
      </c>
      <c r="F973" s="5">
        <f t="shared" si="62"/>
        <v>226576</v>
      </c>
      <c r="G973" s="6">
        <f>SQRT(SUM($F$2:F973)/A973)</f>
        <v>1122.661685130146</v>
      </c>
      <c r="H973" s="5">
        <f t="shared" si="63"/>
        <v>1</v>
      </c>
      <c r="I973" s="5">
        <f t="shared" si="64"/>
        <v>1</v>
      </c>
    </row>
    <row r="974" spans="1:9">
      <c r="A974">
        <v>973</v>
      </c>
      <c r="B974">
        <v>7</v>
      </c>
      <c r="C974">
        <v>5000</v>
      </c>
      <c r="D974">
        <v>5190</v>
      </c>
      <c r="E974" s="5">
        <f t="shared" si="61"/>
        <v>190</v>
      </c>
      <c r="F974" s="5">
        <f t="shared" si="62"/>
        <v>36100</v>
      </c>
      <c r="G974" s="6">
        <f>SQRT(SUM($F$2:F974)/A974)</f>
        <v>1122.1011618707723</v>
      </c>
      <c r="H974" s="5">
        <f t="shared" si="63"/>
        <v>1</v>
      </c>
      <c r="I974" s="5">
        <f t="shared" si="64"/>
        <v>1</v>
      </c>
    </row>
    <row r="975" spans="1:9">
      <c r="A975">
        <v>974</v>
      </c>
      <c r="B975">
        <v>7</v>
      </c>
      <c r="C975">
        <v>5000</v>
      </c>
      <c r="D975">
        <v>4554</v>
      </c>
      <c r="E975" s="5">
        <f t="shared" si="61"/>
        <v>446</v>
      </c>
      <c r="F975" s="5">
        <f t="shared" si="62"/>
        <v>198916</v>
      </c>
      <c r="G975" s="6">
        <f>SQRT(SUM($F$2:F975)/A975)</f>
        <v>1121.6160312515931</v>
      </c>
      <c r="H975" s="5">
        <f t="shared" si="63"/>
        <v>1</v>
      </c>
      <c r="I975" s="5">
        <f t="shared" si="64"/>
        <v>1</v>
      </c>
    </row>
    <row r="976" spans="1:9">
      <c r="A976">
        <v>975</v>
      </c>
      <c r="B976">
        <v>8</v>
      </c>
      <c r="C976">
        <v>5000</v>
      </c>
      <c r="D976">
        <v>5305</v>
      </c>
      <c r="E976" s="5">
        <f t="shared" si="61"/>
        <v>305</v>
      </c>
      <c r="F976" s="5">
        <f t="shared" si="62"/>
        <v>93025</v>
      </c>
      <c r="G976" s="6">
        <f>SQRT(SUM($F$2:F976)/A976)</f>
        <v>1121.083249499203</v>
      </c>
      <c r="H976" s="5">
        <f t="shared" si="63"/>
        <v>1</v>
      </c>
      <c r="I976" s="5">
        <f t="shared" si="64"/>
        <v>1</v>
      </c>
    </row>
    <row r="977" spans="1:9">
      <c r="A977">
        <v>976</v>
      </c>
      <c r="B977">
        <v>7</v>
      </c>
      <c r="C977">
        <v>5000</v>
      </c>
      <c r="D977">
        <v>4991</v>
      </c>
      <c r="E977" s="5">
        <f t="shared" si="61"/>
        <v>9</v>
      </c>
      <c r="F977" s="5">
        <f t="shared" si="62"/>
        <v>81</v>
      </c>
      <c r="G977" s="6">
        <f>SQRT(SUM($F$2:F977)/A977)</f>
        <v>1120.5088139096365</v>
      </c>
      <c r="H977" s="5">
        <f t="shared" si="63"/>
        <v>1</v>
      </c>
      <c r="I977" s="5">
        <f t="shared" si="64"/>
        <v>1</v>
      </c>
    </row>
    <row r="978" spans="1:9">
      <c r="A978">
        <v>977</v>
      </c>
      <c r="B978">
        <v>8</v>
      </c>
      <c r="C978">
        <v>5000</v>
      </c>
      <c r="D978">
        <v>5248</v>
      </c>
      <c r="E978" s="5">
        <f t="shared" si="61"/>
        <v>248</v>
      </c>
      <c r="F978" s="5">
        <f t="shared" si="62"/>
        <v>61504</v>
      </c>
      <c r="G978" s="6">
        <f>SQRT(SUM($F$2:F978)/A978)</f>
        <v>1119.9633282854384</v>
      </c>
      <c r="H978" s="5">
        <f t="shared" si="63"/>
        <v>1</v>
      </c>
      <c r="I978" s="5">
        <f t="shared" si="64"/>
        <v>1</v>
      </c>
    </row>
    <row r="979" spans="1:9">
      <c r="A979">
        <v>978</v>
      </c>
      <c r="B979">
        <v>7</v>
      </c>
      <c r="C979">
        <v>5000</v>
      </c>
      <c r="D979">
        <v>4816</v>
      </c>
      <c r="E979" s="5">
        <f t="shared" si="61"/>
        <v>184</v>
      </c>
      <c r="F979" s="5">
        <f t="shared" si="62"/>
        <v>33856</v>
      </c>
      <c r="G979" s="6">
        <f>SQRT(SUM($F$2:F979)/A979)</f>
        <v>1119.4060660436394</v>
      </c>
      <c r="H979" s="5">
        <f t="shared" si="63"/>
        <v>1</v>
      </c>
      <c r="I979" s="5">
        <f t="shared" si="64"/>
        <v>1</v>
      </c>
    </row>
    <row r="980" spans="1:9">
      <c r="A980">
        <v>979</v>
      </c>
      <c r="B980">
        <v>8</v>
      </c>
      <c r="C980">
        <v>5000</v>
      </c>
      <c r="D980">
        <v>5959</v>
      </c>
      <c r="E980" s="5">
        <f t="shared" si="61"/>
        <v>959</v>
      </c>
      <c r="F980" s="5">
        <f t="shared" si="62"/>
        <v>919681</v>
      </c>
      <c r="G980" s="6">
        <f>SQRT(SUM($F$2:F980)/A980)</f>
        <v>1119.2539481317813</v>
      </c>
      <c r="H980" s="5">
        <f t="shared" si="63"/>
        <v>1</v>
      </c>
      <c r="I980" s="5">
        <f t="shared" si="64"/>
        <v>0</v>
      </c>
    </row>
    <row r="981" spans="1:9">
      <c r="A981">
        <v>980</v>
      </c>
      <c r="B981">
        <v>6</v>
      </c>
      <c r="C981">
        <v>5000</v>
      </c>
      <c r="D981">
        <v>3864</v>
      </c>
      <c r="E981" s="5">
        <f t="shared" si="61"/>
        <v>1136</v>
      </c>
      <c r="F981" s="5">
        <f t="shared" si="62"/>
        <v>1290496</v>
      </c>
      <c r="G981" s="6">
        <f>SQRT(SUM($F$2:F981)/A981)</f>
        <v>1119.2711636395811</v>
      </c>
      <c r="H981" s="5">
        <f t="shared" si="63"/>
        <v>0</v>
      </c>
      <c r="I981" s="5">
        <f t="shared" si="64"/>
        <v>0</v>
      </c>
    </row>
    <row r="982" spans="1:9">
      <c r="A982">
        <v>981</v>
      </c>
      <c r="B982">
        <v>9</v>
      </c>
      <c r="C982">
        <v>5000</v>
      </c>
      <c r="D982">
        <v>6177</v>
      </c>
      <c r="E982" s="5">
        <f t="shared" si="61"/>
        <v>1177</v>
      </c>
      <c r="F982" s="5">
        <f t="shared" si="62"/>
        <v>1385329</v>
      </c>
      <c r="G982" s="6">
        <f>SQRT(SUM($F$2:F982)/A982)</f>
        <v>1119.3315265188055</v>
      </c>
      <c r="H982" s="5">
        <f t="shared" si="63"/>
        <v>0</v>
      </c>
      <c r="I982" s="5">
        <f t="shared" si="64"/>
        <v>0</v>
      </c>
    </row>
    <row r="983" spans="1:9">
      <c r="A983">
        <v>982</v>
      </c>
      <c r="B983">
        <v>6</v>
      </c>
      <c r="C983">
        <v>5000</v>
      </c>
      <c r="D983">
        <v>4346</v>
      </c>
      <c r="E983" s="5">
        <f t="shared" si="61"/>
        <v>654</v>
      </c>
      <c r="F983" s="5">
        <f t="shared" si="62"/>
        <v>427716</v>
      </c>
      <c r="G983" s="6">
        <f>SQRT(SUM($F$2:F983)/A983)</f>
        <v>1118.9560999271396</v>
      </c>
      <c r="H983" s="5">
        <f t="shared" si="63"/>
        <v>1</v>
      </c>
      <c r="I983" s="5">
        <f t="shared" si="64"/>
        <v>0</v>
      </c>
    </row>
    <row r="984" spans="1:9">
      <c r="A984">
        <v>983</v>
      </c>
      <c r="B984">
        <v>8</v>
      </c>
      <c r="C984">
        <v>5000</v>
      </c>
      <c r="D984">
        <v>5366</v>
      </c>
      <c r="E984" s="5">
        <f t="shared" si="61"/>
        <v>366</v>
      </c>
      <c r="F984" s="5">
        <f t="shared" si="62"/>
        <v>133956</v>
      </c>
      <c r="G984" s="6">
        <f>SQRT(SUM($F$2:F984)/A984)</f>
        <v>1118.4477235323382</v>
      </c>
      <c r="H984" s="5">
        <f t="shared" si="63"/>
        <v>1</v>
      </c>
      <c r="I984" s="5">
        <f t="shared" si="64"/>
        <v>1</v>
      </c>
    </row>
    <row r="985" spans="1:9">
      <c r="A985">
        <v>984</v>
      </c>
      <c r="B985">
        <v>7</v>
      </c>
      <c r="C985">
        <v>5000</v>
      </c>
      <c r="D985">
        <v>4452</v>
      </c>
      <c r="E985" s="5">
        <f t="shared" si="61"/>
        <v>548</v>
      </c>
      <c r="F985" s="5">
        <f t="shared" si="62"/>
        <v>300304</v>
      </c>
      <c r="G985" s="6">
        <f>SQRT(SUM($F$2:F985)/A985)</f>
        <v>1118.0157564664808</v>
      </c>
      <c r="H985" s="5">
        <f t="shared" si="63"/>
        <v>1</v>
      </c>
      <c r="I985" s="5">
        <f t="shared" si="64"/>
        <v>0</v>
      </c>
    </row>
    <row r="986" spans="1:9">
      <c r="A986">
        <v>985</v>
      </c>
      <c r="B986">
        <v>8</v>
      </c>
      <c r="C986">
        <v>5000</v>
      </c>
      <c r="D986">
        <v>5282</v>
      </c>
      <c r="E986" s="5">
        <f t="shared" si="61"/>
        <v>282</v>
      </c>
      <c r="F986" s="5">
        <f t="shared" si="62"/>
        <v>79524</v>
      </c>
      <c r="G986" s="6">
        <f>SQRT(SUM($F$2:F986)/A986)</f>
        <v>1117.4842158119427</v>
      </c>
      <c r="H986" s="5">
        <f t="shared" si="63"/>
        <v>1</v>
      </c>
      <c r="I986" s="5">
        <f t="shared" si="64"/>
        <v>1</v>
      </c>
    </row>
    <row r="987" spans="1:9">
      <c r="A987">
        <v>986</v>
      </c>
      <c r="B987">
        <v>7</v>
      </c>
      <c r="C987">
        <v>5000</v>
      </c>
      <c r="D987">
        <v>4630</v>
      </c>
      <c r="E987" s="5">
        <f t="shared" si="61"/>
        <v>370</v>
      </c>
      <c r="F987" s="5">
        <f t="shared" si="62"/>
        <v>136900</v>
      </c>
      <c r="G987" s="6">
        <f>SQRT(SUM($F$2:F987)/A987)</f>
        <v>1116.9795496792333</v>
      </c>
      <c r="H987" s="5">
        <f t="shared" si="63"/>
        <v>1</v>
      </c>
      <c r="I987" s="5">
        <f t="shared" si="64"/>
        <v>1</v>
      </c>
    </row>
    <row r="988" spans="1:9">
      <c r="A988">
        <v>987</v>
      </c>
      <c r="B988">
        <v>8</v>
      </c>
      <c r="C988">
        <v>5000</v>
      </c>
      <c r="D988">
        <v>5127</v>
      </c>
      <c r="E988" s="5">
        <f t="shared" si="61"/>
        <v>127</v>
      </c>
      <c r="F988" s="5">
        <f t="shared" si="62"/>
        <v>16129</v>
      </c>
      <c r="G988" s="6">
        <f>SQRT(SUM($F$2:F988)/A988)</f>
        <v>1116.4208792090649</v>
      </c>
      <c r="H988" s="5">
        <f t="shared" si="63"/>
        <v>1</v>
      </c>
      <c r="I988" s="5">
        <f t="shared" si="64"/>
        <v>1</v>
      </c>
    </row>
    <row r="989" spans="1:9">
      <c r="A989">
        <v>988</v>
      </c>
      <c r="B989">
        <v>7</v>
      </c>
      <c r="C989">
        <v>5000</v>
      </c>
      <c r="D989">
        <v>4377</v>
      </c>
      <c r="E989" s="5">
        <f t="shared" si="61"/>
        <v>623</v>
      </c>
      <c r="F989" s="5">
        <f t="shared" si="62"/>
        <v>388129</v>
      </c>
      <c r="G989" s="6">
        <f>SQRT(SUM($F$2:F989)/A989)</f>
        <v>1116.0317597021904</v>
      </c>
      <c r="H989" s="5">
        <f t="shared" si="63"/>
        <v>1</v>
      </c>
      <c r="I989" s="5">
        <f t="shared" si="64"/>
        <v>0</v>
      </c>
    </row>
    <row r="990" spans="1:9">
      <c r="A990">
        <v>989</v>
      </c>
      <c r="B990">
        <v>8</v>
      </c>
      <c r="C990">
        <v>5000</v>
      </c>
      <c r="D990">
        <v>5784</v>
      </c>
      <c r="E990" s="5">
        <f t="shared" si="61"/>
        <v>784</v>
      </c>
      <c r="F990" s="5">
        <f t="shared" si="62"/>
        <v>614656</v>
      </c>
      <c r="G990" s="6">
        <f>SQRT(SUM($F$2:F990)/A990)</f>
        <v>1115.745939276107</v>
      </c>
      <c r="H990" s="5">
        <f t="shared" si="63"/>
        <v>1</v>
      </c>
      <c r="I990" s="5">
        <f t="shared" si="64"/>
        <v>0</v>
      </c>
    </row>
    <row r="991" spans="1:9">
      <c r="A991">
        <v>990</v>
      </c>
      <c r="B991">
        <v>7</v>
      </c>
      <c r="C991">
        <v>5000</v>
      </c>
      <c r="D991">
        <v>4390</v>
      </c>
      <c r="E991" s="5">
        <f t="shared" si="61"/>
        <v>610</v>
      </c>
      <c r="F991" s="5">
        <f t="shared" si="62"/>
        <v>372100</v>
      </c>
      <c r="G991" s="6">
        <f>SQRT(SUM($F$2:F991)/A991)</f>
        <v>1115.3507950235189</v>
      </c>
      <c r="H991" s="5">
        <f t="shared" si="63"/>
        <v>1</v>
      </c>
      <c r="I991" s="5">
        <f t="shared" si="64"/>
        <v>0</v>
      </c>
    </row>
    <row r="992" spans="1:9">
      <c r="A992">
        <v>991</v>
      </c>
      <c r="B992">
        <v>8</v>
      </c>
      <c r="C992">
        <v>5000</v>
      </c>
      <c r="D992">
        <v>5131</v>
      </c>
      <c r="E992" s="5">
        <f t="shared" si="61"/>
        <v>131</v>
      </c>
      <c r="F992" s="5">
        <f t="shared" si="62"/>
        <v>17161</v>
      </c>
      <c r="G992" s="6">
        <f>SQRT(SUM($F$2:F992)/A992)</f>
        <v>1114.7956797857719</v>
      </c>
      <c r="H992" s="5">
        <f t="shared" si="63"/>
        <v>1</v>
      </c>
      <c r="I992" s="5">
        <f t="shared" si="64"/>
        <v>1</v>
      </c>
    </row>
    <row r="993" spans="1:9">
      <c r="A993">
        <v>992</v>
      </c>
      <c r="B993">
        <v>7</v>
      </c>
      <c r="C993">
        <v>5000</v>
      </c>
      <c r="D993">
        <v>5083</v>
      </c>
      <c r="E993" s="5">
        <f t="shared" si="61"/>
        <v>83</v>
      </c>
      <c r="F993" s="5">
        <f t="shared" si="62"/>
        <v>6889</v>
      </c>
      <c r="G993" s="6">
        <f>SQRT(SUM($F$2:F993)/A993)</f>
        <v>1114.2367614128834</v>
      </c>
      <c r="H993" s="5">
        <f t="shared" si="63"/>
        <v>1</v>
      </c>
      <c r="I993" s="5">
        <f t="shared" si="64"/>
        <v>1</v>
      </c>
    </row>
    <row r="994" spans="1:9">
      <c r="A994">
        <v>993</v>
      </c>
      <c r="B994">
        <v>7</v>
      </c>
      <c r="C994">
        <v>5000</v>
      </c>
      <c r="D994">
        <v>4819</v>
      </c>
      <c r="E994" s="5">
        <f t="shared" si="61"/>
        <v>181</v>
      </c>
      <c r="F994" s="5">
        <f t="shared" si="62"/>
        <v>32761</v>
      </c>
      <c r="G994" s="6">
        <f>SQRT(SUM($F$2:F994)/A994)</f>
        <v>1113.6903864802687</v>
      </c>
      <c r="H994" s="5">
        <f t="shared" si="63"/>
        <v>1</v>
      </c>
      <c r="I994" s="5">
        <f t="shared" si="64"/>
        <v>1</v>
      </c>
    </row>
    <row r="995" spans="1:9">
      <c r="A995">
        <v>994</v>
      </c>
      <c r="B995">
        <v>8</v>
      </c>
      <c r="C995">
        <v>5000</v>
      </c>
      <c r="D995">
        <v>5658</v>
      </c>
      <c r="E995" s="5">
        <f t="shared" si="61"/>
        <v>658</v>
      </c>
      <c r="F995" s="5">
        <f t="shared" si="62"/>
        <v>432964</v>
      </c>
      <c r="G995" s="6">
        <f>SQRT(SUM($F$2:F995)/A995)</f>
        <v>1113.3256762368364</v>
      </c>
      <c r="H995" s="5">
        <f t="shared" si="63"/>
        <v>1</v>
      </c>
      <c r="I995" s="5">
        <f t="shared" si="64"/>
        <v>0</v>
      </c>
    </row>
    <row r="996" spans="1:9">
      <c r="A996">
        <v>995</v>
      </c>
      <c r="B996">
        <v>7</v>
      </c>
      <c r="C996">
        <v>5000</v>
      </c>
      <c r="D996">
        <v>5168</v>
      </c>
      <c r="E996" s="5">
        <f t="shared" si="61"/>
        <v>168</v>
      </c>
      <c r="F996" s="5">
        <f t="shared" si="62"/>
        <v>28224</v>
      </c>
      <c r="G996" s="6">
        <f>SQRT(SUM($F$2:F996)/A996)</f>
        <v>1112.7788210253702</v>
      </c>
      <c r="H996" s="5">
        <f t="shared" si="63"/>
        <v>1</v>
      </c>
      <c r="I996" s="5">
        <f t="shared" si="64"/>
        <v>1</v>
      </c>
    </row>
    <row r="997" spans="1:9">
      <c r="A997">
        <v>996</v>
      </c>
      <c r="B997">
        <v>7</v>
      </c>
      <c r="C997">
        <v>5000</v>
      </c>
      <c r="D997">
        <v>5558</v>
      </c>
      <c r="E997" s="5">
        <f t="shared" si="61"/>
        <v>558</v>
      </c>
      <c r="F997" s="5">
        <f t="shared" si="62"/>
        <v>311364</v>
      </c>
      <c r="G997" s="6">
        <f>SQRT(SUM($F$2:F997)/A997)</f>
        <v>1112.3605841979067</v>
      </c>
      <c r="H997" s="5">
        <f t="shared" si="63"/>
        <v>1</v>
      </c>
      <c r="I997" s="5">
        <f t="shared" si="64"/>
        <v>0</v>
      </c>
    </row>
    <row r="998" spans="1:9">
      <c r="A998">
        <v>997</v>
      </c>
      <c r="B998">
        <v>7</v>
      </c>
      <c r="C998">
        <v>5000</v>
      </c>
      <c r="D998">
        <v>5015</v>
      </c>
      <c r="E998" s="5">
        <f t="shared" si="61"/>
        <v>15</v>
      </c>
      <c r="F998" s="5">
        <f t="shared" si="62"/>
        <v>225</v>
      </c>
      <c r="G998" s="6">
        <f>SQRT(SUM($F$2:F998)/A998)</f>
        <v>1111.802691882436</v>
      </c>
      <c r="H998" s="5">
        <f t="shared" si="63"/>
        <v>1</v>
      </c>
      <c r="I998" s="5">
        <f t="shared" si="64"/>
        <v>1</v>
      </c>
    </row>
    <row r="999" spans="1:9">
      <c r="A999">
        <v>998</v>
      </c>
      <c r="B999">
        <v>7</v>
      </c>
      <c r="C999">
        <v>5000</v>
      </c>
      <c r="D999">
        <v>5050</v>
      </c>
      <c r="E999" s="5">
        <f t="shared" si="61"/>
        <v>50</v>
      </c>
      <c r="F999" s="5">
        <f t="shared" si="62"/>
        <v>2500</v>
      </c>
      <c r="G999" s="6">
        <f>SQRT(SUM($F$2:F999)/A999)</f>
        <v>1111.2466640204564</v>
      </c>
      <c r="H999" s="5">
        <f t="shared" si="63"/>
        <v>1</v>
      </c>
      <c r="I999" s="5">
        <f t="shared" si="64"/>
        <v>1</v>
      </c>
    </row>
    <row r="1000" spans="1:9">
      <c r="A1000">
        <v>999</v>
      </c>
      <c r="B1000">
        <v>7</v>
      </c>
      <c r="C1000">
        <v>5000</v>
      </c>
      <c r="D1000">
        <v>4136</v>
      </c>
      <c r="E1000" s="5">
        <f t="shared" si="61"/>
        <v>864</v>
      </c>
      <c r="F1000" s="5">
        <f t="shared" si="62"/>
        <v>746496</v>
      </c>
      <c r="G1000" s="6">
        <f>SQRT(SUM($F$2:F1000)/A1000)</f>
        <v>1111.0266811765982</v>
      </c>
      <c r="H1000" s="5">
        <f t="shared" si="63"/>
        <v>1</v>
      </c>
      <c r="I1000" s="5">
        <f t="shared" si="64"/>
        <v>0</v>
      </c>
    </row>
    <row r="1001" spans="1:9">
      <c r="A1001">
        <v>1000</v>
      </c>
      <c r="B1001">
        <v>8</v>
      </c>
      <c r="C1001">
        <v>5000</v>
      </c>
      <c r="D1001">
        <v>4287</v>
      </c>
      <c r="E1001" s="5">
        <f t="shared" si="61"/>
        <v>713</v>
      </c>
      <c r="F1001" s="5">
        <f t="shared" si="62"/>
        <v>508369</v>
      </c>
      <c r="G1001" s="6">
        <f>SQRT(SUM($F$2:F1001)/A1001)</f>
        <v>1110.699903214185</v>
      </c>
      <c r="H1001" s="5">
        <f t="shared" si="63"/>
        <v>1</v>
      </c>
      <c r="I1001" s="5">
        <f t="shared" si="64"/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1"/>
  <sheetViews>
    <sheetView topLeftCell="A989" workbookViewId="0">
      <selection activeCell="H1006" sqref="H1006"/>
    </sheetView>
  </sheetViews>
  <sheetFormatPr defaultRowHeight="14.5"/>
  <sheetData>
    <row r="1" spans="1:9" ht="43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</row>
    <row r="2" spans="1:9">
      <c r="A2">
        <v>1</v>
      </c>
      <c r="B2">
        <v>1</v>
      </c>
      <c r="C2">
        <v>5000</v>
      </c>
      <c r="D2">
        <v>1333</v>
      </c>
      <c r="E2" s="5">
        <f>ABS(C2-D2)</f>
        <v>3667</v>
      </c>
      <c r="F2" s="5">
        <f>POWER(E2,2)</f>
        <v>13446889</v>
      </c>
      <c r="G2" s="6">
        <f>SQRT(SUM($F$2:F2)/A2)</f>
        <v>3667</v>
      </c>
      <c r="H2" s="5">
        <f t="shared" ref="H2" si="0">IF(ABS(E2)/C2&gt;0.2,0,1)</f>
        <v>0</v>
      </c>
      <c r="I2" s="5">
        <f>IF(ABS(E2)/C2&gt;0.1,0,1)</f>
        <v>0</v>
      </c>
    </row>
    <row r="3" spans="1:9">
      <c r="A3">
        <v>2</v>
      </c>
      <c r="B3">
        <v>5</v>
      </c>
      <c r="C3">
        <v>5000</v>
      </c>
      <c r="D3">
        <v>4074</v>
      </c>
      <c r="E3" s="5">
        <f t="shared" ref="E3:E66" si="1">ABS(C3-D3)</f>
        <v>926</v>
      </c>
      <c r="F3" s="5">
        <f t="shared" ref="F3:F66" si="2">POWER(E3,2)</f>
        <v>857476</v>
      </c>
      <c r="G3" s="6">
        <f>SQRT(SUM($F$2:F3)/A3)</f>
        <v>2674.3564646471496</v>
      </c>
      <c r="H3" s="5">
        <f t="shared" ref="H3:H66" si="3">IF(ABS(E3)/C3&gt;0.2,0,1)</f>
        <v>1</v>
      </c>
      <c r="I3" s="5">
        <f t="shared" ref="I3:I66" si="4">IF(ABS(E3)/C3&gt;0.1,0,1)</f>
        <v>0</v>
      </c>
    </row>
    <row r="4" spans="1:9">
      <c r="A4">
        <v>3</v>
      </c>
      <c r="B4">
        <v>2</v>
      </c>
      <c r="C4">
        <v>5000</v>
      </c>
      <c r="D4">
        <v>1855</v>
      </c>
      <c r="E4" s="5">
        <f t="shared" si="1"/>
        <v>3145</v>
      </c>
      <c r="F4" s="5">
        <f t="shared" si="2"/>
        <v>9891025</v>
      </c>
      <c r="G4" s="6">
        <f>SQRT(SUM($F$2:F4)/A4)</f>
        <v>2839.9172523156376</v>
      </c>
      <c r="H4" s="5">
        <f t="shared" si="3"/>
        <v>0</v>
      </c>
      <c r="I4" s="5">
        <f t="shared" si="4"/>
        <v>0</v>
      </c>
    </row>
    <row r="5" spans="1:9">
      <c r="A5">
        <v>4</v>
      </c>
      <c r="B5">
        <v>5</v>
      </c>
      <c r="C5">
        <v>5000</v>
      </c>
      <c r="D5">
        <v>3923</v>
      </c>
      <c r="E5" s="5">
        <f t="shared" si="1"/>
        <v>1077</v>
      </c>
      <c r="F5" s="5">
        <f t="shared" si="2"/>
        <v>1159929</v>
      </c>
      <c r="G5" s="6">
        <f>SQRT(SUM($F$2:F5)/A5)</f>
        <v>2517.7032688543741</v>
      </c>
      <c r="H5" s="5">
        <f t="shared" si="3"/>
        <v>0</v>
      </c>
      <c r="I5" s="5">
        <f t="shared" si="4"/>
        <v>0</v>
      </c>
    </row>
    <row r="6" spans="1:9">
      <c r="A6">
        <v>5</v>
      </c>
      <c r="B6">
        <v>4</v>
      </c>
      <c r="C6">
        <v>5000</v>
      </c>
      <c r="D6">
        <v>3175</v>
      </c>
      <c r="E6" s="5">
        <f t="shared" si="1"/>
        <v>1825</v>
      </c>
      <c r="F6" s="5">
        <f t="shared" si="2"/>
        <v>3330625</v>
      </c>
      <c r="G6" s="6">
        <f>SQRT(SUM($F$2:F6)/A6)</f>
        <v>2395.2429521866879</v>
      </c>
      <c r="H6" s="5">
        <f t="shared" si="3"/>
        <v>0</v>
      </c>
      <c r="I6" s="5">
        <f t="shared" si="4"/>
        <v>0</v>
      </c>
    </row>
    <row r="7" spans="1:9">
      <c r="A7">
        <v>6</v>
      </c>
      <c r="B7">
        <v>5</v>
      </c>
      <c r="C7">
        <v>5000</v>
      </c>
      <c r="D7">
        <v>4164</v>
      </c>
      <c r="E7" s="5">
        <f t="shared" si="1"/>
        <v>836</v>
      </c>
      <c r="F7" s="5">
        <f t="shared" si="2"/>
        <v>698896</v>
      </c>
      <c r="G7" s="6">
        <f>SQRT(SUM($F$2:F7)/A7)</f>
        <v>2213.0235727016857</v>
      </c>
      <c r="H7" s="5">
        <f t="shared" si="3"/>
        <v>1</v>
      </c>
      <c r="I7" s="5">
        <f t="shared" si="4"/>
        <v>0</v>
      </c>
    </row>
    <row r="8" spans="1:9">
      <c r="A8">
        <v>7</v>
      </c>
      <c r="B8">
        <v>4</v>
      </c>
      <c r="C8">
        <v>5000</v>
      </c>
      <c r="D8">
        <v>3390</v>
      </c>
      <c r="E8" s="5">
        <f t="shared" si="1"/>
        <v>1610</v>
      </c>
      <c r="F8" s="5">
        <f t="shared" si="2"/>
        <v>2592100</v>
      </c>
      <c r="G8" s="6">
        <f>SQRT(SUM($F$2:F8)/A8)</f>
        <v>2137.3194159306854</v>
      </c>
      <c r="H8" s="5">
        <f t="shared" si="3"/>
        <v>0</v>
      </c>
      <c r="I8" s="5">
        <f t="shared" si="4"/>
        <v>0</v>
      </c>
    </row>
    <row r="9" spans="1:9">
      <c r="A9">
        <v>8</v>
      </c>
      <c r="B9">
        <v>5</v>
      </c>
      <c r="C9">
        <v>5000</v>
      </c>
      <c r="D9">
        <v>4576</v>
      </c>
      <c r="E9" s="5">
        <f t="shared" si="1"/>
        <v>424</v>
      </c>
      <c r="F9" s="5">
        <f t="shared" si="2"/>
        <v>179776</v>
      </c>
      <c r="G9" s="6">
        <f>SQRT(SUM($F$2:F9)/A9)</f>
        <v>2004.8913935672426</v>
      </c>
      <c r="H9" s="5">
        <f t="shared" si="3"/>
        <v>1</v>
      </c>
      <c r="I9" s="5">
        <f t="shared" si="4"/>
        <v>1</v>
      </c>
    </row>
    <row r="10" spans="1:9">
      <c r="A10">
        <v>9</v>
      </c>
      <c r="B10">
        <v>4</v>
      </c>
      <c r="C10">
        <v>5000</v>
      </c>
      <c r="D10">
        <v>3252</v>
      </c>
      <c r="E10" s="5">
        <f t="shared" si="1"/>
        <v>1748</v>
      </c>
      <c r="F10" s="5">
        <f t="shared" si="2"/>
        <v>3055504</v>
      </c>
      <c r="G10" s="6">
        <f>SQRT(SUM($F$2:F10)/A10)</f>
        <v>1977.9961802007831</v>
      </c>
      <c r="H10" s="5">
        <f t="shared" si="3"/>
        <v>0</v>
      </c>
      <c r="I10" s="5">
        <f t="shared" si="4"/>
        <v>0</v>
      </c>
    </row>
    <row r="11" spans="1:9">
      <c r="A11">
        <v>10</v>
      </c>
      <c r="B11">
        <v>6</v>
      </c>
      <c r="C11">
        <v>5000</v>
      </c>
      <c r="D11">
        <v>4659</v>
      </c>
      <c r="E11" s="5">
        <f t="shared" si="1"/>
        <v>341</v>
      </c>
      <c r="F11" s="5">
        <f t="shared" si="2"/>
        <v>116281</v>
      </c>
      <c r="G11" s="6">
        <f>SQRT(SUM($F$2:F11)/A11)</f>
        <v>1879.5877473531264</v>
      </c>
      <c r="H11" s="5">
        <f t="shared" si="3"/>
        <v>1</v>
      </c>
      <c r="I11" s="5">
        <f t="shared" si="4"/>
        <v>1</v>
      </c>
    </row>
    <row r="12" spans="1:9">
      <c r="A12">
        <v>11</v>
      </c>
      <c r="B12">
        <v>5</v>
      </c>
      <c r="C12">
        <v>5000</v>
      </c>
      <c r="D12">
        <v>4233</v>
      </c>
      <c r="E12" s="5">
        <f t="shared" si="1"/>
        <v>767</v>
      </c>
      <c r="F12" s="5">
        <f t="shared" si="2"/>
        <v>588289</v>
      </c>
      <c r="G12" s="6">
        <f>SQRT(SUM($F$2:F12)/A12)</f>
        <v>1806.9761280306741</v>
      </c>
      <c r="H12" s="5">
        <f t="shared" si="3"/>
        <v>1</v>
      </c>
      <c r="I12" s="5">
        <f t="shared" si="4"/>
        <v>0</v>
      </c>
    </row>
    <row r="13" spans="1:9">
      <c r="A13">
        <v>12</v>
      </c>
      <c r="B13">
        <v>5</v>
      </c>
      <c r="C13">
        <v>5000</v>
      </c>
      <c r="D13">
        <v>4239</v>
      </c>
      <c r="E13" s="5">
        <f t="shared" si="1"/>
        <v>761</v>
      </c>
      <c r="F13" s="5">
        <f t="shared" si="2"/>
        <v>579121</v>
      </c>
      <c r="G13" s="6">
        <f>SQRT(SUM($F$2:F13)/A13)</f>
        <v>1743.9397686464595</v>
      </c>
      <c r="H13" s="5">
        <f t="shared" si="3"/>
        <v>1</v>
      </c>
      <c r="I13" s="5">
        <f t="shared" si="4"/>
        <v>0</v>
      </c>
    </row>
    <row r="14" spans="1:9">
      <c r="A14">
        <v>13</v>
      </c>
      <c r="B14">
        <v>6</v>
      </c>
      <c r="C14">
        <v>5000</v>
      </c>
      <c r="D14">
        <v>4738</v>
      </c>
      <c r="E14" s="5">
        <f t="shared" si="1"/>
        <v>262</v>
      </c>
      <c r="F14" s="5">
        <f t="shared" si="2"/>
        <v>68644</v>
      </c>
      <c r="G14" s="6">
        <f>SQRT(SUM($F$2:F14)/A14)</f>
        <v>1677.0981118953885</v>
      </c>
      <c r="H14" s="5">
        <f t="shared" si="3"/>
        <v>1</v>
      </c>
      <c r="I14" s="5">
        <f t="shared" si="4"/>
        <v>1</v>
      </c>
    </row>
    <row r="15" spans="1:9">
      <c r="A15">
        <v>14</v>
      </c>
      <c r="B15">
        <v>5</v>
      </c>
      <c r="C15">
        <v>5000</v>
      </c>
      <c r="D15">
        <v>3493</v>
      </c>
      <c r="E15" s="5">
        <f t="shared" si="1"/>
        <v>1507</v>
      </c>
      <c r="F15" s="5">
        <f t="shared" si="2"/>
        <v>2271049</v>
      </c>
      <c r="G15" s="6">
        <f>SQRT(SUM($F$2:F15)/A15)</f>
        <v>1665.5244562256401</v>
      </c>
      <c r="H15" s="5">
        <f t="shared" si="3"/>
        <v>0</v>
      </c>
      <c r="I15" s="5">
        <f t="shared" si="4"/>
        <v>0</v>
      </c>
    </row>
    <row r="16" spans="1:9">
      <c r="A16">
        <v>15</v>
      </c>
      <c r="B16">
        <v>7</v>
      </c>
      <c r="C16">
        <v>5000</v>
      </c>
      <c r="D16">
        <v>4437</v>
      </c>
      <c r="E16" s="5">
        <f t="shared" si="1"/>
        <v>563</v>
      </c>
      <c r="F16" s="5">
        <f t="shared" si="2"/>
        <v>316969</v>
      </c>
      <c r="G16" s="6">
        <f>SQRT(SUM($F$2:F16)/A16)</f>
        <v>1615.6025295020224</v>
      </c>
      <c r="H16" s="5">
        <f t="shared" si="3"/>
        <v>1</v>
      </c>
      <c r="I16" s="5">
        <f t="shared" si="4"/>
        <v>0</v>
      </c>
    </row>
    <row r="17" spans="1:9">
      <c r="A17">
        <v>16</v>
      </c>
      <c r="B17">
        <v>6</v>
      </c>
      <c r="C17">
        <v>5000</v>
      </c>
      <c r="D17">
        <v>3751</v>
      </c>
      <c r="E17" s="5">
        <f t="shared" si="1"/>
        <v>1249</v>
      </c>
      <c r="F17" s="5">
        <f t="shared" si="2"/>
        <v>1560001</v>
      </c>
      <c r="G17" s="6">
        <f>SQRT(SUM($F$2:F17)/A17)</f>
        <v>1595.1601408636061</v>
      </c>
      <c r="H17" s="5">
        <f t="shared" si="3"/>
        <v>0</v>
      </c>
      <c r="I17" s="5">
        <f t="shared" si="4"/>
        <v>0</v>
      </c>
    </row>
    <row r="18" spans="1:9">
      <c r="A18">
        <v>17</v>
      </c>
      <c r="B18">
        <v>7</v>
      </c>
      <c r="C18">
        <v>5000</v>
      </c>
      <c r="D18">
        <v>5480</v>
      </c>
      <c r="E18" s="5">
        <f t="shared" si="1"/>
        <v>480</v>
      </c>
      <c r="F18" s="5">
        <f t="shared" si="2"/>
        <v>230400</v>
      </c>
      <c r="G18" s="6">
        <f>SQRT(SUM($F$2:F18)/A18)</f>
        <v>1551.9053564229093</v>
      </c>
      <c r="H18" s="5">
        <f t="shared" si="3"/>
        <v>1</v>
      </c>
      <c r="I18" s="5">
        <f t="shared" si="4"/>
        <v>1</v>
      </c>
    </row>
    <row r="19" spans="1:9">
      <c r="A19">
        <v>18</v>
      </c>
      <c r="B19">
        <v>5</v>
      </c>
      <c r="C19">
        <v>5000</v>
      </c>
      <c r="D19">
        <v>4009</v>
      </c>
      <c r="E19" s="5">
        <f t="shared" si="1"/>
        <v>991</v>
      </c>
      <c r="F19" s="5">
        <f t="shared" si="2"/>
        <v>982081</v>
      </c>
      <c r="G19" s="6">
        <f>SQRT(SUM($F$2:F19)/A19)</f>
        <v>1526.1617614860563</v>
      </c>
      <c r="H19" s="5">
        <f t="shared" si="3"/>
        <v>1</v>
      </c>
      <c r="I19" s="5">
        <f t="shared" si="4"/>
        <v>0</v>
      </c>
    </row>
    <row r="20" spans="1:9">
      <c r="A20">
        <v>19</v>
      </c>
      <c r="B20">
        <v>7</v>
      </c>
      <c r="C20">
        <v>5000</v>
      </c>
      <c r="D20">
        <v>4687</v>
      </c>
      <c r="E20" s="5">
        <f t="shared" si="1"/>
        <v>313</v>
      </c>
      <c r="F20" s="5">
        <f t="shared" si="2"/>
        <v>97969</v>
      </c>
      <c r="G20" s="6">
        <f>SQRT(SUM($F$2:F20)/A20)</f>
        <v>1487.1913478981639</v>
      </c>
      <c r="H20" s="5">
        <f t="shared" si="3"/>
        <v>1</v>
      </c>
      <c r="I20" s="5">
        <f t="shared" si="4"/>
        <v>1</v>
      </c>
    </row>
    <row r="21" spans="1:9">
      <c r="A21">
        <v>20</v>
      </c>
      <c r="B21">
        <v>6</v>
      </c>
      <c r="C21">
        <v>5000</v>
      </c>
      <c r="D21">
        <v>4591</v>
      </c>
      <c r="E21" s="5">
        <f t="shared" si="1"/>
        <v>409</v>
      </c>
      <c r="F21" s="5">
        <f t="shared" si="2"/>
        <v>167281</v>
      </c>
      <c r="G21" s="6">
        <f>SQRT(SUM($F$2:F21)/A21)</f>
        <v>1452.4170372176168</v>
      </c>
      <c r="H21" s="5">
        <f t="shared" si="3"/>
        <v>1</v>
      </c>
      <c r="I21" s="5">
        <f t="shared" si="4"/>
        <v>1</v>
      </c>
    </row>
    <row r="22" spans="1:9">
      <c r="A22">
        <v>21</v>
      </c>
      <c r="B22">
        <v>7</v>
      </c>
      <c r="C22">
        <v>5000</v>
      </c>
      <c r="D22">
        <v>4936</v>
      </c>
      <c r="E22" s="5">
        <f t="shared" si="1"/>
        <v>64</v>
      </c>
      <c r="F22" s="5">
        <f t="shared" si="2"/>
        <v>4096</v>
      </c>
      <c r="G22" s="6">
        <f>SQRT(SUM($F$2:F22)/A22)</f>
        <v>1417.4826949476987</v>
      </c>
      <c r="H22" s="5">
        <f t="shared" si="3"/>
        <v>1</v>
      </c>
      <c r="I22" s="5">
        <f t="shared" si="4"/>
        <v>1</v>
      </c>
    </row>
    <row r="23" spans="1:9">
      <c r="A23">
        <v>22</v>
      </c>
      <c r="B23">
        <v>6</v>
      </c>
      <c r="C23">
        <v>5000</v>
      </c>
      <c r="D23">
        <v>4326</v>
      </c>
      <c r="E23" s="5">
        <f t="shared" si="1"/>
        <v>674</v>
      </c>
      <c r="F23" s="5">
        <f t="shared" si="2"/>
        <v>454276</v>
      </c>
      <c r="G23" s="6">
        <f>SQRT(SUM($F$2:F23)/A23)</f>
        <v>1392.32762928584</v>
      </c>
      <c r="H23" s="5">
        <f t="shared" si="3"/>
        <v>1</v>
      </c>
      <c r="I23" s="5">
        <f t="shared" si="4"/>
        <v>0</v>
      </c>
    </row>
    <row r="24" spans="1:9">
      <c r="A24">
        <v>23</v>
      </c>
      <c r="B24">
        <v>7</v>
      </c>
      <c r="C24">
        <v>5000</v>
      </c>
      <c r="D24">
        <v>4690</v>
      </c>
      <c r="E24" s="5">
        <f t="shared" si="1"/>
        <v>310</v>
      </c>
      <c r="F24" s="5">
        <f t="shared" si="2"/>
        <v>96100</v>
      </c>
      <c r="G24" s="6">
        <f>SQRT(SUM($F$2:F24)/A24)</f>
        <v>1363.256602851199</v>
      </c>
      <c r="H24" s="5">
        <f t="shared" si="3"/>
        <v>1</v>
      </c>
      <c r="I24" s="5">
        <f t="shared" si="4"/>
        <v>1</v>
      </c>
    </row>
    <row r="25" spans="1:9">
      <c r="A25">
        <v>24</v>
      </c>
      <c r="B25">
        <v>7</v>
      </c>
      <c r="C25">
        <v>5000</v>
      </c>
      <c r="D25">
        <v>5027</v>
      </c>
      <c r="E25" s="5">
        <f t="shared" si="1"/>
        <v>27</v>
      </c>
      <c r="F25" s="5">
        <f t="shared" si="2"/>
        <v>729</v>
      </c>
      <c r="G25" s="6">
        <f>SQRT(SUM($F$2:F25)/A25)</f>
        <v>1334.5646293829311</v>
      </c>
      <c r="H25" s="5">
        <f t="shared" si="3"/>
        <v>1</v>
      </c>
      <c r="I25" s="5">
        <f t="shared" si="4"/>
        <v>1</v>
      </c>
    </row>
    <row r="26" spans="1:9">
      <c r="A26">
        <v>25</v>
      </c>
      <c r="B26">
        <v>6</v>
      </c>
      <c r="C26">
        <v>5000</v>
      </c>
      <c r="D26">
        <v>4845</v>
      </c>
      <c r="E26" s="5">
        <f t="shared" si="1"/>
        <v>155</v>
      </c>
      <c r="F26" s="5">
        <f t="shared" si="2"/>
        <v>24025</v>
      </c>
      <c r="G26" s="6">
        <f>SQRT(SUM($F$2:F26)/A26)</f>
        <v>1307.968363531779</v>
      </c>
      <c r="H26" s="5">
        <f t="shared" si="3"/>
        <v>1</v>
      </c>
      <c r="I26" s="5">
        <f t="shared" si="4"/>
        <v>1</v>
      </c>
    </row>
    <row r="27" spans="1:9">
      <c r="A27">
        <v>26</v>
      </c>
      <c r="B27">
        <v>7</v>
      </c>
      <c r="C27">
        <v>5000</v>
      </c>
      <c r="D27">
        <v>5166</v>
      </c>
      <c r="E27" s="5">
        <f t="shared" si="1"/>
        <v>166</v>
      </c>
      <c r="F27" s="5">
        <f t="shared" si="2"/>
        <v>27556</v>
      </c>
      <c r="G27" s="6">
        <f>SQRT(SUM($F$2:F27)/A27)</f>
        <v>1282.9816084778097</v>
      </c>
      <c r="H27" s="5">
        <f t="shared" si="3"/>
        <v>1</v>
      </c>
      <c r="I27" s="5">
        <f t="shared" si="4"/>
        <v>1</v>
      </c>
    </row>
    <row r="28" spans="1:9">
      <c r="A28">
        <v>27</v>
      </c>
      <c r="B28">
        <v>6</v>
      </c>
      <c r="C28">
        <v>5000</v>
      </c>
      <c r="D28">
        <v>3504</v>
      </c>
      <c r="E28" s="5">
        <f t="shared" si="1"/>
        <v>1496</v>
      </c>
      <c r="F28" s="5">
        <f t="shared" si="2"/>
        <v>2238016</v>
      </c>
      <c r="G28" s="6">
        <f>SQRT(SUM($F$2:F28)/A28)</f>
        <v>1291.4978814453309</v>
      </c>
      <c r="H28" s="5">
        <f t="shared" si="3"/>
        <v>0</v>
      </c>
      <c r="I28" s="5">
        <f t="shared" si="4"/>
        <v>0</v>
      </c>
    </row>
    <row r="29" spans="1:9">
      <c r="A29">
        <v>28</v>
      </c>
      <c r="B29">
        <v>8</v>
      </c>
      <c r="C29">
        <v>5000</v>
      </c>
      <c r="D29">
        <v>5645</v>
      </c>
      <c r="E29" s="5">
        <f t="shared" si="1"/>
        <v>645</v>
      </c>
      <c r="F29" s="5">
        <f t="shared" si="2"/>
        <v>416025</v>
      </c>
      <c r="G29" s="6">
        <f>SQRT(SUM($F$2:F29)/A29)</f>
        <v>1274.0700810507133</v>
      </c>
      <c r="H29" s="5">
        <f t="shared" si="3"/>
        <v>1</v>
      </c>
      <c r="I29" s="5">
        <f t="shared" si="4"/>
        <v>0</v>
      </c>
    </row>
    <row r="30" spans="1:9">
      <c r="A30">
        <v>29</v>
      </c>
      <c r="B30">
        <v>6</v>
      </c>
      <c r="C30">
        <v>5000</v>
      </c>
      <c r="D30">
        <v>4332</v>
      </c>
      <c r="E30" s="5">
        <f t="shared" si="1"/>
        <v>668</v>
      </c>
      <c r="F30" s="5">
        <f t="shared" si="2"/>
        <v>446224</v>
      </c>
      <c r="G30" s="6">
        <f>SQRT(SUM($F$2:F30)/A30)</f>
        <v>1258.041060675218</v>
      </c>
      <c r="H30" s="5">
        <f t="shared" si="3"/>
        <v>1</v>
      </c>
      <c r="I30" s="5">
        <f t="shared" si="4"/>
        <v>0</v>
      </c>
    </row>
    <row r="31" spans="1:9">
      <c r="A31">
        <v>30</v>
      </c>
      <c r="B31">
        <v>8</v>
      </c>
      <c r="C31">
        <v>5000</v>
      </c>
      <c r="D31">
        <v>5097</v>
      </c>
      <c r="E31" s="5">
        <f t="shared" si="1"/>
        <v>97</v>
      </c>
      <c r="F31" s="5">
        <f t="shared" si="2"/>
        <v>9409</v>
      </c>
      <c r="G31" s="6">
        <f>SQRT(SUM($F$2:F31)/A31)</f>
        <v>1237.0227834064603</v>
      </c>
      <c r="H31" s="5">
        <f t="shared" si="3"/>
        <v>1</v>
      </c>
      <c r="I31" s="5">
        <f t="shared" si="4"/>
        <v>1</v>
      </c>
    </row>
    <row r="32" spans="1:9">
      <c r="A32">
        <v>31</v>
      </c>
      <c r="B32">
        <v>7</v>
      </c>
      <c r="C32">
        <v>5000</v>
      </c>
      <c r="D32">
        <v>4233</v>
      </c>
      <c r="E32" s="5">
        <f t="shared" si="1"/>
        <v>767</v>
      </c>
      <c r="F32" s="5">
        <f t="shared" si="2"/>
        <v>588289</v>
      </c>
      <c r="G32" s="6">
        <f>SQRT(SUM($F$2:F32)/A32)</f>
        <v>1224.6796816231765</v>
      </c>
      <c r="H32" s="5">
        <f t="shared" si="3"/>
        <v>1</v>
      </c>
      <c r="I32" s="5">
        <f t="shared" si="4"/>
        <v>0</v>
      </c>
    </row>
    <row r="33" spans="1:9">
      <c r="A33">
        <v>32</v>
      </c>
      <c r="B33">
        <v>8</v>
      </c>
      <c r="C33">
        <v>5000</v>
      </c>
      <c r="D33">
        <v>5392</v>
      </c>
      <c r="E33" s="5">
        <f t="shared" si="1"/>
        <v>392</v>
      </c>
      <c r="F33" s="5">
        <f t="shared" si="2"/>
        <v>153664</v>
      </c>
      <c r="G33" s="6">
        <f>SQRT(SUM($F$2:F33)/A33)</f>
        <v>1207.3824218117472</v>
      </c>
      <c r="H33" s="5">
        <f t="shared" si="3"/>
        <v>1</v>
      </c>
      <c r="I33" s="5">
        <f t="shared" si="4"/>
        <v>1</v>
      </c>
    </row>
    <row r="34" spans="1:9">
      <c r="A34">
        <v>33</v>
      </c>
      <c r="B34">
        <v>7</v>
      </c>
      <c r="C34">
        <v>5000</v>
      </c>
      <c r="D34">
        <v>4669</v>
      </c>
      <c r="E34" s="5">
        <f t="shared" si="1"/>
        <v>331</v>
      </c>
      <c r="F34" s="5">
        <f t="shared" si="2"/>
        <v>109561</v>
      </c>
      <c r="G34" s="6">
        <f>SQRT(SUM($F$2:F34)/A34)</f>
        <v>1190.3434060145939</v>
      </c>
      <c r="H34" s="5">
        <f t="shared" si="3"/>
        <v>1</v>
      </c>
      <c r="I34" s="5">
        <f t="shared" si="4"/>
        <v>1</v>
      </c>
    </row>
    <row r="35" spans="1:9">
      <c r="A35">
        <v>34</v>
      </c>
      <c r="B35">
        <v>7</v>
      </c>
      <c r="C35">
        <v>5000</v>
      </c>
      <c r="D35">
        <v>4324</v>
      </c>
      <c r="E35" s="5">
        <f t="shared" si="1"/>
        <v>676</v>
      </c>
      <c r="F35" s="5">
        <f t="shared" si="2"/>
        <v>456976</v>
      </c>
      <c r="G35" s="6">
        <f>SQRT(SUM($F$2:F35)/A35)</f>
        <v>1178.4243093814623</v>
      </c>
      <c r="H35" s="5">
        <f t="shared" si="3"/>
        <v>1</v>
      </c>
      <c r="I35" s="5">
        <f t="shared" si="4"/>
        <v>0</v>
      </c>
    </row>
    <row r="36" spans="1:9">
      <c r="A36">
        <v>35</v>
      </c>
      <c r="B36">
        <v>8</v>
      </c>
      <c r="C36">
        <v>5000</v>
      </c>
      <c r="D36">
        <v>5345</v>
      </c>
      <c r="E36" s="5">
        <f t="shared" si="1"/>
        <v>345</v>
      </c>
      <c r="F36" s="5">
        <f t="shared" si="2"/>
        <v>119025</v>
      </c>
      <c r="G36" s="6">
        <f>SQRT(SUM($F$2:F36)/A36)</f>
        <v>1162.9307312623077</v>
      </c>
      <c r="H36" s="5">
        <f t="shared" si="3"/>
        <v>1</v>
      </c>
      <c r="I36" s="5">
        <f t="shared" si="4"/>
        <v>1</v>
      </c>
    </row>
    <row r="37" spans="1:9">
      <c r="A37">
        <v>36</v>
      </c>
      <c r="B37">
        <v>7</v>
      </c>
      <c r="C37">
        <v>5000</v>
      </c>
      <c r="D37">
        <v>5096</v>
      </c>
      <c r="E37" s="5">
        <f t="shared" si="1"/>
        <v>96</v>
      </c>
      <c r="F37" s="5">
        <f t="shared" si="2"/>
        <v>9216</v>
      </c>
      <c r="G37" s="6">
        <f>SQRT(SUM($F$2:F37)/A37)</f>
        <v>1146.7767873479129</v>
      </c>
      <c r="H37" s="5">
        <f t="shared" si="3"/>
        <v>1</v>
      </c>
      <c r="I37" s="5">
        <f t="shared" si="4"/>
        <v>1</v>
      </c>
    </row>
    <row r="38" spans="1:9">
      <c r="A38">
        <v>37</v>
      </c>
      <c r="B38">
        <v>7</v>
      </c>
      <c r="C38">
        <v>5000</v>
      </c>
      <c r="D38">
        <v>5231</v>
      </c>
      <c r="E38" s="5">
        <f t="shared" si="1"/>
        <v>231</v>
      </c>
      <c r="F38" s="5">
        <f t="shared" si="2"/>
        <v>53361</v>
      </c>
      <c r="G38" s="6">
        <f>SQRT(SUM($F$2:F38)/A38)</f>
        <v>1131.810950215197</v>
      </c>
      <c r="H38" s="5">
        <f t="shared" si="3"/>
        <v>1</v>
      </c>
      <c r="I38" s="5">
        <f t="shared" si="4"/>
        <v>1</v>
      </c>
    </row>
    <row r="39" spans="1:9">
      <c r="A39">
        <v>38</v>
      </c>
      <c r="B39">
        <v>7</v>
      </c>
      <c r="C39">
        <v>5000</v>
      </c>
      <c r="D39">
        <v>4612</v>
      </c>
      <c r="E39" s="5">
        <f t="shared" si="1"/>
        <v>388</v>
      </c>
      <c r="F39" s="5">
        <f t="shared" si="2"/>
        <v>150544</v>
      </c>
      <c r="G39" s="6">
        <f>SQRT(SUM($F$2:F39)/A39)</f>
        <v>1118.5916544806171</v>
      </c>
      <c r="H39" s="5">
        <f t="shared" si="3"/>
        <v>1</v>
      </c>
      <c r="I39" s="5">
        <f t="shared" si="4"/>
        <v>1</v>
      </c>
    </row>
    <row r="40" spans="1:9">
      <c r="A40">
        <v>39</v>
      </c>
      <c r="B40">
        <v>8</v>
      </c>
      <c r="C40">
        <v>5000</v>
      </c>
      <c r="D40">
        <v>5261</v>
      </c>
      <c r="E40" s="5">
        <f t="shared" si="1"/>
        <v>261</v>
      </c>
      <c r="F40" s="5">
        <f t="shared" si="2"/>
        <v>68121</v>
      </c>
      <c r="G40" s="6">
        <f>SQRT(SUM($F$2:F40)/A40)</f>
        <v>1104.9482874545388</v>
      </c>
      <c r="H40" s="5">
        <f t="shared" si="3"/>
        <v>1</v>
      </c>
      <c r="I40" s="5">
        <f t="shared" si="4"/>
        <v>1</v>
      </c>
    </row>
    <row r="41" spans="1:9">
      <c r="A41">
        <v>40</v>
      </c>
      <c r="B41">
        <v>7</v>
      </c>
      <c r="C41">
        <v>5000</v>
      </c>
      <c r="D41">
        <v>3595</v>
      </c>
      <c r="E41" s="5">
        <f t="shared" si="1"/>
        <v>1405</v>
      </c>
      <c r="F41" s="5">
        <f t="shared" si="2"/>
        <v>1974025</v>
      </c>
      <c r="G41" s="6">
        <f>SQRT(SUM($F$2:F41)/A41)</f>
        <v>1113.4354830882658</v>
      </c>
      <c r="H41" s="5">
        <f t="shared" si="3"/>
        <v>0</v>
      </c>
      <c r="I41" s="5">
        <f t="shared" si="4"/>
        <v>0</v>
      </c>
    </row>
    <row r="42" spans="1:9">
      <c r="A42">
        <v>41</v>
      </c>
      <c r="B42">
        <v>9</v>
      </c>
      <c r="C42">
        <v>5000</v>
      </c>
      <c r="D42">
        <v>5155</v>
      </c>
      <c r="E42" s="5">
        <f t="shared" si="1"/>
        <v>155</v>
      </c>
      <c r="F42" s="5">
        <f t="shared" si="2"/>
        <v>24025</v>
      </c>
      <c r="G42" s="6">
        <f>SQRT(SUM($F$2:F42)/A42)</f>
        <v>1100.0395558298092</v>
      </c>
      <c r="H42" s="5">
        <f t="shared" si="3"/>
        <v>1</v>
      </c>
      <c r="I42" s="5">
        <f t="shared" si="4"/>
        <v>1</v>
      </c>
    </row>
    <row r="43" spans="1:9">
      <c r="A43">
        <v>42</v>
      </c>
      <c r="B43">
        <v>7</v>
      </c>
      <c r="C43">
        <v>5000</v>
      </c>
      <c r="D43">
        <v>2283</v>
      </c>
      <c r="E43" s="5">
        <f t="shared" si="1"/>
        <v>2717</v>
      </c>
      <c r="F43" s="5">
        <f t="shared" si="2"/>
        <v>7382089</v>
      </c>
      <c r="G43" s="6">
        <f>SQRT(SUM($F$2:F43)/A43)</f>
        <v>1164.9203631068317</v>
      </c>
      <c r="H43" s="5">
        <f t="shared" si="3"/>
        <v>0</v>
      </c>
      <c r="I43" s="5">
        <f t="shared" si="4"/>
        <v>0</v>
      </c>
    </row>
    <row r="44" spans="1:9">
      <c r="A44">
        <v>43</v>
      </c>
      <c r="B44">
        <v>11</v>
      </c>
      <c r="C44">
        <v>5000</v>
      </c>
      <c r="D44">
        <v>6046</v>
      </c>
      <c r="E44" s="5">
        <f t="shared" si="1"/>
        <v>1046</v>
      </c>
      <c r="F44" s="5">
        <f t="shared" si="2"/>
        <v>1094116</v>
      </c>
      <c r="G44" s="6">
        <f>SQRT(SUM($F$2:F44)/A44)</f>
        <v>1162.2929723130792</v>
      </c>
      <c r="H44" s="5">
        <f t="shared" si="3"/>
        <v>0</v>
      </c>
      <c r="I44" s="5">
        <f t="shared" si="4"/>
        <v>0</v>
      </c>
    </row>
    <row r="45" spans="1:9">
      <c r="A45">
        <v>44</v>
      </c>
      <c r="B45">
        <v>7</v>
      </c>
      <c r="C45">
        <v>5000</v>
      </c>
      <c r="D45">
        <v>4039</v>
      </c>
      <c r="E45" s="5">
        <f t="shared" si="1"/>
        <v>961</v>
      </c>
      <c r="F45" s="5">
        <f t="shared" si="2"/>
        <v>923521</v>
      </c>
      <c r="G45" s="6">
        <f>SQRT(SUM($F$2:F45)/A45)</f>
        <v>1158.1067426074021</v>
      </c>
      <c r="H45" s="5">
        <f t="shared" si="3"/>
        <v>1</v>
      </c>
      <c r="I45" s="5">
        <f t="shared" si="4"/>
        <v>0</v>
      </c>
    </row>
    <row r="46" spans="1:9">
      <c r="A46">
        <v>45</v>
      </c>
      <c r="B46">
        <v>9</v>
      </c>
      <c r="C46">
        <v>5000</v>
      </c>
      <c r="D46">
        <v>5785</v>
      </c>
      <c r="E46" s="5">
        <f t="shared" si="1"/>
        <v>785</v>
      </c>
      <c r="F46" s="5">
        <f t="shared" si="2"/>
        <v>616225</v>
      </c>
      <c r="G46" s="6">
        <f>SQRT(SUM($F$2:F46)/A46)</f>
        <v>1151.1300631215493</v>
      </c>
      <c r="H46" s="5">
        <f t="shared" si="3"/>
        <v>1</v>
      </c>
      <c r="I46" s="5">
        <f t="shared" si="4"/>
        <v>0</v>
      </c>
    </row>
    <row r="47" spans="1:9">
      <c r="A47">
        <v>46</v>
      </c>
      <c r="B47">
        <v>7</v>
      </c>
      <c r="C47">
        <v>5000</v>
      </c>
      <c r="D47">
        <v>4528</v>
      </c>
      <c r="E47" s="5">
        <f t="shared" si="1"/>
        <v>472</v>
      </c>
      <c r="F47" s="5">
        <f t="shared" si="2"/>
        <v>222784</v>
      </c>
      <c r="G47" s="6">
        <f>SQRT(SUM($F$2:F47)/A47)</f>
        <v>1140.6739331373933</v>
      </c>
      <c r="H47" s="5">
        <f t="shared" si="3"/>
        <v>1</v>
      </c>
      <c r="I47" s="5">
        <f t="shared" si="4"/>
        <v>1</v>
      </c>
    </row>
    <row r="48" spans="1:9">
      <c r="A48">
        <v>47</v>
      </c>
      <c r="B48">
        <v>9</v>
      </c>
      <c r="C48">
        <v>5000</v>
      </c>
      <c r="D48">
        <v>5990</v>
      </c>
      <c r="E48" s="5">
        <f t="shared" si="1"/>
        <v>990</v>
      </c>
      <c r="F48" s="5">
        <f t="shared" si="2"/>
        <v>980100</v>
      </c>
      <c r="G48" s="6">
        <f>SQRT(SUM($F$2:F48)/A48)</f>
        <v>1137.6758970851542</v>
      </c>
      <c r="H48" s="5">
        <f t="shared" si="3"/>
        <v>1</v>
      </c>
      <c r="I48" s="5">
        <f t="shared" si="4"/>
        <v>0</v>
      </c>
    </row>
    <row r="49" spans="1:9">
      <c r="A49">
        <v>48</v>
      </c>
      <c r="B49">
        <v>7</v>
      </c>
      <c r="C49">
        <v>5000</v>
      </c>
      <c r="D49">
        <v>4811</v>
      </c>
      <c r="E49" s="5">
        <f t="shared" si="1"/>
        <v>189</v>
      </c>
      <c r="F49" s="5">
        <f t="shared" si="2"/>
        <v>35721</v>
      </c>
      <c r="G49" s="6">
        <f>SQRT(SUM($F$2:F49)/A49)</f>
        <v>1126.0932095819896</v>
      </c>
      <c r="H49" s="5">
        <f t="shared" si="3"/>
        <v>1</v>
      </c>
      <c r="I49" s="5">
        <f t="shared" si="4"/>
        <v>1</v>
      </c>
    </row>
    <row r="50" spans="1:9">
      <c r="A50">
        <v>49</v>
      </c>
      <c r="B50">
        <v>8</v>
      </c>
      <c r="C50">
        <v>5000</v>
      </c>
      <c r="D50">
        <v>4882</v>
      </c>
      <c r="E50" s="5">
        <f t="shared" si="1"/>
        <v>118</v>
      </c>
      <c r="F50" s="5">
        <f t="shared" si="2"/>
        <v>13924</v>
      </c>
      <c r="G50" s="6">
        <f>SQRT(SUM($F$2:F50)/A50)</f>
        <v>1114.6707027235461</v>
      </c>
      <c r="H50" s="5">
        <f t="shared" si="3"/>
        <v>1</v>
      </c>
      <c r="I50" s="5">
        <f t="shared" si="4"/>
        <v>1</v>
      </c>
    </row>
    <row r="51" spans="1:9">
      <c r="A51">
        <v>50</v>
      </c>
      <c r="B51">
        <v>8</v>
      </c>
      <c r="C51">
        <v>5000</v>
      </c>
      <c r="D51">
        <v>4847</v>
      </c>
      <c r="E51" s="5">
        <f t="shared" si="1"/>
        <v>153</v>
      </c>
      <c r="F51" s="5">
        <f t="shared" si="2"/>
        <v>23409</v>
      </c>
      <c r="G51" s="6">
        <f>SQRT(SUM($F$2:F51)/A51)</f>
        <v>1103.6798177007677</v>
      </c>
      <c r="H51" s="5">
        <f t="shared" si="3"/>
        <v>1</v>
      </c>
      <c r="I51" s="5">
        <f t="shared" si="4"/>
        <v>1</v>
      </c>
    </row>
    <row r="52" spans="1:9">
      <c r="A52">
        <v>51</v>
      </c>
      <c r="B52">
        <v>8</v>
      </c>
      <c r="C52">
        <v>5000</v>
      </c>
      <c r="D52">
        <v>5205</v>
      </c>
      <c r="E52" s="5">
        <f t="shared" si="1"/>
        <v>205</v>
      </c>
      <c r="F52" s="5">
        <f t="shared" si="2"/>
        <v>42025</v>
      </c>
      <c r="G52" s="6">
        <f>SQRT(SUM($F$2:F52)/A52)</f>
        <v>1093.1828148423606</v>
      </c>
      <c r="H52" s="5">
        <f t="shared" si="3"/>
        <v>1</v>
      </c>
      <c r="I52" s="5">
        <f t="shared" si="4"/>
        <v>1</v>
      </c>
    </row>
    <row r="53" spans="1:9">
      <c r="A53">
        <v>52</v>
      </c>
      <c r="B53">
        <v>8</v>
      </c>
      <c r="C53">
        <v>5000</v>
      </c>
      <c r="D53">
        <v>5090</v>
      </c>
      <c r="E53" s="5">
        <f t="shared" si="1"/>
        <v>90</v>
      </c>
      <c r="F53" s="5">
        <f t="shared" si="2"/>
        <v>8100</v>
      </c>
      <c r="G53" s="6">
        <f>SQRT(SUM($F$2:F53)/A53)</f>
        <v>1082.6923527804336</v>
      </c>
      <c r="H53" s="5">
        <f t="shared" si="3"/>
        <v>1</v>
      </c>
      <c r="I53" s="5">
        <f t="shared" si="4"/>
        <v>1</v>
      </c>
    </row>
    <row r="54" spans="1:9">
      <c r="A54">
        <v>53</v>
      </c>
      <c r="B54">
        <v>8</v>
      </c>
      <c r="C54">
        <v>5000</v>
      </c>
      <c r="D54">
        <v>5458</v>
      </c>
      <c r="E54" s="5">
        <f t="shared" si="1"/>
        <v>458</v>
      </c>
      <c r="F54" s="5">
        <f t="shared" si="2"/>
        <v>209764</v>
      </c>
      <c r="G54" s="6">
        <f>SQRT(SUM($F$2:F54)/A54)</f>
        <v>1074.2733041807712</v>
      </c>
      <c r="H54" s="5">
        <f t="shared" si="3"/>
        <v>1</v>
      </c>
      <c r="I54" s="5">
        <f t="shared" si="4"/>
        <v>1</v>
      </c>
    </row>
    <row r="55" spans="1:9">
      <c r="A55">
        <v>54</v>
      </c>
      <c r="B55">
        <v>7</v>
      </c>
      <c r="C55">
        <v>5000</v>
      </c>
      <c r="D55">
        <v>5114</v>
      </c>
      <c r="E55" s="5">
        <f t="shared" si="1"/>
        <v>114</v>
      </c>
      <c r="F55" s="5">
        <f t="shared" si="2"/>
        <v>12996</v>
      </c>
      <c r="G55" s="6">
        <f>SQRT(SUM($F$2:F55)/A55)</f>
        <v>1064.3929064303554</v>
      </c>
      <c r="H55" s="5">
        <f t="shared" si="3"/>
        <v>1</v>
      </c>
      <c r="I55" s="5">
        <f t="shared" si="4"/>
        <v>1</v>
      </c>
    </row>
    <row r="56" spans="1:9">
      <c r="A56">
        <v>55</v>
      </c>
      <c r="B56">
        <v>8</v>
      </c>
      <c r="C56">
        <v>5000</v>
      </c>
      <c r="D56">
        <v>5612</v>
      </c>
      <c r="E56" s="5">
        <f t="shared" si="1"/>
        <v>612</v>
      </c>
      <c r="F56" s="5">
        <f t="shared" si="2"/>
        <v>374544</v>
      </c>
      <c r="G56" s="6">
        <f>SQRT(SUM($F$2:F56)/A56)</f>
        <v>1057.8957329615155</v>
      </c>
      <c r="H56" s="5">
        <f t="shared" si="3"/>
        <v>1</v>
      </c>
      <c r="I56" s="5">
        <f t="shared" si="4"/>
        <v>0</v>
      </c>
    </row>
    <row r="57" spans="1:9">
      <c r="A57">
        <v>56</v>
      </c>
      <c r="B57">
        <v>7</v>
      </c>
      <c r="C57">
        <v>5000</v>
      </c>
      <c r="D57">
        <v>5547</v>
      </c>
      <c r="E57" s="5">
        <f t="shared" si="1"/>
        <v>547</v>
      </c>
      <c r="F57" s="5">
        <f t="shared" si="2"/>
        <v>299209</v>
      </c>
      <c r="G57" s="6">
        <f>SQRT(SUM($F$2:F57)/A57)</f>
        <v>1050.9527565159965</v>
      </c>
      <c r="H57" s="5">
        <f t="shared" si="3"/>
        <v>1</v>
      </c>
      <c r="I57" s="5">
        <f t="shared" si="4"/>
        <v>0</v>
      </c>
    </row>
    <row r="58" spans="1:9">
      <c r="A58">
        <v>57</v>
      </c>
      <c r="B58">
        <v>7</v>
      </c>
      <c r="C58">
        <v>5000</v>
      </c>
      <c r="D58">
        <v>5288</v>
      </c>
      <c r="E58" s="5">
        <f t="shared" si="1"/>
        <v>288</v>
      </c>
      <c r="F58" s="5">
        <f t="shared" si="2"/>
        <v>82944</v>
      </c>
      <c r="G58" s="6">
        <f>SQRT(SUM($F$2:F58)/A58)</f>
        <v>1042.3913044432727</v>
      </c>
      <c r="H58" s="5">
        <f t="shared" si="3"/>
        <v>1</v>
      </c>
      <c r="I58" s="5">
        <f t="shared" si="4"/>
        <v>1</v>
      </c>
    </row>
    <row r="59" spans="1:9">
      <c r="A59">
        <v>58</v>
      </c>
      <c r="B59">
        <v>7</v>
      </c>
      <c r="C59">
        <v>5000</v>
      </c>
      <c r="D59">
        <v>4698</v>
      </c>
      <c r="E59" s="5">
        <f t="shared" si="1"/>
        <v>302</v>
      </c>
      <c r="F59" s="5">
        <f t="shared" si="2"/>
        <v>91204</v>
      </c>
      <c r="G59" s="6">
        <f>SQRT(SUM($F$2:F59)/A59)</f>
        <v>1034.1266763596327</v>
      </c>
      <c r="H59" s="5">
        <f t="shared" si="3"/>
        <v>1</v>
      </c>
      <c r="I59" s="5">
        <f t="shared" si="4"/>
        <v>1</v>
      </c>
    </row>
    <row r="60" spans="1:9">
      <c r="A60">
        <v>59</v>
      </c>
      <c r="B60">
        <v>8</v>
      </c>
      <c r="C60">
        <v>5000</v>
      </c>
      <c r="D60">
        <v>5458</v>
      </c>
      <c r="E60" s="5">
        <f t="shared" si="1"/>
        <v>458</v>
      </c>
      <c r="F60" s="5">
        <f t="shared" si="2"/>
        <v>209764</v>
      </c>
      <c r="G60" s="6">
        <f>SQRT(SUM($F$2:F60)/A60)</f>
        <v>1027.05772781825</v>
      </c>
      <c r="H60" s="5">
        <f t="shared" si="3"/>
        <v>1</v>
      </c>
      <c r="I60" s="5">
        <f t="shared" si="4"/>
        <v>1</v>
      </c>
    </row>
    <row r="61" spans="1:9">
      <c r="A61">
        <v>60</v>
      </c>
      <c r="B61">
        <v>7</v>
      </c>
      <c r="C61">
        <v>5000</v>
      </c>
      <c r="D61">
        <v>4935</v>
      </c>
      <c r="E61" s="5">
        <f t="shared" si="1"/>
        <v>65</v>
      </c>
      <c r="F61" s="5">
        <f t="shared" si="2"/>
        <v>4225</v>
      </c>
      <c r="G61" s="6">
        <f>SQRT(SUM($F$2:F61)/A61)</f>
        <v>1018.4975208609984</v>
      </c>
      <c r="H61" s="5">
        <f t="shared" si="3"/>
        <v>1</v>
      </c>
      <c r="I61" s="5">
        <f t="shared" si="4"/>
        <v>1</v>
      </c>
    </row>
    <row r="62" spans="1:9">
      <c r="A62">
        <v>61</v>
      </c>
      <c r="B62">
        <v>7</v>
      </c>
      <c r="C62">
        <v>5000</v>
      </c>
      <c r="D62">
        <v>5009</v>
      </c>
      <c r="E62" s="5">
        <f t="shared" si="1"/>
        <v>9</v>
      </c>
      <c r="F62" s="5">
        <f t="shared" si="2"/>
        <v>81</v>
      </c>
      <c r="G62" s="6">
        <f>SQRT(SUM($F$2:F62)/A62)</f>
        <v>1010.1153399488595</v>
      </c>
      <c r="H62" s="5">
        <f t="shared" si="3"/>
        <v>1</v>
      </c>
      <c r="I62" s="5">
        <f t="shared" si="4"/>
        <v>1</v>
      </c>
    </row>
    <row r="63" spans="1:9">
      <c r="A63">
        <v>62</v>
      </c>
      <c r="B63">
        <v>7</v>
      </c>
      <c r="C63">
        <v>5000</v>
      </c>
      <c r="D63">
        <v>5511</v>
      </c>
      <c r="E63" s="5">
        <f t="shared" si="1"/>
        <v>511</v>
      </c>
      <c r="F63" s="5">
        <f t="shared" si="2"/>
        <v>261121</v>
      </c>
      <c r="G63" s="6">
        <f>SQRT(SUM($F$2:F63)/A63)</f>
        <v>1004.0356792272325</v>
      </c>
      <c r="H63" s="5">
        <f t="shared" si="3"/>
        <v>1</v>
      </c>
      <c r="I63" s="5">
        <f t="shared" si="4"/>
        <v>0</v>
      </c>
    </row>
    <row r="64" spans="1:9">
      <c r="A64">
        <v>63</v>
      </c>
      <c r="B64">
        <v>7</v>
      </c>
      <c r="C64">
        <v>5000</v>
      </c>
      <c r="D64">
        <v>4960</v>
      </c>
      <c r="E64" s="5">
        <f t="shared" si="1"/>
        <v>40</v>
      </c>
      <c r="F64" s="5">
        <f t="shared" si="2"/>
        <v>1600</v>
      </c>
      <c r="G64" s="6">
        <f>SQRT(SUM($F$2:F64)/A64)</f>
        <v>996.04801630927955</v>
      </c>
      <c r="H64" s="5">
        <f t="shared" si="3"/>
        <v>1</v>
      </c>
      <c r="I64" s="5">
        <f t="shared" si="4"/>
        <v>1</v>
      </c>
    </row>
    <row r="65" spans="1:9">
      <c r="A65">
        <v>64</v>
      </c>
      <c r="B65">
        <v>7</v>
      </c>
      <c r="C65">
        <v>5000</v>
      </c>
      <c r="D65">
        <v>4932</v>
      </c>
      <c r="E65" s="5">
        <f t="shared" si="1"/>
        <v>68</v>
      </c>
      <c r="F65" s="5">
        <f t="shared" si="2"/>
        <v>4624</v>
      </c>
      <c r="G65" s="6">
        <f>SQRT(SUM($F$2:F65)/A65)</f>
        <v>988.27230875401949</v>
      </c>
      <c r="H65" s="5">
        <f t="shared" si="3"/>
        <v>1</v>
      </c>
      <c r="I65" s="5">
        <f t="shared" si="4"/>
        <v>1</v>
      </c>
    </row>
    <row r="66" spans="1:9">
      <c r="A66">
        <v>65</v>
      </c>
      <c r="B66">
        <v>7</v>
      </c>
      <c r="C66">
        <v>5000</v>
      </c>
      <c r="D66">
        <v>5076</v>
      </c>
      <c r="E66" s="5">
        <f t="shared" si="1"/>
        <v>76</v>
      </c>
      <c r="F66" s="5">
        <f t="shared" si="2"/>
        <v>5776</v>
      </c>
      <c r="G66" s="6">
        <f>SQRT(SUM($F$2:F66)/A66)</f>
        <v>980.68605499494004</v>
      </c>
      <c r="H66" s="5">
        <f t="shared" si="3"/>
        <v>1</v>
      </c>
      <c r="I66" s="5">
        <f t="shared" si="4"/>
        <v>1</v>
      </c>
    </row>
    <row r="67" spans="1:9">
      <c r="A67">
        <v>66</v>
      </c>
      <c r="B67">
        <v>7</v>
      </c>
      <c r="C67">
        <v>5000</v>
      </c>
      <c r="D67">
        <v>5044</v>
      </c>
      <c r="E67" s="5">
        <f t="shared" ref="E67:E130" si="5">ABS(C67-D67)</f>
        <v>44</v>
      </c>
      <c r="F67" s="5">
        <f t="shared" ref="F67:F130" si="6">POWER(E67,2)</f>
        <v>1936</v>
      </c>
      <c r="G67" s="6">
        <f>SQRT(SUM($F$2:F67)/A67)</f>
        <v>973.24332813411866</v>
      </c>
      <c r="H67" s="5">
        <f t="shared" ref="H67:H130" si="7">IF(ABS(E67)/C67&gt;0.2,0,1)</f>
        <v>1</v>
      </c>
      <c r="I67" s="5">
        <f t="shared" ref="I67:I130" si="8">IF(ABS(E67)/C67&gt;0.1,0,1)</f>
        <v>1</v>
      </c>
    </row>
    <row r="68" spans="1:9">
      <c r="A68">
        <v>67</v>
      </c>
      <c r="B68">
        <v>7</v>
      </c>
      <c r="C68">
        <v>5000</v>
      </c>
      <c r="D68">
        <v>4913</v>
      </c>
      <c r="E68" s="5">
        <f t="shared" si="5"/>
        <v>87</v>
      </c>
      <c r="F68" s="5">
        <f t="shared" si="6"/>
        <v>7569</v>
      </c>
      <c r="G68" s="6">
        <f>SQRT(SUM($F$2:F68)/A68)</f>
        <v>966.0114875247865</v>
      </c>
      <c r="H68" s="5">
        <f t="shared" si="7"/>
        <v>1</v>
      </c>
      <c r="I68" s="5">
        <f t="shared" si="8"/>
        <v>1</v>
      </c>
    </row>
    <row r="69" spans="1:9">
      <c r="A69">
        <v>68</v>
      </c>
      <c r="B69">
        <v>7</v>
      </c>
      <c r="C69">
        <v>5000</v>
      </c>
      <c r="D69">
        <v>4654</v>
      </c>
      <c r="E69" s="5">
        <f t="shared" si="5"/>
        <v>346</v>
      </c>
      <c r="F69" s="5">
        <f t="shared" si="6"/>
        <v>119716</v>
      </c>
      <c r="G69" s="6">
        <f>SQRT(SUM($F$2:F69)/A69)</f>
        <v>959.79972635226477</v>
      </c>
      <c r="H69" s="5">
        <f t="shared" si="7"/>
        <v>1</v>
      </c>
      <c r="I69" s="5">
        <f t="shared" si="8"/>
        <v>1</v>
      </c>
    </row>
    <row r="70" spans="1:9">
      <c r="A70">
        <v>69</v>
      </c>
      <c r="B70">
        <v>8</v>
      </c>
      <c r="C70">
        <v>5000</v>
      </c>
      <c r="D70">
        <v>5390</v>
      </c>
      <c r="E70" s="5">
        <f t="shared" si="5"/>
        <v>390</v>
      </c>
      <c r="F70" s="5">
        <f t="shared" si="6"/>
        <v>152100</v>
      </c>
      <c r="G70" s="6">
        <f>SQRT(SUM($F$2:F70)/A70)</f>
        <v>953.97532098240265</v>
      </c>
      <c r="H70" s="5">
        <f t="shared" si="7"/>
        <v>1</v>
      </c>
      <c r="I70" s="5">
        <f t="shared" si="8"/>
        <v>1</v>
      </c>
    </row>
    <row r="71" spans="1:9">
      <c r="A71">
        <v>70</v>
      </c>
      <c r="B71">
        <v>7</v>
      </c>
      <c r="C71">
        <v>5000</v>
      </c>
      <c r="D71">
        <v>5149</v>
      </c>
      <c r="E71" s="5">
        <f t="shared" si="5"/>
        <v>149</v>
      </c>
      <c r="F71" s="5">
        <f t="shared" si="6"/>
        <v>22201</v>
      </c>
      <c r="G71" s="6">
        <f>SQRT(SUM($F$2:F71)/A71)</f>
        <v>947.3041146929985</v>
      </c>
      <c r="H71" s="5">
        <f t="shared" si="7"/>
        <v>1</v>
      </c>
      <c r="I71" s="5">
        <f t="shared" si="8"/>
        <v>1</v>
      </c>
    </row>
    <row r="72" spans="1:9">
      <c r="A72">
        <v>71</v>
      </c>
      <c r="B72">
        <v>7</v>
      </c>
      <c r="C72">
        <v>5000</v>
      </c>
      <c r="D72">
        <v>4665</v>
      </c>
      <c r="E72" s="5">
        <f t="shared" si="5"/>
        <v>335</v>
      </c>
      <c r="F72" s="5">
        <f t="shared" si="6"/>
        <v>112225</v>
      </c>
      <c r="G72" s="6">
        <f>SQRT(SUM($F$2:F72)/A72)</f>
        <v>941.44914517872212</v>
      </c>
      <c r="H72" s="5">
        <f t="shared" si="7"/>
        <v>1</v>
      </c>
      <c r="I72" s="5">
        <f t="shared" si="8"/>
        <v>1</v>
      </c>
    </row>
    <row r="73" spans="1:9">
      <c r="A73">
        <v>72</v>
      </c>
      <c r="B73">
        <v>7</v>
      </c>
      <c r="C73">
        <v>5000</v>
      </c>
      <c r="D73">
        <v>4705</v>
      </c>
      <c r="E73" s="5">
        <f t="shared" si="5"/>
        <v>295</v>
      </c>
      <c r="F73" s="5">
        <f t="shared" si="6"/>
        <v>87025</v>
      </c>
      <c r="G73" s="6">
        <f>SQRT(SUM($F$2:F73)/A73)</f>
        <v>935.53465105966723</v>
      </c>
      <c r="H73" s="5">
        <f t="shared" si="7"/>
        <v>1</v>
      </c>
      <c r="I73" s="5">
        <f t="shared" si="8"/>
        <v>1</v>
      </c>
    </row>
    <row r="74" spans="1:9">
      <c r="A74">
        <v>73</v>
      </c>
      <c r="B74">
        <v>8</v>
      </c>
      <c r="C74">
        <v>5000</v>
      </c>
      <c r="D74">
        <v>5440</v>
      </c>
      <c r="E74" s="5">
        <f t="shared" si="5"/>
        <v>440</v>
      </c>
      <c r="F74" s="5">
        <f t="shared" si="6"/>
        <v>193600</v>
      </c>
      <c r="G74" s="6">
        <f>SQRT(SUM($F$2:F74)/A74)</f>
        <v>930.53089869421183</v>
      </c>
      <c r="H74" s="5">
        <f t="shared" si="7"/>
        <v>1</v>
      </c>
      <c r="I74" s="5">
        <f t="shared" si="8"/>
        <v>1</v>
      </c>
    </row>
    <row r="75" spans="1:9">
      <c r="A75">
        <v>74</v>
      </c>
      <c r="B75">
        <v>7</v>
      </c>
      <c r="C75">
        <v>5000</v>
      </c>
      <c r="D75">
        <v>4468</v>
      </c>
      <c r="E75" s="5">
        <f t="shared" si="5"/>
        <v>532</v>
      </c>
      <c r="F75" s="5">
        <f t="shared" si="6"/>
        <v>283024</v>
      </c>
      <c r="G75" s="6">
        <f>SQRT(SUM($F$2:F75)/A75)</f>
        <v>926.28894855558769</v>
      </c>
      <c r="H75" s="5">
        <f t="shared" si="7"/>
        <v>1</v>
      </c>
      <c r="I75" s="5">
        <f t="shared" si="8"/>
        <v>0</v>
      </c>
    </row>
    <row r="76" spans="1:9">
      <c r="A76">
        <v>75</v>
      </c>
      <c r="B76">
        <v>8</v>
      </c>
      <c r="C76">
        <v>5000</v>
      </c>
      <c r="D76">
        <v>5410</v>
      </c>
      <c r="E76" s="5">
        <f t="shared" si="5"/>
        <v>410</v>
      </c>
      <c r="F76" s="5">
        <f t="shared" si="6"/>
        <v>168100</v>
      </c>
      <c r="G76" s="6">
        <f>SQRT(SUM($F$2:F76)/A76)</f>
        <v>921.31015407407733</v>
      </c>
      <c r="H76" s="5">
        <f t="shared" si="7"/>
        <v>1</v>
      </c>
      <c r="I76" s="5">
        <f t="shared" si="8"/>
        <v>1</v>
      </c>
    </row>
    <row r="77" spans="1:9">
      <c r="A77">
        <v>76</v>
      </c>
      <c r="B77">
        <v>7</v>
      </c>
      <c r="C77">
        <v>5000</v>
      </c>
      <c r="D77">
        <v>4909</v>
      </c>
      <c r="E77" s="5">
        <f t="shared" si="5"/>
        <v>91</v>
      </c>
      <c r="F77" s="5">
        <f t="shared" si="6"/>
        <v>8281</v>
      </c>
      <c r="G77" s="6">
        <f>SQRT(SUM($F$2:F77)/A77)</f>
        <v>915.2883569213526</v>
      </c>
      <c r="H77" s="5">
        <f t="shared" si="7"/>
        <v>1</v>
      </c>
      <c r="I77" s="5">
        <f t="shared" si="8"/>
        <v>1</v>
      </c>
    </row>
    <row r="78" spans="1:9">
      <c r="A78">
        <v>77</v>
      </c>
      <c r="B78">
        <v>7</v>
      </c>
      <c r="C78">
        <v>5000</v>
      </c>
      <c r="D78">
        <v>4492</v>
      </c>
      <c r="E78" s="5">
        <f t="shared" si="5"/>
        <v>508</v>
      </c>
      <c r="F78" s="5">
        <f t="shared" si="6"/>
        <v>258064</v>
      </c>
      <c r="G78" s="6">
        <f>SQRT(SUM($F$2:F78)/A78)</f>
        <v>911.16647801011129</v>
      </c>
      <c r="H78" s="5">
        <f t="shared" si="7"/>
        <v>1</v>
      </c>
      <c r="I78" s="5">
        <f t="shared" si="8"/>
        <v>0</v>
      </c>
    </row>
    <row r="79" spans="1:9">
      <c r="A79">
        <v>78</v>
      </c>
      <c r="B79">
        <v>8</v>
      </c>
      <c r="C79">
        <v>5000</v>
      </c>
      <c r="D79">
        <v>5003</v>
      </c>
      <c r="E79" s="5">
        <f t="shared" si="5"/>
        <v>3</v>
      </c>
      <c r="F79" s="5">
        <f t="shared" si="6"/>
        <v>9</v>
      </c>
      <c r="G79" s="6">
        <f>SQRT(SUM($F$2:F79)/A79)</f>
        <v>905.30688945935015</v>
      </c>
      <c r="H79" s="5">
        <f t="shared" si="7"/>
        <v>1</v>
      </c>
      <c r="I79" s="5">
        <f t="shared" si="8"/>
        <v>1</v>
      </c>
    </row>
    <row r="80" spans="1:9">
      <c r="A80">
        <v>79</v>
      </c>
      <c r="B80">
        <v>7</v>
      </c>
      <c r="C80">
        <v>5000</v>
      </c>
      <c r="D80">
        <v>4869</v>
      </c>
      <c r="E80" s="5">
        <f t="shared" si="5"/>
        <v>131</v>
      </c>
      <c r="F80" s="5">
        <f t="shared" si="6"/>
        <v>17161</v>
      </c>
      <c r="G80" s="6">
        <f>SQRT(SUM($F$2:F80)/A80)</f>
        <v>899.6795843134264</v>
      </c>
      <c r="H80" s="5">
        <f t="shared" si="7"/>
        <v>1</v>
      </c>
      <c r="I80" s="5">
        <f t="shared" si="8"/>
        <v>1</v>
      </c>
    </row>
    <row r="81" spans="1:9">
      <c r="A81">
        <v>80</v>
      </c>
      <c r="B81">
        <v>7</v>
      </c>
      <c r="C81">
        <v>5000</v>
      </c>
      <c r="D81">
        <v>4920</v>
      </c>
      <c r="E81" s="5">
        <f t="shared" si="5"/>
        <v>80</v>
      </c>
      <c r="F81" s="5">
        <f t="shared" si="6"/>
        <v>6400</v>
      </c>
      <c r="G81" s="6">
        <f>SQRT(SUM($F$2:F81)/A81)</f>
        <v>894.08364401771712</v>
      </c>
      <c r="H81" s="5">
        <f t="shared" si="7"/>
        <v>1</v>
      </c>
      <c r="I81" s="5">
        <f t="shared" si="8"/>
        <v>1</v>
      </c>
    </row>
    <row r="82" spans="1:9">
      <c r="A82">
        <v>81</v>
      </c>
      <c r="B82">
        <v>7</v>
      </c>
      <c r="C82">
        <v>5000</v>
      </c>
      <c r="D82">
        <v>5758</v>
      </c>
      <c r="E82" s="5">
        <f t="shared" si="5"/>
        <v>758</v>
      </c>
      <c r="F82" s="5">
        <f t="shared" si="6"/>
        <v>574564</v>
      </c>
      <c r="G82" s="6">
        <f>SQRT(SUM($F$2:F82)/A82)</f>
        <v>892.53010462074667</v>
      </c>
      <c r="H82" s="5">
        <f t="shared" si="7"/>
        <v>1</v>
      </c>
      <c r="I82" s="5">
        <f t="shared" si="8"/>
        <v>0</v>
      </c>
    </row>
    <row r="83" spans="1:9">
      <c r="A83">
        <v>82</v>
      </c>
      <c r="B83">
        <v>6</v>
      </c>
      <c r="C83">
        <v>5000</v>
      </c>
      <c r="D83">
        <v>4978</v>
      </c>
      <c r="E83" s="5">
        <f t="shared" si="5"/>
        <v>22</v>
      </c>
      <c r="F83" s="5">
        <f t="shared" si="6"/>
        <v>484</v>
      </c>
      <c r="G83" s="6">
        <f>SQRT(SUM($F$2:F83)/A83)</f>
        <v>887.07448060821901</v>
      </c>
      <c r="H83" s="5">
        <f t="shared" si="7"/>
        <v>1</v>
      </c>
      <c r="I83" s="5">
        <f t="shared" si="8"/>
        <v>1</v>
      </c>
    </row>
    <row r="84" spans="1:9">
      <c r="A84">
        <v>83</v>
      </c>
      <c r="B84">
        <v>7</v>
      </c>
      <c r="C84">
        <v>5000</v>
      </c>
      <c r="D84">
        <v>4863</v>
      </c>
      <c r="E84" s="5">
        <f t="shared" si="5"/>
        <v>137</v>
      </c>
      <c r="F84" s="5">
        <f t="shared" si="6"/>
        <v>18769</v>
      </c>
      <c r="G84" s="6">
        <f>SQRT(SUM($F$2:F84)/A84)</f>
        <v>881.84269012136281</v>
      </c>
      <c r="H84" s="5">
        <f t="shared" si="7"/>
        <v>1</v>
      </c>
      <c r="I84" s="5">
        <f t="shared" si="8"/>
        <v>1</v>
      </c>
    </row>
    <row r="85" spans="1:9">
      <c r="A85">
        <v>84</v>
      </c>
      <c r="B85">
        <v>7</v>
      </c>
      <c r="C85">
        <v>5000</v>
      </c>
      <c r="D85">
        <v>4972</v>
      </c>
      <c r="E85" s="5">
        <f t="shared" si="5"/>
        <v>28</v>
      </c>
      <c r="F85" s="5">
        <f t="shared" si="6"/>
        <v>784</v>
      </c>
      <c r="G85" s="6">
        <f>SQRT(SUM($F$2:F85)/A85)</f>
        <v>876.58323430617054</v>
      </c>
      <c r="H85" s="5">
        <f t="shared" si="7"/>
        <v>1</v>
      </c>
      <c r="I85" s="5">
        <f t="shared" si="8"/>
        <v>1</v>
      </c>
    </row>
    <row r="86" spans="1:9">
      <c r="A86">
        <v>85</v>
      </c>
      <c r="B86">
        <v>7</v>
      </c>
      <c r="C86">
        <v>5000</v>
      </c>
      <c r="D86">
        <v>4990</v>
      </c>
      <c r="E86" s="5">
        <f t="shared" si="5"/>
        <v>10</v>
      </c>
      <c r="F86" s="5">
        <f t="shared" si="6"/>
        <v>100</v>
      </c>
      <c r="G86" s="6">
        <f>SQRT(SUM($F$2:F86)/A86)</f>
        <v>871.41228170475222</v>
      </c>
      <c r="H86" s="5">
        <f t="shared" si="7"/>
        <v>1</v>
      </c>
      <c r="I86" s="5">
        <f t="shared" si="8"/>
        <v>1</v>
      </c>
    </row>
    <row r="87" spans="1:9">
      <c r="A87">
        <v>86</v>
      </c>
      <c r="B87">
        <v>7</v>
      </c>
      <c r="C87">
        <v>5000</v>
      </c>
      <c r="D87">
        <v>5171</v>
      </c>
      <c r="E87" s="5">
        <f t="shared" si="5"/>
        <v>171</v>
      </c>
      <c r="F87" s="5">
        <f t="shared" si="6"/>
        <v>29241</v>
      </c>
      <c r="G87" s="6">
        <f>SQRT(SUM($F$2:F87)/A87)</f>
        <v>866.52733152455721</v>
      </c>
      <c r="H87" s="5">
        <f t="shared" si="7"/>
        <v>1</v>
      </c>
      <c r="I87" s="5">
        <f t="shared" si="8"/>
        <v>1</v>
      </c>
    </row>
    <row r="88" spans="1:9">
      <c r="A88">
        <v>87</v>
      </c>
      <c r="B88">
        <v>7</v>
      </c>
      <c r="C88">
        <v>5000</v>
      </c>
      <c r="D88">
        <v>4989</v>
      </c>
      <c r="E88" s="5">
        <f t="shared" si="5"/>
        <v>11</v>
      </c>
      <c r="F88" s="5">
        <f t="shared" si="6"/>
        <v>121</v>
      </c>
      <c r="G88" s="6">
        <f>SQRT(SUM($F$2:F88)/A88)</f>
        <v>861.53370325198557</v>
      </c>
      <c r="H88" s="5">
        <f t="shared" si="7"/>
        <v>1</v>
      </c>
      <c r="I88" s="5">
        <f t="shared" si="8"/>
        <v>1</v>
      </c>
    </row>
    <row r="89" spans="1:9">
      <c r="A89">
        <v>88</v>
      </c>
      <c r="B89">
        <v>7</v>
      </c>
      <c r="C89">
        <v>5000</v>
      </c>
      <c r="D89">
        <v>4944</v>
      </c>
      <c r="E89" s="5">
        <f t="shared" si="5"/>
        <v>56</v>
      </c>
      <c r="F89" s="5">
        <f t="shared" si="6"/>
        <v>3136</v>
      </c>
      <c r="G89" s="6">
        <f>SQRT(SUM($F$2:F89)/A89)</f>
        <v>856.6454395436358</v>
      </c>
      <c r="H89" s="5">
        <f t="shared" si="7"/>
        <v>1</v>
      </c>
      <c r="I89" s="5">
        <f t="shared" si="8"/>
        <v>1</v>
      </c>
    </row>
    <row r="90" spans="1:9">
      <c r="A90">
        <v>89</v>
      </c>
      <c r="B90">
        <v>7</v>
      </c>
      <c r="C90">
        <v>5000</v>
      </c>
      <c r="D90">
        <v>7534</v>
      </c>
      <c r="E90" s="5">
        <f t="shared" si="5"/>
        <v>2534</v>
      </c>
      <c r="F90" s="5">
        <f t="shared" si="6"/>
        <v>6421156</v>
      </c>
      <c r="G90" s="6">
        <f>SQRT(SUM($F$2:F90)/A90)</f>
        <v>893.16505765995964</v>
      </c>
      <c r="H90" s="5">
        <f t="shared" si="7"/>
        <v>0</v>
      </c>
      <c r="I90" s="5">
        <f t="shared" si="8"/>
        <v>0</v>
      </c>
    </row>
    <row r="91" spans="1:9">
      <c r="A91">
        <v>90</v>
      </c>
      <c r="B91">
        <v>4</v>
      </c>
      <c r="C91">
        <v>5000</v>
      </c>
      <c r="D91">
        <v>6020</v>
      </c>
      <c r="E91" s="5">
        <f t="shared" si="5"/>
        <v>1020</v>
      </c>
      <c r="F91" s="5">
        <f t="shared" si="6"/>
        <v>1040400</v>
      </c>
      <c r="G91" s="6">
        <f>SQRT(SUM($F$2:F91)/A91)</f>
        <v>894.67312466621013</v>
      </c>
      <c r="H91" s="5">
        <f t="shared" si="7"/>
        <v>0</v>
      </c>
      <c r="I91" s="5">
        <f t="shared" si="8"/>
        <v>0</v>
      </c>
    </row>
    <row r="92" spans="1:9">
      <c r="A92">
        <v>91</v>
      </c>
      <c r="B92">
        <v>5</v>
      </c>
      <c r="C92">
        <v>5000</v>
      </c>
      <c r="D92">
        <v>7359</v>
      </c>
      <c r="E92" s="5">
        <f t="shared" si="5"/>
        <v>2359</v>
      </c>
      <c r="F92" s="5">
        <f t="shared" si="6"/>
        <v>5564881</v>
      </c>
      <c r="G92" s="6">
        <f>SQRT(SUM($F$2:F92)/A92)</f>
        <v>923.46981244948904</v>
      </c>
      <c r="H92" s="5">
        <f t="shared" si="7"/>
        <v>0</v>
      </c>
      <c r="I92" s="5">
        <f t="shared" si="8"/>
        <v>0</v>
      </c>
    </row>
    <row r="93" spans="1:9">
      <c r="A93">
        <v>92</v>
      </c>
      <c r="B93">
        <v>3</v>
      </c>
      <c r="C93">
        <v>5000</v>
      </c>
      <c r="D93">
        <v>5278</v>
      </c>
      <c r="E93" s="5">
        <f t="shared" si="5"/>
        <v>278</v>
      </c>
      <c r="F93" s="5">
        <f t="shared" si="6"/>
        <v>77284</v>
      </c>
      <c r="G93" s="6">
        <f>SQRT(SUM($F$2:F93)/A93)</f>
        <v>918.89445034212997</v>
      </c>
      <c r="H93" s="5">
        <f t="shared" si="7"/>
        <v>1</v>
      </c>
      <c r="I93" s="5">
        <f t="shared" si="8"/>
        <v>1</v>
      </c>
    </row>
    <row r="94" spans="1:9">
      <c r="A94">
        <v>93</v>
      </c>
      <c r="B94">
        <v>5</v>
      </c>
      <c r="C94">
        <v>5000</v>
      </c>
      <c r="D94">
        <v>5990</v>
      </c>
      <c r="E94" s="5">
        <f t="shared" si="5"/>
        <v>990</v>
      </c>
      <c r="F94" s="5">
        <f t="shared" si="6"/>
        <v>980100</v>
      </c>
      <c r="G94" s="6">
        <f>SQRT(SUM($F$2:F94)/A94)</f>
        <v>919.68826532491107</v>
      </c>
      <c r="H94" s="5">
        <f t="shared" si="7"/>
        <v>1</v>
      </c>
      <c r="I94" s="5">
        <f t="shared" si="8"/>
        <v>0</v>
      </c>
    </row>
    <row r="95" spans="1:9">
      <c r="A95">
        <v>94</v>
      </c>
      <c r="B95">
        <v>4</v>
      </c>
      <c r="C95">
        <v>5000</v>
      </c>
      <c r="D95">
        <v>2754</v>
      </c>
      <c r="E95" s="5">
        <f t="shared" si="5"/>
        <v>2246</v>
      </c>
      <c r="F95" s="5">
        <f t="shared" si="6"/>
        <v>5044516</v>
      </c>
      <c r="G95" s="6">
        <f>SQRT(SUM($F$2:F95)/A95)</f>
        <v>943.65958634118533</v>
      </c>
      <c r="H95" s="5">
        <f t="shared" si="7"/>
        <v>0</v>
      </c>
      <c r="I95" s="5">
        <f t="shared" si="8"/>
        <v>0</v>
      </c>
    </row>
    <row r="96" spans="1:9">
      <c r="A96">
        <v>95</v>
      </c>
      <c r="B96">
        <v>8</v>
      </c>
      <c r="C96">
        <v>5000</v>
      </c>
      <c r="D96">
        <v>5495</v>
      </c>
      <c r="E96" s="5">
        <f t="shared" si="5"/>
        <v>495</v>
      </c>
      <c r="F96" s="5">
        <f t="shared" si="6"/>
        <v>245025</v>
      </c>
      <c r="G96" s="6">
        <f>SQRT(SUM($F$2:F96)/A96)</f>
        <v>940.05266369832486</v>
      </c>
      <c r="H96" s="5">
        <f t="shared" si="7"/>
        <v>1</v>
      </c>
      <c r="I96" s="5">
        <f t="shared" si="8"/>
        <v>1</v>
      </c>
    </row>
    <row r="97" spans="1:9">
      <c r="A97">
        <v>96</v>
      </c>
      <c r="B97">
        <v>5</v>
      </c>
      <c r="C97">
        <v>5000</v>
      </c>
      <c r="D97">
        <v>3609</v>
      </c>
      <c r="E97" s="5">
        <f t="shared" si="5"/>
        <v>1391</v>
      </c>
      <c r="F97" s="5">
        <f t="shared" si="6"/>
        <v>1934881</v>
      </c>
      <c r="G97" s="6">
        <f>SQRT(SUM($F$2:F97)/A97)</f>
        <v>945.85877535532052</v>
      </c>
      <c r="H97" s="5">
        <f t="shared" si="7"/>
        <v>0</v>
      </c>
      <c r="I97" s="5">
        <f t="shared" si="8"/>
        <v>0</v>
      </c>
    </row>
    <row r="98" spans="1:9">
      <c r="A98">
        <v>97</v>
      </c>
      <c r="B98">
        <v>7</v>
      </c>
      <c r="C98">
        <v>5000</v>
      </c>
      <c r="D98">
        <v>4840</v>
      </c>
      <c r="E98" s="5">
        <f t="shared" si="5"/>
        <v>160</v>
      </c>
      <c r="F98" s="5">
        <f t="shared" si="6"/>
        <v>25600</v>
      </c>
      <c r="G98" s="6">
        <f>SQRT(SUM($F$2:F98)/A98)</f>
        <v>941.11081000115541</v>
      </c>
      <c r="H98" s="5">
        <f t="shared" si="7"/>
        <v>1</v>
      </c>
      <c r="I98" s="5">
        <f t="shared" si="8"/>
        <v>1</v>
      </c>
    </row>
    <row r="99" spans="1:9">
      <c r="A99">
        <v>98</v>
      </c>
      <c r="B99">
        <v>6</v>
      </c>
      <c r="C99">
        <v>5000</v>
      </c>
      <c r="D99">
        <v>4623</v>
      </c>
      <c r="E99" s="5">
        <f t="shared" si="5"/>
        <v>377</v>
      </c>
      <c r="F99" s="5">
        <f t="shared" si="6"/>
        <v>142129</v>
      </c>
      <c r="G99" s="6">
        <f>SQRT(SUM($F$2:F99)/A99)</f>
        <v>937.07107739041476</v>
      </c>
      <c r="H99" s="5">
        <f t="shared" si="7"/>
        <v>1</v>
      </c>
      <c r="I99" s="5">
        <f t="shared" si="8"/>
        <v>1</v>
      </c>
    </row>
    <row r="100" spans="1:9">
      <c r="A100">
        <v>99</v>
      </c>
      <c r="B100">
        <v>7</v>
      </c>
      <c r="C100">
        <v>5000</v>
      </c>
      <c r="D100">
        <v>4920</v>
      </c>
      <c r="E100" s="5">
        <f t="shared" si="5"/>
        <v>80</v>
      </c>
      <c r="F100" s="5">
        <f t="shared" si="6"/>
        <v>6400</v>
      </c>
      <c r="G100" s="6">
        <f>SQRT(SUM($F$2:F100)/A100)</f>
        <v>932.36105201425664</v>
      </c>
      <c r="H100" s="5">
        <f t="shared" si="7"/>
        <v>1</v>
      </c>
      <c r="I100" s="5">
        <f t="shared" si="8"/>
        <v>1</v>
      </c>
    </row>
    <row r="101" spans="1:9">
      <c r="A101">
        <v>100</v>
      </c>
      <c r="B101">
        <v>6</v>
      </c>
      <c r="C101">
        <v>5000</v>
      </c>
      <c r="D101">
        <v>3747</v>
      </c>
      <c r="E101" s="5">
        <f t="shared" si="5"/>
        <v>1253</v>
      </c>
      <c r="F101" s="5">
        <f t="shared" si="6"/>
        <v>1570009</v>
      </c>
      <c r="G101" s="6">
        <f>SQRT(SUM($F$2:F101)/A101)</f>
        <v>936.1112380481286</v>
      </c>
      <c r="H101" s="5">
        <f t="shared" si="7"/>
        <v>0</v>
      </c>
      <c r="I101" s="5">
        <f t="shared" si="8"/>
        <v>0</v>
      </c>
    </row>
    <row r="102" spans="1:9">
      <c r="A102">
        <v>101</v>
      </c>
      <c r="B102">
        <v>8</v>
      </c>
      <c r="C102">
        <v>6000</v>
      </c>
      <c r="D102">
        <v>4732</v>
      </c>
      <c r="E102" s="5">
        <f t="shared" si="5"/>
        <v>1268</v>
      </c>
      <c r="F102" s="5">
        <f t="shared" si="6"/>
        <v>1607824</v>
      </c>
      <c r="G102" s="6">
        <f>SQRT(SUM($F$2:F102)/A102)</f>
        <v>939.97181862116497</v>
      </c>
      <c r="H102" s="5">
        <f t="shared" si="7"/>
        <v>0</v>
      </c>
      <c r="I102" s="5">
        <f t="shared" si="8"/>
        <v>0</v>
      </c>
    </row>
    <row r="103" spans="1:9">
      <c r="A103">
        <v>102</v>
      </c>
      <c r="B103">
        <v>8</v>
      </c>
      <c r="C103">
        <v>6000</v>
      </c>
      <c r="D103">
        <v>1681</v>
      </c>
      <c r="E103" s="5">
        <f t="shared" si="5"/>
        <v>4319</v>
      </c>
      <c r="F103" s="5">
        <f t="shared" si="6"/>
        <v>18653761</v>
      </c>
      <c r="G103" s="6">
        <f>SQRT(SUM($F$2:F103)/A103)</f>
        <v>1028.4769340736664</v>
      </c>
      <c r="H103" s="5">
        <f t="shared" si="7"/>
        <v>0</v>
      </c>
      <c r="I103" s="5">
        <f t="shared" si="8"/>
        <v>0</v>
      </c>
    </row>
    <row r="104" spans="1:9">
      <c r="A104">
        <v>103</v>
      </c>
      <c r="B104">
        <v>12</v>
      </c>
      <c r="C104">
        <v>6000</v>
      </c>
      <c r="D104">
        <v>7281</v>
      </c>
      <c r="E104" s="5">
        <f t="shared" si="5"/>
        <v>1281</v>
      </c>
      <c r="F104" s="5">
        <f t="shared" si="6"/>
        <v>1640961</v>
      </c>
      <c r="G104" s="6">
        <f>SQRT(SUM($F$2:F104)/A104)</f>
        <v>1031.2259223432184</v>
      </c>
      <c r="H104" s="5">
        <f t="shared" si="7"/>
        <v>0</v>
      </c>
      <c r="I104" s="5">
        <f t="shared" si="8"/>
        <v>0</v>
      </c>
    </row>
    <row r="105" spans="1:9">
      <c r="A105">
        <v>104</v>
      </c>
      <c r="B105">
        <v>7</v>
      </c>
      <c r="C105">
        <v>6000</v>
      </c>
      <c r="D105">
        <v>3753</v>
      </c>
      <c r="E105" s="5">
        <f t="shared" si="5"/>
        <v>2247</v>
      </c>
      <c r="F105" s="5">
        <f t="shared" si="6"/>
        <v>5049009</v>
      </c>
      <c r="G105" s="6">
        <f>SQRT(SUM($F$2:F105)/A105)</f>
        <v>1049.6427047773484</v>
      </c>
      <c r="H105" s="5">
        <f t="shared" si="7"/>
        <v>0</v>
      </c>
      <c r="I105" s="5">
        <f t="shared" si="8"/>
        <v>0</v>
      </c>
    </row>
    <row r="106" spans="1:9">
      <c r="A106">
        <v>105</v>
      </c>
      <c r="B106">
        <v>11</v>
      </c>
      <c r="C106">
        <v>6000</v>
      </c>
      <c r="D106">
        <v>6891</v>
      </c>
      <c r="E106" s="5">
        <f t="shared" si="5"/>
        <v>891</v>
      </c>
      <c r="F106" s="5">
        <f t="shared" si="6"/>
        <v>793881</v>
      </c>
      <c r="G106" s="6">
        <f>SQRT(SUM($F$2:F106)/A106)</f>
        <v>1048.245068583451</v>
      </c>
      <c r="H106" s="5">
        <f t="shared" si="7"/>
        <v>1</v>
      </c>
      <c r="I106" s="5">
        <f t="shared" si="8"/>
        <v>0</v>
      </c>
    </row>
    <row r="107" spans="1:9">
      <c r="A107">
        <v>106</v>
      </c>
      <c r="B107">
        <v>7</v>
      </c>
      <c r="C107">
        <v>6000</v>
      </c>
      <c r="D107">
        <v>3728</v>
      </c>
      <c r="E107" s="5">
        <f t="shared" si="5"/>
        <v>2272</v>
      </c>
      <c r="F107" s="5">
        <f t="shared" si="6"/>
        <v>5161984</v>
      </c>
      <c r="G107" s="6">
        <f>SQRT(SUM($F$2:F107)/A107)</f>
        <v>1066.3721119440791</v>
      </c>
      <c r="H107" s="5">
        <f t="shared" si="7"/>
        <v>0</v>
      </c>
      <c r="I107" s="5">
        <f t="shared" si="8"/>
        <v>0</v>
      </c>
    </row>
    <row r="108" spans="1:9">
      <c r="A108">
        <v>107</v>
      </c>
      <c r="B108">
        <v>11</v>
      </c>
      <c r="C108">
        <v>6000</v>
      </c>
      <c r="D108">
        <v>6106</v>
      </c>
      <c r="E108" s="5">
        <f t="shared" si="5"/>
        <v>106</v>
      </c>
      <c r="F108" s="5">
        <f t="shared" si="6"/>
        <v>11236</v>
      </c>
      <c r="G108" s="6">
        <f>SQRT(SUM($F$2:F108)/A108)</f>
        <v>1061.4268346116207</v>
      </c>
      <c r="H108" s="5">
        <f t="shared" si="7"/>
        <v>1</v>
      </c>
      <c r="I108" s="5">
        <f t="shared" si="8"/>
        <v>1</v>
      </c>
    </row>
    <row r="109" spans="1:9">
      <c r="A109">
        <v>108</v>
      </c>
      <c r="B109">
        <v>9</v>
      </c>
      <c r="C109">
        <v>6000</v>
      </c>
      <c r="D109">
        <v>5462</v>
      </c>
      <c r="E109" s="5">
        <f t="shared" si="5"/>
        <v>538</v>
      </c>
      <c r="F109" s="5">
        <f t="shared" si="6"/>
        <v>289444</v>
      </c>
      <c r="G109" s="6">
        <f>SQRT(SUM($F$2:F109)/A109)</f>
        <v>1057.7689877669327</v>
      </c>
      <c r="H109" s="5">
        <f t="shared" si="7"/>
        <v>1</v>
      </c>
      <c r="I109" s="5">
        <f t="shared" si="8"/>
        <v>1</v>
      </c>
    </row>
    <row r="110" spans="1:9">
      <c r="A110">
        <v>109</v>
      </c>
      <c r="B110">
        <v>9</v>
      </c>
      <c r="C110">
        <v>6000</v>
      </c>
      <c r="D110">
        <v>4787</v>
      </c>
      <c r="E110" s="5">
        <f t="shared" si="5"/>
        <v>1213</v>
      </c>
      <c r="F110" s="5">
        <f t="shared" si="6"/>
        <v>1471369</v>
      </c>
      <c r="G110" s="6">
        <f>SQRT(SUM($F$2:F110)/A110)</f>
        <v>1059.2965209355004</v>
      </c>
      <c r="H110" s="5">
        <f t="shared" si="7"/>
        <v>0</v>
      </c>
      <c r="I110" s="5">
        <f t="shared" si="8"/>
        <v>0</v>
      </c>
    </row>
    <row r="111" spans="1:9">
      <c r="A111">
        <v>110</v>
      </c>
      <c r="B111">
        <v>10</v>
      </c>
      <c r="C111">
        <v>6000</v>
      </c>
      <c r="D111">
        <v>6143</v>
      </c>
      <c r="E111" s="5">
        <f t="shared" si="5"/>
        <v>143</v>
      </c>
      <c r="F111" s="5">
        <f t="shared" si="6"/>
        <v>20449</v>
      </c>
      <c r="G111" s="6">
        <f>SQRT(SUM($F$2:F111)/A111)</f>
        <v>1054.5586883965857</v>
      </c>
      <c r="H111" s="5">
        <f t="shared" si="7"/>
        <v>1</v>
      </c>
      <c r="I111" s="5">
        <f t="shared" si="8"/>
        <v>1</v>
      </c>
    </row>
    <row r="112" spans="1:9">
      <c r="A112">
        <v>111</v>
      </c>
      <c r="B112">
        <v>9</v>
      </c>
      <c r="C112">
        <v>6000</v>
      </c>
      <c r="D112">
        <v>4830</v>
      </c>
      <c r="E112" s="5">
        <f t="shared" si="5"/>
        <v>1170</v>
      </c>
      <c r="F112" s="5">
        <f t="shared" si="6"/>
        <v>1368900</v>
      </c>
      <c r="G112" s="6">
        <f>SQRT(SUM($F$2:F112)/A112)</f>
        <v>1055.6550547383338</v>
      </c>
      <c r="H112" s="5">
        <f t="shared" si="7"/>
        <v>1</v>
      </c>
      <c r="I112" s="5">
        <f t="shared" si="8"/>
        <v>0</v>
      </c>
    </row>
    <row r="113" spans="1:9">
      <c r="A113">
        <v>112</v>
      </c>
      <c r="B113">
        <v>11</v>
      </c>
      <c r="C113">
        <v>6000</v>
      </c>
      <c r="D113">
        <v>6847</v>
      </c>
      <c r="E113" s="5">
        <f t="shared" si="5"/>
        <v>847</v>
      </c>
      <c r="F113" s="5">
        <f t="shared" si="6"/>
        <v>717409</v>
      </c>
      <c r="G113" s="6">
        <f>SQRT(SUM($F$2:F113)/A113)</f>
        <v>1053.9748404424624</v>
      </c>
      <c r="H113" s="5">
        <f t="shared" si="7"/>
        <v>1</v>
      </c>
      <c r="I113" s="5">
        <f t="shared" si="8"/>
        <v>0</v>
      </c>
    </row>
    <row r="114" spans="1:9">
      <c r="A114">
        <v>113</v>
      </c>
      <c r="B114">
        <v>8</v>
      </c>
      <c r="C114">
        <v>6000</v>
      </c>
      <c r="D114">
        <v>5085</v>
      </c>
      <c r="E114" s="5">
        <f t="shared" si="5"/>
        <v>915</v>
      </c>
      <c r="F114" s="5">
        <f t="shared" si="6"/>
        <v>837225</v>
      </c>
      <c r="G114" s="6">
        <f>SQRT(SUM($F$2:F114)/A114)</f>
        <v>1052.8254315794859</v>
      </c>
      <c r="H114" s="5">
        <f t="shared" si="7"/>
        <v>1</v>
      </c>
      <c r="I114" s="5">
        <f t="shared" si="8"/>
        <v>0</v>
      </c>
    </row>
    <row r="115" spans="1:9">
      <c r="A115">
        <v>114</v>
      </c>
      <c r="B115">
        <v>10</v>
      </c>
      <c r="C115">
        <v>6000</v>
      </c>
      <c r="D115">
        <v>6002</v>
      </c>
      <c r="E115" s="5">
        <f t="shared" si="5"/>
        <v>2</v>
      </c>
      <c r="F115" s="5">
        <f t="shared" si="6"/>
        <v>4</v>
      </c>
      <c r="G115" s="6">
        <f>SQRT(SUM($F$2:F115)/A115)</f>
        <v>1048.1976218185027</v>
      </c>
      <c r="H115" s="5">
        <f t="shared" si="7"/>
        <v>1</v>
      </c>
      <c r="I115" s="5">
        <f t="shared" si="8"/>
        <v>1</v>
      </c>
    </row>
    <row r="116" spans="1:9">
      <c r="A116">
        <v>115</v>
      </c>
      <c r="B116">
        <v>10</v>
      </c>
      <c r="C116">
        <v>6000</v>
      </c>
      <c r="D116">
        <v>6411</v>
      </c>
      <c r="E116" s="5">
        <f t="shared" si="5"/>
        <v>411</v>
      </c>
      <c r="F116" s="5">
        <f t="shared" si="6"/>
        <v>168921</v>
      </c>
      <c r="G116" s="6">
        <f>SQRT(SUM($F$2:F116)/A116)</f>
        <v>1044.3337880532092</v>
      </c>
      <c r="H116" s="5">
        <f t="shared" si="7"/>
        <v>1</v>
      </c>
      <c r="I116" s="5">
        <f t="shared" si="8"/>
        <v>1</v>
      </c>
    </row>
    <row r="117" spans="1:9">
      <c r="A117">
        <v>116</v>
      </c>
      <c r="B117">
        <v>9</v>
      </c>
      <c r="C117">
        <v>6000</v>
      </c>
      <c r="D117">
        <v>5313</v>
      </c>
      <c r="E117" s="5">
        <f t="shared" si="5"/>
        <v>687</v>
      </c>
      <c r="F117" s="5">
        <f t="shared" si="6"/>
        <v>471969</v>
      </c>
      <c r="G117" s="6">
        <f>SQRT(SUM($F$2:F117)/A117)</f>
        <v>1041.7772074680843</v>
      </c>
      <c r="H117" s="5">
        <f t="shared" si="7"/>
        <v>1</v>
      </c>
      <c r="I117" s="5">
        <f t="shared" si="8"/>
        <v>0</v>
      </c>
    </row>
    <row r="118" spans="1:9">
      <c r="A118">
        <v>117</v>
      </c>
      <c r="B118">
        <v>10</v>
      </c>
      <c r="C118">
        <v>6000</v>
      </c>
      <c r="D118">
        <v>6356</v>
      </c>
      <c r="E118" s="5">
        <f t="shared" si="5"/>
        <v>356</v>
      </c>
      <c r="F118" s="5">
        <f t="shared" si="6"/>
        <v>126736</v>
      </c>
      <c r="G118" s="6">
        <f>SQRT(SUM($F$2:F118)/A118)</f>
        <v>1037.8376064856666</v>
      </c>
      <c r="H118" s="5">
        <f t="shared" si="7"/>
        <v>1</v>
      </c>
      <c r="I118" s="5">
        <f t="shared" si="8"/>
        <v>1</v>
      </c>
    </row>
    <row r="119" spans="1:9">
      <c r="A119">
        <v>118</v>
      </c>
      <c r="B119">
        <v>9</v>
      </c>
      <c r="C119">
        <v>6000</v>
      </c>
      <c r="D119">
        <v>4793</v>
      </c>
      <c r="E119" s="5">
        <f t="shared" si="5"/>
        <v>1207</v>
      </c>
      <c r="F119" s="5">
        <f t="shared" si="6"/>
        <v>1456849</v>
      </c>
      <c r="G119" s="6">
        <f>SQRT(SUM($F$2:F119)/A119)</f>
        <v>1039.3868629376925</v>
      </c>
      <c r="H119" s="5">
        <f t="shared" si="7"/>
        <v>0</v>
      </c>
      <c r="I119" s="5">
        <f t="shared" si="8"/>
        <v>0</v>
      </c>
    </row>
    <row r="120" spans="1:9">
      <c r="A120">
        <v>119</v>
      </c>
      <c r="B120">
        <v>11</v>
      </c>
      <c r="C120">
        <v>6000</v>
      </c>
      <c r="D120">
        <v>6471</v>
      </c>
      <c r="E120" s="5">
        <f t="shared" si="5"/>
        <v>471</v>
      </c>
      <c r="F120" s="5">
        <f t="shared" si="6"/>
        <v>221841</v>
      </c>
      <c r="G120" s="6">
        <f>SQRT(SUM($F$2:F120)/A120)</f>
        <v>1035.9106617656098</v>
      </c>
      <c r="H120" s="5">
        <f t="shared" si="7"/>
        <v>1</v>
      </c>
      <c r="I120" s="5">
        <f t="shared" si="8"/>
        <v>1</v>
      </c>
    </row>
    <row r="121" spans="1:9">
      <c r="A121">
        <v>120</v>
      </c>
      <c r="B121">
        <v>9</v>
      </c>
      <c r="C121">
        <v>6000</v>
      </c>
      <c r="D121">
        <v>5330</v>
      </c>
      <c r="E121" s="5">
        <f t="shared" si="5"/>
        <v>670</v>
      </c>
      <c r="F121" s="5">
        <f t="shared" si="6"/>
        <v>448900</v>
      </c>
      <c r="G121" s="6">
        <f>SQRT(SUM($F$2:F121)/A121)</f>
        <v>1033.3968945505239</v>
      </c>
      <c r="H121" s="5">
        <f t="shared" si="7"/>
        <v>1</v>
      </c>
      <c r="I121" s="5">
        <f t="shared" si="8"/>
        <v>0</v>
      </c>
    </row>
    <row r="122" spans="1:9">
      <c r="A122">
        <v>121</v>
      </c>
      <c r="B122">
        <v>11</v>
      </c>
      <c r="C122">
        <v>6000</v>
      </c>
      <c r="D122">
        <v>6616</v>
      </c>
      <c r="E122" s="5">
        <f t="shared" si="5"/>
        <v>616</v>
      </c>
      <c r="F122" s="5">
        <f t="shared" si="6"/>
        <v>379456</v>
      </c>
      <c r="G122" s="6">
        <f>SQRT(SUM($F$2:F122)/A122)</f>
        <v>1030.640308876473</v>
      </c>
      <c r="H122" s="5">
        <f t="shared" si="7"/>
        <v>1</v>
      </c>
      <c r="I122" s="5">
        <f t="shared" si="8"/>
        <v>0</v>
      </c>
    </row>
    <row r="123" spans="1:9">
      <c r="A123">
        <v>122</v>
      </c>
      <c r="B123">
        <v>9</v>
      </c>
      <c r="C123">
        <v>6000</v>
      </c>
      <c r="D123">
        <v>6000</v>
      </c>
      <c r="E123" s="5">
        <f t="shared" si="5"/>
        <v>0</v>
      </c>
      <c r="F123" s="5">
        <f t="shared" si="6"/>
        <v>0</v>
      </c>
      <c r="G123" s="6">
        <f>SQRT(SUM($F$2:F123)/A123)</f>
        <v>1026.4076819218553</v>
      </c>
      <c r="H123" s="5">
        <f t="shared" si="7"/>
        <v>1</v>
      </c>
      <c r="I123" s="5">
        <f t="shared" si="8"/>
        <v>1</v>
      </c>
    </row>
    <row r="124" spans="1:9">
      <c r="A124">
        <v>123</v>
      </c>
      <c r="B124">
        <v>10</v>
      </c>
      <c r="C124">
        <v>6000</v>
      </c>
      <c r="D124">
        <v>6404</v>
      </c>
      <c r="E124" s="5">
        <f t="shared" si="5"/>
        <v>404</v>
      </c>
      <c r="F124" s="5">
        <f t="shared" si="6"/>
        <v>163216</v>
      </c>
      <c r="G124" s="6">
        <f>SQRT(SUM($F$2:F124)/A124)</f>
        <v>1022.8756252426035</v>
      </c>
      <c r="H124" s="5">
        <f t="shared" si="7"/>
        <v>1</v>
      </c>
      <c r="I124" s="5">
        <f t="shared" si="8"/>
        <v>1</v>
      </c>
    </row>
    <row r="125" spans="1:9">
      <c r="A125">
        <v>124</v>
      </c>
      <c r="B125">
        <v>9</v>
      </c>
      <c r="C125">
        <v>6000</v>
      </c>
      <c r="D125">
        <v>5841</v>
      </c>
      <c r="E125" s="5">
        <f t="shared" si="5"/>
        <v>159</v>
      </c>
      <c r="F125" s="5">
        <f t="shared" si="6"/>
        <v>25281</v>
      </c>
      <c r="G125" s="6">
        <f>SQRT(SUM($F$2:F125)/A125)</f>
        <v>1018.8428366565923</v>
      </c>
      <c r="H125" s="5">
        <f t="shared" si="7"/>
        <v>1</v>
      </c>
      <c r="I125" s="5">
        <f t="shared" si="8"/>
        <v>1</v>
      </c>
    </row>
    <row r="126" spans="1:9">
      <c r="A126">
        <v>125</v>
      </c>
      <c r="B126">
        <v>10</v>
      </c>
      <c r="C126">
        <v>6000</v>
      </c>
      <c r="D126">
        <v>6582</v>
      </c>
      <c r="E126" s="5">
        <f t="shared" si="5"/>
        <v>582</v>
      </c>
      <c r="F126" s="5">
        <f t="shared" si="6"/>
        <v>338724</v>
      </c>
      <c r="G126" s="6">
        <f>SQRT(SUM($F$2:F126)/A126)</f>
        <v>1016.093594114243</v>
      </c>
      <c r="H126" s="5">
        <f t="shared" si="7"/>
        <v>1</v>
      </c>
      <c r="I126" s="5">
        <f t="shared" si="8"/>
        <v>1</v>
      </c>
    </row>
    <row r="127" spans="1:9">
      <c r="A127">
        <v>126</v>
      </c>
      <c r="B127">
        <v>9</v>
      </c>
      <c r="C127">
        <v>6000</v>
      </c>
      <c r="D127">
        <v>5870</v>
      </c>
      <c r="E127" s="5">
        <f t="shared" si="5"/>
        <v>130</v>
      </c>
      <c r="F127" s="5">
        <f t="shared" si="6"/>
        <v>16900</v>
      </c>
      <c r="G127" s="6">
        <f>SQRT(SUM($F$2:F127)/A127)</f>
        <v>1012.1197071430344</v>
      </c>
      <c r="H127" s="5">
        <f t="shared" si="7"/>
        <v>1</v>
      </c>
      <c r="I127" s="5">
        <f t="shared" si="8"/>
        <v>1</v>
      </c>
    </row>
    <row r="128" spans="1:9">
      <c r="A128">
        <v>127</v>
      </c>
      <c r="B128">
        <v>10</v>
      </c>
      <c r="C128">
        <v>6000</v>
      </c>
      <c r="D128">
        <v>6047</v>
      </c>
      <c r="E128" s="5">
        <f t="shared" si="5"/>
        <v>47</v>
      </c>
      <c r="F128" s="5">
        <f t="shared" si="6"/>
        <v>2209</v>
      </c>
      <c r="G128" s="6">
        <f>SQRT(SUM($F$2:F128)/A128)</f>
        <v>1008.1357356116897</v>
      </c>
      <c r="H128" s="5">
        <f t="shared" si="7"/>
        <v>1</v>
      </c>
      <c r="I128" s="5">
        <f t="shared" si="8"/>
        <v>1</v>
      </c>
    </row>
    <row r="129" spans="1:9">
      <c r="A129">
        <v>128</v>
      </c>
      <c r="B129">
        <v>10</v>
      </c>
      <c r="C129">
        <v>6000</v>
      </c>
      <c r="D129">
        <v>5921</v>
      </c>
      <c r="E129" s="5">
        <f t="shared" si="5"/>
        <v>79</v>
      </c>
      <c r="F129" s="5">
        <f t="shared" si="6"/>
        <v>6241</v>
      </c>
      <c r="G129" s="6">
        <f>SQRT(SUM($F$2:F129)/A129)</f>
        <v>1004.2142606286768</v>
      </c>
      <c r="H129" s="5">
        <f t="shared" si="7"/>
        <v>1</v>
      </c>
      <c r="I129" s="5">
        <f t="shared" si="8"/>
        <v>1</v>
      </c>
    </row>
    <row r="130" spans="1:9">
      <c r="A130">
        <v>129</v>
      </c>
      <c r="B130">
        <v>10</v>
      </c>
      <c r="C130">
        <v>6000</v>
      </c>
      <c r="D130">
        <v>6028</v>
      </c>
      <c r="E130" s="5">
        <f t="shared" si="5"/>
        <v>28</v>
      </c>
      <c r="F130" s="5">
        <f t="shared" si="6"/>
        <v>784</v>
      </c>
      <c r="G130" s="6">
        <f>SQRT(SUM($F$2:F130)/A130)</f>
        <v>1000.3174224896985</v>
      </c>
      <c r="H130" s="5">
        <f t="shared" si="7"/>
        <v>1</v>
      </c>
      <c r="I130" s="5">
        <f t="shared" si="8"/>
        <v>1</v>
      </c>
    </row>
    <row r="131" spans="1:9">
      <c r="A131">
        <v>130</v>
      </c>
      <c r="B131">
        <v>10</v>
      </c>
      <c r="C131">
        <v>6000</v>
      </c>
      <c r="D131">
        <v>4808</v>
      </c>
      <c r="E131" s="5">
        <f t="shared" ref="E131:E194" si="9">ABS(C131-D131)</f>
        <v>1192</v>
      </c>
      <c r="F131" s="5">
        <f t="shared" ref="F131:F194" si="10">POWER(E131,2)</f>
        <v>1420864</v>
      </c>
      <c r="G131" s="6">
        <f>SQRT(SUM($F$2:F131)/A131)</f>
        <v>1001.9318723960611</v>
      </c>
      <c r="H131" s="5">
        <f t="shared" ref="H131:H194" si="11">IF(ABS(E131)/C131&gt;0.2,0,1)</f>
        <v>1</v>
      </c>
      <c r="I131" s="5">
        <f t="shared" ref="I131:I194" si="12">IF(ABS(E131)/C131&gt;0.1,0,1)</f>
        <v>0</v>
      </c>
    </row>
    <row r="132" spans="1:9">
      <c r="A132">
        <v>131</v>
      </c>
      <c r="B132">
        <v>11</v>
      </c>
      <c r="C132">
        <v>6000</v>
      </c>
      <c r="D132">
        <v>6530</v>
      </c>
      <c r="E132" s="5">
        <f t="shared" si="9"/>
        <v>530</v>
      </c>
      <c r="F132" s="5">
        <f t="shared" si="10"/>
        <v>280900</v>
      </c>
      <c r="G132" s="6">
        <f>SQRT(SUM($F$2:F132)/A132)</f>
        <v>999.17397945571724</v>
      </c>
      <c r="H132" s="5">
        <f t="shared" si="11"/>
        <v>1</v>
      </c>
      <c r="I132" s="5">
        <f t="shared" si="12"/>
        <v>1</v>
      </c>
    </row>
    <row r="133" spans="1:9">
      <c r="A133">
        <v>132</v>
      </c>
      <c r="B133">
        <v>9</v>
      </c>
      <c r="C133">
        <v>6000</v>
      </c>
      <c r="D133">
        <v>5190</v>
      </c>
      <c r="E133" s="5">
        <f t="shared" si="9"/>
        <v>810</v>
      </c>
      <c r="F133" s="5">
        <f t="shared" si="10"/>
        <v>656100</v>
      </c>
      <c r="G133" s="6">
        <f>SQRT(SUM($F$2:F133)/A133)</f>
        <v>997.87566784888008</v>
      </c>
      <c r="H133" s="5">
        <f t="shared" si="11"/>
        <v>1</v>
      </c>
      <c r="I133" s="5">
        <f t="shared" si="12"/>
        <v>0</v>
      </c>
    </row>
    <row r="134" spans="1:9">
      <c r="A134">
        <v>133</v>
      </c>
      <c r="B134">
        <v>11</v>
      </c>
      <c r="C134">
        <v>6000</v>
      </c>
      <c r="D134">
        <v>6677</v>
      </c>
      <c r="E134" s="5">
        <f t="shared" si="9"/>
        <v>677</v>
      </c>
      <c r="F134" s="5">
        <f t="shared" si="10"/>
        <v>458329</v>
      </c>
      <c r="G134" s="6">
        <f>SQRT(SUM($F$2:F134)/A134)</f>
        <v>995.84890676888426</v>
      </c>
      <c r="H134" s="5">
        <f t="shared" si="11"/>
        <v>1</v>
      </c>
      <c r="I134" s="5">
        <f t="shared" si="12"/>
        <v>0</v>
      </c>
    </row>
    <row r="135" spans="1:9">
      <c r="A135">
        <v>134</v>
      </c>
      <c r="B135">
        <v>9</v>
      </c>
      <c r="C135">
        <v>6000</v>
      </c>
      <c r="D135">
        <v>5586</v>
      </c>
      <c r="E135" s="5">
        <f t="shared" si="9"/>
        <v>414</v>
      </c>
      <c r="F135" s="5">
        <f t="shared" si="10"/>
        <v>171396</v>
      </c>
      <c r="G135" s="6">
        <f>SQRT(SUM($F$2:F135)/A135)</f>
        <v>992.77049774559168</v>
      </c>
      <c r="H135" s="5">
        <f t="shared" si="11"/>
        <v>1</v>
      </c>
      <c r="I135" s="5">
        <f t="shared" si="12"/>
        <v>1</v>
      </c>
    </row>
    <row r="136" spans="1:9">
      <c r="A136">
        <v>135</v>
      </c>
      <c r="B136">
        <v>10</v>
      </c>
      <c r="C136">
        <v>6000</v>
      </c>
      <c r="D136">
        <v>6185</v>
      </c>
      <c r="E136" s="5">
        <f t="shared" si="9"/>
        <v>185</v>
      </c>
      <c r="F136" s="5">
        <f t="shared" si="10"/>
        <v>34225</v>
      </c>
      <c r="G136" s="6">
        <f>SQRT(SUM($F$2:F136)/A136)</f>
        <v>989.21488509266226</v>
      </c>
      <c r="H136" s="5">
        <f t="shared" si="11"/>
        <v>1</v>
      </c>
      <c r="I136" s="5">
        <f t="shared" si="12"/>
        <v>1</v>
      </c>
    </row>
    <row r="137" spans="1:9">
      <c r="A137">
        <v>136</v>
      </c>
      <c r="B137">
        <v>10</v>
      </c>
      <c r="C137">
        <v>6000</v>
      </c>
      <c r="D137">
        <v>6131</v>
      </c>
      <c r="E137" s="5">
        <f t="shared" si="9"/>
        <v>131</v>
      </c>
      <c r="F137" s="5">
        <f t="shared" si="10"/>
        <v>17161</v>
      </c>
      <c r="G137" s="6">
        <f>SQRT(SUM($F$2:F137)/A137)</f>
        <v>985.63536913117764</v>
      </c>
      <c r="H137" s="5">
        <f t="shared" si="11"/>
        <v>1</v>
      </c>
      <c r="I137" s="5">
        <f t="shared" si="12"/>
        <v>1</v>
      </c>
    </row>
    <row r="138" spans="1:9">
      <c r="A138">
        <v>137</v>
      </c>
      <c r="B138">
        <v>10</v>
      </c>
      <c r="C138">
        <v>6000</v>
      </c>
      <c r="D138">
        <v>6124</v>
      </c>
      <c r="E138" s="5">
        <f t="shared" si="9"/>
        <v>124</v>
      </c>
      <c r="F138" s="5">
        <f t="shared" si="10"/>
        <v>15376</v>
      </c>
      <c r="G138" s="6">
        <f>SQRT(SUM($F$2:F138)/A138)</f>
        <v>982.08871334310345</v>
      </c>
      <c r="H138" s="5">
        <f t="shared" si="11"/>
        <v>1</v>
      </c>
      <c r="I138" s="5">
        <f t="shared" si="12"/>
        <v>1</v>
      </c>
    </row>
    <row r="139" spans="1:9">
      <c r="A139">
        <v>138</v>
      </c>
      <c r="B139">
        <v>10</v>
      </c>
      <c r="C139">
        <v>6000</v>
      </c>
      <c r="D139">
        <v>5618</v>
      </c>
      <c r="E139" s="5">
        <f t="shared" si="9"/>
        <v>382</v>
      </c>
      <c r="F139" s="5">
        <f t="shared" si="10"/>
        <v>145924</v>
      </c>
      <c r="G139" s="6">
        <f>SQRT(SUM($F$2:F139)/A139)</f>
        <v>979.06411612225929</v>
      </c>
      <c r="H139" s="5">
        <f t="shared" si="11"/>
        <v>1</v>
      </c>
      <c r="I139" s="5">
        <f t="shared" si="12"/>
        <v>1</v>
      </c>
    </row>
    <row r="140" spans="1:9">
      <c r="A140">
        <v>139</v>
      </c>
      <c r="B140">
        <v>10</v>
      </c>
      <c r="C140">
        <v>6000</v>
      </c>
      <c r="D140">
        <v>5414</v>
      </c>
      <c r="E140" s="5">
        <f t="shared" si="9"/>
        <v>586</v>
      </c>
      <c r="F140" s="5">
        <f t="shared" si="10"/>
        <v>343396</v>
      </c>
      <c r="G140" s="6">
        <f>SQRT(SUM($F$2:F140)/A140)</f>
        <v>976.80133912434201</v>
      </c>
      <c r="H140" s="5">
        <f t="shared" si="11"/>
        <v>1</v>
      </c>
      <c r="I140" s="5">
        <f t="shared" si="12"/>
        <v>1</v>
      </c>
    </row>
    <row r="141" spans="1:9">
      <c r="A141">
        <v>140</v>
      </c>
      <c r="B141">
        <v>11</v>
      </c>
      <c r="C141">
        <v>6000</v>
      </c>
      <c r="D141">
        <v>7279</v>
      </c>
      <c r="E141" s="5">
        <f t="shared" si="9"/>
        <v>1279</v>
      </c>
      <c r="F141" s="5">
        <f t="shared" si="10"/>
        <v>1635841</v>
      </c>
      <c r="G141" s="6">
        <f>SQRT(SUM($F$2:F141)/A141)</f>
        <v>979.29063247696945</v>
      </c>
      <c r="H141" s="5">
        <f t="shared" si="11"/>
        <v>0</v>
      </c>
      <c r="I141" s="5">
        <f t="shared" si="12"/>
        <v>0</v>
      </c>
    </row>
    <row r="142" spans="1:9">
      <c r="A142">
        <v>141</v>
      </c>
      <c r="B142">
        <v>8</v>
      </c>
      <c r="C142">
        <v>6000</v>
      </c>
      <c r="D142">
        <v>4835</v>
      </c>
      <c r="E142" s="5">
        <f t="shared" si="9"/>
        <v>1165</v>
      </c>
      <c r="F142" s="5">
        <f t="shared" si="10"/>
        <v>1357225</v>
      </c>
      <c r="G142" s="6">
        <f>SQRT(SUM($F$2:F142)/A142)</f>
        <v>980.731544155753</v>
      </c>
      <c r="H142" s="5">
        <f t="shared" si="11"/>
        <v>1</v>
      </c>
      <c r="I142" s="5">
        <f t="shared" si="12"/>
        <v>0</v>
      </c>
    </row>
    <row r="143" spans="1:9">
      <c r="A143">
        <v>142</v>
      </c>
      <c r="B143">
        <v>11</v>
      </c>
      <c r="C143">
        <v>6000</v>
      </c>
      <c r="D143">
        <v>7739</v>
      </c>
      <c r="E143" s="5">
        <f t="shared" si="9"/>
        <v>1739</v>
      </c>
      <c r="F143" s="5">
        <f t="shared" si="10"/>
        <v>3024121</v>
      </c>
      <c r="G143" s="6">
        <f>SQRT(SUM($F$2:F143)/A143)</f>
        <v>988.10804421492969</v>
      </c>
      <c r="H143" s="5">
        <f t="shared" si="11"/>
        <v>0</v>
      </c>
      <c r="I143" s="5">
        <f t="shared" si="12"/>
        <v>0</v>
      </c>
    </row>
    <row r="144" spans="1:9">
      <c r="A144">
        <v>143</v>
      </c>
      <c r="B144">
        <v>8</v>
      </c>
      <c r="C144">
        <v>6000</v>
      </c>
      <c r="D144">
        <v>6031</v>
      </c>
      <c r="E144" s="5">
        <f t="shared" si="9"/>
        <v>31</v>
      </c>
      <c r="F144" s="5">
        <f t="shared" si="10"/>
        <v>961</v>
      </c>
      <c r="G144" s="6">
        <f>SQRT(SUM($F$2:F144)/A144)</f>
        <v>984.65047222227668</v>
      </c>
      <c r="H144" s="5">
        <f t="shared" si="11"/>
        <v>1</v>
      </c>
      <c r="I144" s="5">
        <f t="shared" si="12"/>
        <v>1</v>
      </c>
    </row>
    <row r="145" spans="1:9">
      <c r="A145">
        <v>144</v>
      </c>
      <c r="B145">
        <v>10</v>
      </c>
      <c r="C145">
        <v>6000</v>
      </c>
      <c r="D145">
        <v>6759</v>
      </c>
      <c r="E145" s="5">
        <f t="shared" si="9"/>
        <v>759</v>
      </c>
      <c r="F145" s="5">
        <f t="shared" si="10"/>
        <v>576081</v>
      </c>
      <c r="G145" s="6">
        <f>SQRT(SUM($F$2:F145)/A145)</f>
        <v>983.26203131323155</v>
      </c>
      <c r="H145" s="5">
        <f t="shared" si="11"/>
        <v>1</v>
      </c>
      <c r="I145" s="5">
        <f t="shared" si="12"/>
        <v>0</v>
      </c>
    </row>
    <row r="146" spans="1:9">
      <c r="A146">
        <v>145</v>
      </c>
      <c r="B146">
        <v>9</v>
      </c>
      <c r="C146">
        <v>6000</v>
      </c>
      <c r="D146">
        <v>5816</v>
      </c>
      <c r="E146" s="5">
        <f t="shared" si="9"/>
        <v>184</v>
      </c>
      <c r="F146" s="5">
        <f t="shared" si="10"/>
        <v>33856</v>
      </c>
      <c r="G146" s="6">
        <f>SQRT(SUM($F$2:F146)/A146)</f>
        <v>979.98474301987176</v>
      </c>
      <c r="H146" s="5">
        <f t="shared" si="11"/>
        <v>1</v>
      </c>
      <c r="I146" s="5">
        <f t="shared" si="12"/>
        <v>1</v>
      </c>
    </row>
    <row r="147" spans="1:9">
      <c r="A147">
        <v>146</v>
      </c>
      <c r="B147">
        <v>10</v>
      </c>
      <c r="C147">
        <v>6000</v>
      </c>
      <c r="D147">
        <v>6526</v>
      </c>
      <c r="E147" s="5">
        <f t="shared" si="9"/>
        <v>526</v>
      </c>
      <c r="F147" s="5">
        <f t="shared" si="10"/>
        <v>276676</v>
      </c>
      <c r="G147" s="6">
        <f>SQRT(SUM($F$2:F147)/A147)</f>
        <v>977.59258399088355</v>
      </c>
      <c r="H147" s="5">
        <f t="shared" si="11"/>
        <v>1</v>
      </c>
      <c r="I147" s="5">
        <f t="shared" si="12"/>
        <v>1</v>
      </c>
    </row>
    <row r="148" spans="1:9">
      <c r="A148">
        <v>147</v>
      </c>
      <c r="B148">
        <v>9</v>
      </c>
      <c r="C148">
        <v>6000</v>
      </c>
      <c r="D148">
        <v>5160</v>
      </c>
      <c r="E148" s="5">
        <f t="shared" si="9"/>
        <v>840</v>
      </c>
      <c r="F148" s="5">
        <f t="shared" si="10"/>
        <v>705600</v>
      </c>
      <c r="G148" s="6">
        <f>SQRT(SUM($F$2:F148)/A148)</f>
        <v>976.72206199847756</v>
      </c>
      <c r="H148" s="5">
        <f t="shared" si="11"/>
        <v>1</v>
      </c>
      <c r="I148" s="5">
        <f t="shared" si="12"/>
        <v>0</v>
      </c>
    </row>
    <row r="149" spans="1:9">
      <c r="A149">
        <v>148</v>
      </c>
      <c r="B149">
        <v>10</v>
      </c>
      <c r="C149">
        <v>6000</v>
      </c>
      <c r="D149">
        <v>5951</v>
      </c>
      <c r="E149" s="5">
        <f t="shared" si="9"/>
        <v>49</v>
      </c>
      <c r="F149" s="5">
        <f t="shared" si="10"/>
        <v>2401</v>
      </c>
      <c r="G149" s="6">
        <f>SQRT(SUM($F$2:F149)/A149)</f>
        <v>973.42506548172889</v>
      </c>
      <c r="H149" s="5">
        <f t="shared" si="11"/>
        <v>1</v>
      </c>
      <c r="I149" s="5">
        <f t="shared" si="12"/>
        <v>1</v>
      </c>
    </row>
    <row r="150" spans="1:9">
      <c r="A150">
        <v>149</v>
      </c>
      <c r="B150">
        <v>10</v>
      </c>
      <c r="C150">
        <v>6000</v>
      </c>
      <c r="D150">
        <v>6568</v>
      </c>
      <c r="E150" s="5">
        <f t="shared" si="9"/>
        <v>568</v>
      </c>
      <c r="F150" s="5">
        <f t="shared" si="10"/>
        <v>322624</v>
      </c>
      <c r="G150" s="6">
        <f>SQRT(SUM($F$2:F150)/A150)</f>
        <v>971.26833635615537</v>
      </c>
      <c r="H150" s="5">
        <f t="shared" si="11"/>
        <v>1</v>
      </c>
      <c r="I150" s="5">
        <f t="shared" si="12"/>
        <v>1</v>
      </c>
    </row>
    <row r="151" spans="1:9">
      <c r="A151">
        <v>150</v>
      </c>
      <c r="B151">
        <v>9</v>
      </c>
      <c r="C151">
        <v>6000</v>
      </c>
      <c r="D151">
        <v>5113</v>
      </c>
      <c r="E151" s="5">
        <f t="shared" si="9"/>
        <v>887</v>
      </c>
      <c r="F151" s="5">
        <f t="shared" si="10"/>
        <v>786769</v>
      </c>
      <c r="G151" s="6">
        <f>SQRT(SUM($F$2:F151)/A151)</f>
        <v>970.7307694034771</v>
      </c>
      <c r="H151" s="5">
        <f t="shared" si="11"/>
        <v>1</v>
      </c>
      <c r="I151" s="5">
        <f t="shared" si="12"/>
        <v>0</v>
      </c>
    </row>
    <row r="152" spans="1:9">
      <c r="A152">
        <v>151</v>
      </c>
      <c r="B152">
        <v>10</v>
      </c>
      <c r="C152">
        <v>6000</v>
      </c>
      <c r="D152">
        <v>7018</v>
      </c>
      <c r="E152" s="5">
        <f t="shared" si="9"/>
        <v>1018</v>
      </c>
      <c r="F152" s="5">
        <f t="shared" si="10"/>
        <v>1036324</v>
      </c>
      <c r="G152" s="6">
        <f>SQRT(SUM($F$2:F152)/A152)</f>
        <v>971.05137941148803</v>
      </c>
      <c r="H152" s="5">
        <f t="shared" si="11"/>
        <v>1</v>
      </c>
      <c r="I152" s="5">
        <f t="shared" si="12"/>
        <v>0</v>
      </c>
    </row>
    <row r="153" spans="1:9">
      <c r="A153">
        <v>152</v>
      </c>
      <c r="B153">
        <v>8</v>
      </c>
      <c r="C153">
        <v>6000</v>
      </c>
      <c r="D153">
        <v>5053</v>
      </c>
      <c r="E153" s="5">
        <f t="shared" si="9"/>
        <v>947</v>
      </c>
      <c r="F153" s="5">
        <f t="shared" si="10"/>
        <v>896809</v>
      </c>
      <c r="G153" s="6">
        <f>SQRT(SUM($F$2:F153)/A153)</f>
        <v>970.89509366086349</v>
      </c>
      <c r="H153" s="5">
        <f t="shared" si="11"/>
        <v>1</v>
      </c>
      <c r="I153" s="5">
        <f t="shared" si="12"/>
        <v>0</v>
      </c>
    </row>
    <row r="154" spans="1:9">
      <c r="A154">
        <v>153</v>
      </c>
      <c r="B154">
        <v>10</v>
      </c>
      <c r="C154">
        <v>6000</v>
      </c>
      <c r="D154">
        <v>5607</v>
      </c>
      <c r="E154" s="5">
        <f t="shared" si="9"/>
        <v>393</v>
      </c>
      <c r="F154" s="5">
        <f t="shared" si="10"/>
        <v>154449</v>
      </c>
      <c r="G154" s="6">
        <f>SQRT(SUM($F$2:F154)/A154)</f>
        <v>968.23846519862866</v>
      </c>
      <c r="H154" s="5">
        <f t="shared" si="11"/>
        <v>1</v>
      </c>
      <c r="I154" s="5">
        <f t="shared" si="12"/>
        <v>1</v>
      </c>
    </row>
    <row r="155" spans="1:9">
      <c r="A155">
        <v>154</v>
      </c>
      <c r="B155">
        <v>10</v>
      </c>
      <c r="C155">
        <v>6000</v>
      </c>
      <c r="D155">
        <v>6123</v>
      </c>
      <c r="E155" s="5">
        <f t="shared" si="9"/>
        <v>123</v>
      </c>
      <c r="F155" s="5">
        <f t="shared" si="10"/>
        <v>15129</v>
      </c>
      <c r="G155" s="6">
        <f>SQRT(SUM($F$2:F155)/A155)</f>
        <v>965.1406094988937</v>
      </c>
      <c r="H155" s="5">
        <f t="shared" si="11"/>
        <v>1</v>
      </c>
      <c r="I155" s="5">
        <f t="shared" si="12"/>
        <v>1</v>
      </c>
    </row>
    <row r="156" spans="1:9">
      <c r="A156">
        <v>155</v>
      </c>
      <c r="B156">
        <v>10</v>
      </c>
      <c r="C156">
        <v>6000</v>
      </c>
      <c r="D156">
        <v>6554</v>
      </c>
      <c r="E156" s="5">
        <f t="shared" si="9"/>
        <v>554</v>
      </c>
      <c r="F156" s="5">
        <f t="shared" si="10"/>
        <v>306916</v>
      </c>
      <c r="G156" s="6">
        <f>SQRT(SUM($F$2:F156)/A156)</f>
        <v>963.05080092448418</v>
      </c>
      <c r="H156" s="5">
        <f t="shared" si="11"/>
        <v>1</v>
      </c>
      <c r="I156" s="5">
        <f t="shared" si="12"/>
        <v>1</v>
      </c>
    </row>
    <row r="157" spans="1:9">
      <c r="A157">
        <v>156</v>
      </c>
      <c r="B157">
        <v>9</v>
      </c>
      <c r="C157">
        <v>6000</v>
      </c>
      <c r="D157">
        <v>5685</v>
      </c>
      <c r="E157" s="5">
        <f t="shared" si="9"/>
        <v>315</v>
      </c>
      <c r="F157" s="5">
        <f t="shared" si="10"/>
        <v>99225</v>
      </c>
      <c r="G157" s="6">
        <f>SQRT(SUM($F$2:F157)/A157)</f>
        <v>960.29037408697513</v>
      </c>
      <c r="H157" s="5">
        <f t="shared" si="11"/>
        <v>1</v>
      </c>
      <c r="I157" s="5">
        <f t="shared" si="12"/>
        <v>1</v>
      </c>
    </row>
    <row r="158" spans="1:9">
      <c r="A158">
        <v>157</v>
      </c>
      <c r="B158">
        <v>10</v>
      </c>
      <c r="C158">
        <v>6000</v>
      </c>
      <c r="D158">
        <v>5866</v>
      </c>
      <c r="E158" s="5">
        <f t="shared" si="9"/>
        <v>134</v>
      </c>
      <c r="F158" s="5">
        <f t="shared" si="10"/>
        <v>17956</v>
      </c>
      <c r="G158" s="6">
        <f>SQRT(SUM($F$2:F158)/A158)</f>
        <v>957.28697718494948</v>
      </c>
      <c r="H158" s="5">
        <f t="shared" si="11"/>
        <v>1</v>
      </c>
      <c r="I158" s="5">
        <f t="shared" si="12"/>
        <v>1</v>
      </c>
    </row>
    <row r="159" spans="1:9">
      <c r="A159">
        <v>158</v>
      </c>
      <c r="B159">
        <v>10</v>
      </c>
      <c r="C159">
        <v>6000</v>
      </c>
      <c r="D159">
        <v>6170</v>
      </c>
      <c r="E159" s="5">
        <f t="shared" si="9"/>
        <v>170</v>
      </c>
      <c r="F159" s="5">
        <f t="shared" si="10"/>
        <v>28900</v>
      </c>
      <c r="G159" s="6">
        <f>SQRT(SUM($F$2:F159)/A159)</f>
        <v>954.34861475302239</v>
      </c>
      <c r="H159" s="5">
        <f t="shared" si="11"/>
        <v>1</v>
      </c>
      <c r="I159" s="5">
        <f t="shared" si="12"/>
        <v>1</v>
      </c>
    </row>
    <row r="160" spans="1:9">
      <c r="A160">
        <v>159</v>
      </c>
      <c r="B160">
        <v>9</v>
      </c>
      <c r="C160">
        <v>6000</v>
      </c>
      <c r="D160">
        <v>4953</v>
      </c>
      <c r="E160" s="5">
        <f t="shared" si="9"/>
        <v>1047</v>
      </c>
      <c r="F160" s="5">
        <f t="shared" si="10"/>
        <v>1096209</v>
      </c>
      <c r="G160" s="6">
        <f>SQRT(SUM($F$2:F160)/A160)</f>
        <v>954.95941828228376</v>
      </c>
      <c r="H160" s="5">
        <f t="shared" si="11"/>
        <v>1</v>
      </c>
      <c r="I160" s="5">
        <f t="shared" si="12"/>
        <v>0</v>
      </c>
    </row>
    <row r="161" spans="1:9">
      <c r="A161">
        <v>160</v>
      </c>
      <c r="B161">
        <v>11</v>
      </c>
      <c r="C161">
        <v>6000</v>
      </c>
      <c r="D161">
        <v>6108</v>
      </c>
      <c r="E161" s="5">
        <f t="shared" si="9"/>
        <v>108</v>
      </c>
      <c r="F161" s="5">
        <f t="shared" si="10"/>
        <v>11664</v>
      </c>
      <c r="G161" s="6">
        <f>SQRT(SUM($F$2:F161)/A161)</f>
        <v>952.00878081559733</v>
      </c>
      <c r="H161" s="5">
        <f t="shared" si="11"/>
        <v>1</v>
      </c>
      <c r="I161" s="5">
        <f t="shared" si="12"/>
        <v>1</v>
      </c>
    </row>
    <row r="162" spans="1:9">
      <c r="A162">
        <v>161</v>
      </c>
      <c r="B162">
        <v>10</v>
      </c>
      <c r="C162">
        <v>6000</v>
      </c>
      <c r="D162">
        <v>4647</v>
      </c>
      <c r="E162" s="5">
        <f t="shared" si="9"/>
        <v>1353</v>
      </c>
      <c r="F162" s="5">
        <f t="shared" si="10"/>
        <v>1830609</v>
      </c>
      <c r="G162" s="6">
        <f>SQRT(SUM($F$2:F162)/A162)</f>
        <v>955.01918292333414</v>
      </c>
      <c r="H162" s="5">
        <f t="shared" si="11"/>
        <v>0</v>
      </c>
      <c r="I162" s="5">
        <f t="shared" si="12"/>
        <v>0</v>
      </c>
    </row>
    <row r="163" spans="1:9">
      <c r="A163">
        <v>162</v>
      </c>
      <c r="B163">
        <v>12</v>
      </c>
      <c r="C163">
        <v>6000</v>
      </c>
      <c r="D163">
        <v>1535</v>
      </c>
      <c r="E163" s="5">
        <f t="shared" si="9"/>
        <v>4465</v>
      </c>
      <c r="F163" s="5">
        <f t="shared" si="10"/>
        <v>19936225</v>
      </c>
      <c r="G163" s="6">
        <f>SQRT(SUM($F$2:F163)/A163)</f>
        <v>1014.64020564611</v>
      </c>
      <c r="H163" s="5">
        <f t="shared" si="11"/>
        <v>0</v>
      </c>
      <c r="I163" s="5">
        <f t="shared" si="12"/>
        <v>0</v>
      </c>
    </row>
    <row r="164" spans="1:9">
      <c r="A164">
        <v>163</v>
      </c>
      <c r="B164">
        <v>16</v>
      </c>
      <c r="C164">
        <v>6000</v>
      </c>
      <c r="D164">
        <v>7412</v>
      </c>
      <c r="E164" s="5">
        <f t="shared" si="9"/>
        <v>1412</v>
      </c>
      <c r="F164" s="5">
        <f t="shared" si="10"/>
        <v>1993744</v>
      </c>
      <c r="G164" s="6">
        <f>SQRT(SUM($F$2:F164)/A164)</f>
        <v>1017.5511714420398</v>
      </c>
      <c r="H164" s="5">
        <f t="shared" si="11"/>
        <v>0</v>
      </c>
      <c r="I164" s="5">
        <f t="shared" si="12"/>
        <v>0</v>
      </c>
    </row>
    <row r="165" spans="1:9">
      <c r="A165">
        <v>164</v>
      </c>
      <c r="B165">
        <v>10</v>
      </c>
      <c r="C165">
        <v>6000</v>
      </c>
      <c r="D165">
        <v>5606</v>
      </c>
      <c r="E165" s="5">
        <f t="shared" si="9"/>
        <v>394</v>
      </c>
      <c r="F165" s="5">
        <f t="shared" si="10"/>
        <v>155236</v>
      </c>
      <c r="G165" s="6">
        <f>SQRT(SUM($F$2:F165)/A165)</f>
        <v>1014.9105721748075</v>
      </c>
      <c r="H165" s="5">
        <f t="shared" si="11"/>
        <v>1</v>
      </c>
      <c r="I165" s="5">
        <f t="shared" si="12"/>
        <v>1</v>
      </c>
    </row>
    <row r="166" spans="1:9">
      <c r="A166">
        <v>165</v>
      </c>
      <c r="B166">
        <v>12</v>
      </c>
      <c r="C166">
        <v>6000</v>
      </c>
      <c r="D166">
        <v>7346</v>
      </c>
      <c r="E166" s="5">
        <f t="shared" si="9"/>
        <v>1346</v>
      </c>
      <c r="F166" s="5">
        <f t="shared" si="10"/>
        <v>1811716</v>
      </c>
      <c r="G166" s="6">
        <f>SQRT(SUM($F$2:F166)/A166)</f>
        <v>1017.2417995677717</v>
      </c>
      <c r="H166" s="5">
        <f t="shared" si="11"/>
        <v>0</v>
      </c>
      <c r="I166" s="5">
        <f t="shared" si="12"/>
        <v>0</v>
      </c>
    </row>
    <row r="167" spans="1:9">
      <c r="A167">
        <v>166</v>
      </c>
      <c r="B167">
        <v>9</v>
      </c>
      <c r="C167">
        <v>6000</v>
      </c>
      <c r="D167">
        <v>5217</v>
      </c>
      <c r="E167" s="5">
        <f t="shared" si="9"/>
        <v>783</v>
      </c>
      <c r="F167" s="5">
        <f t="shared" si="10"/>
        <v>613089</v>
      </c>
      <c r="G167" s="6">
        <f>SQRT(SUM($F$2:F167)/A167)</f>
        <v>1015.9924046296115</v>
      </c>
      <c r="H167" s="5">
        <f t="shared" si="11"/>
        <v>1</v>
      </c>
      <c r="I167" s="5">
        <f t="shared" si="12"/>
        <v>0</v>
      </c>
    </row>
    <row r="168" spans="1:9">
      <c r="A168">
        <v>167</v>
      </c>
      <c r="B168">
        <v>12</v>
      </c>
      <c r="C168">
        <v>6000</v>
      </c>
      <c r="D168">
        <v>6479</v>
      </c>
      <c r="E168" s="5">
        <f t="shared" si="9"/>
        <v>479</v>
      </c>
      <c r="F168" s="5">
        <f t="shared" si="10"/>
        <v>229441</v>
      </c>
      <c r="G168" s="6">
        <f>SQRT(SUM($F$2:F168)/A168)</f>
        <v>1013.6238864754189</v>
      </c>
      <c r="H168" s="5">
        <f t="shared" si="11"/>
        <v>1</v>
      </c>
      <c r="I168" s="5">
        <f t="shared" si="12"/>
        <v>1</v>
      </c>
    </row>
    <row r="169" spans="1:9">
      <c r="A169">
        <v>168</v>
      </c>
      <c r="B169">
        <v>10</v>
      </c>
      <c r="C169">
        <v>6000</v>
      </c>
      <c r="D169">
        <v>6407</v>
      </c>
      <c r="E169" s="5">
        <f t="shared" si="9"/>
        <v>407</v>
      </c>
      <c r="F169" s="5">
        <f t="shared" si="10"/>
        <v>165649</v>
      </c>
      <c r="G169" s="6">
        <f>SQRT(SUM($F$2:F169)/A169)</f>
        <v>1011.0903591102599</v>
      </c>
      <c r="H169" s="5">
        <f t="shared" si="11"/>
        <v>1</v>
      </c>
      <c r="I169" s="5">
        <f t="shared" si="12"/>
        <v>1</v>
      </c>
    </row>
    <row r="170" spans="1:9">
      <c r="A170">
        <v>169</v>
      </c>
      <c r="B170">
        <v>10</v>
      </c>
      <c r="C170">
        <v>6000</v>
      </c>
      <c r="D170">
        <v>6191</v>
      </c>
      <c r="E170" s="5">
        <f t="shared" si="9"/>
        <v>191</v>
      </c>
      <c r="F170" s="5">
        <f t="shared" si="10"/>
        <v>36481</v>
      </c>
      <c r="G170" s="6">
        <f>SQRT(SUM($F$2:F170)/A170)</f>
        <v>1008.2015888635477</v>
      </c>
      <c r="H170" s="5">
        <f t="shared" si="11"/>
        <v>1</v>
      </c>
      <c r="I170" s="5">
        <f t="shared" si="12"/>
        <v>1</v>
      </c>
    </row>
    <row r="171" spans="1:9">
      <c r="A171">
        <v>170</v>
      </c>
      <c r="B171">
        <v>11</v>
      </c>
      <c r="C171">
        <v>6000</v>
      </c>
      <c r="D171">
        <v>6467</v>
      </c>
      <c r="E171" s="5">
        <f t="shared" si="9"/>
        <v>467</v>
      </c>
      <c r="F171" s="5">
        <f t="shared" si="10"/>
        <v>218089</v>
      </c>
      <c r="G171" s="6">
        <f>SQRT(SUM($F$2:F171)/A171)</f>
        <v>1005.8698138193338</v>
      </c>
      <c r="H171" s="5">
        <f t="shared" si="11"/>
        <v>1</v>
      </c>
      <c r="I171" s="5">
        <f t="shared" si="12"/>
        <v>1</v>
      </c>
    </row>
    <row r="172" spans="1:9">
      <c r="A172">
        <v>171</v>
      </c>
      <c r="B172">
        <v>10</v>
      </c>
      <c r="C172">
        <v>6000</v>
      </c>
      <c r="D172">
        <v>6751</v>
      </c>
      <c r="E172" s="5">
        <f t="shared" si="9"/>
        <v>751</v>
      </c>
      <c r="F172" s="5">
        <f t="shared" si="10"/>
        <v>564001</v>
      </c>
      <c r="G172" s="6">
        <f>SQRT(SUM($F$2:F172)/A172)</f>
        <v>1004.5673328930169</v>
      </c>
      <c r="H172" s="5">
        <f t="shared" si="11"/>
        <v>1</v>
      </c>
      <c r="I172" s="5">
        <f t="shared" si="12"/>
        <v>0</v>
      </c>
    </row>
    <row r="173" spans="1:9">
      <c r="A173">
        <v>172</v>
      </c>
      <c r="B173">
        <v>10</v>
      </c>
      <c r="C173">
        <v>6000</v>
      </c>
      <c r="D173">
        <v>6472</v>
      </c>
      <c r="E173" s="5">
        <f t="shared" si="9"/>
        <v>472</v>
      </c>
      <c r="F173" s="5">
        <f t="shared" si="10"/>
        <v>222784</v>
      </c>
      <c r="G173" s="6">
        <f>SQRT(SUM($F$2:F173)/A173)</f>
        <v>1002.2891792477903</v>
      </c>
      <c r="H173" s="5">
        <f t="shared" si="11"/>
        <v>1</v>
      </c>
      <c r="I173" s="5">
        <f t="shared" si="12"/>
        <v>1</v>
      </c>
    </row>
    <row r="174" spans="1:9">
      <c r="A174">
        <v>173</v>
      </c>
      <c r="B174">
        <v>10</v>
      </c>
      <c r="C174">
        <v>6000</v>
      </c>
      <c r="D174">
        <v>6246</v>
      </c>
      <c r="E174" s="5">
        <f t="shared" si="9"/>
        <v>246</v>
      </c>
      <c r="F174" s="5">
        <f t="shared" si="10"/>
        <v>60516</v>
      </c>
      <c r="G174" s="6">
        <f>SQRT(SUM($F$2:F174)/A174)</f>
        <v>999.56318494312393</v>
      </c>
      <c r="H174" s="5">
        <f t="shared" si="11"/>
        <v>1</v>
      </c>
      <c r="I174" s="5">
        <f t="shared" si="12"/>
        <v>1</v>
      </c>
    </row>
    <row r="175" spans="1:9">
      <c r="A175">
        <v>174</v>
      </c>
      <c r="B175">
        <v>10</v>
      </c>
      <c r="C175">
        <v>6000</v>
      </c>
      <c r="D175">
        <v>6366</v>
      </c>
      <c r="E175" s="5">
        <f t="shared" si="9"/>
        <v>366</v>
      </c>
      <c r="F175" s="5">
        <f t="shared" si="10"/>
        <v>133956</v>
      </c>
      <c r="G175" s="6">
        <f>SQRT(SUM($F$2:F175)/A175)</f>
        <v>997.07287401270423</v>
      </c>
      <c r="H175" s="5">
        <f t="shared" si="11"/>
        <v>1</v>
      </c>
      <c r="I175" s="5">
        <f t="shared" si="12"/>
        <v>1</v>
      </c>
    </row>
    <row r="176" spans="1:9">
      <c r="A176">
        <v>175</v>
      </c>
      <c r="B176">
        <v>10</v>
      </c>
      <c r="C176">
        <v>6000</v>
      </c>
      <c r="D176">
        <v>6042</v>
      </c>
      <c r="E176" s="5">
        <f t="shared" si="9"/>
        <v>42</v>
      </c>
      <c r="F176" s="5">
        <f t="shared" si="10"/>
        <v>1764</v>
      </c>
      <c r="G176" s="6">
        <f>SQRT(SUM($F$2:F176)/A176)</f>
        <v>994.22508230566893</v>
      </c>
      <c r="H176" s="5">
        <f t="shared" si="11"/>
        <v>1</v>
      </c>
      <c r="I176" s="5">
        <f t="shared" si="12"/>
        <v>1</v>
      </c>
    </row>
    <row r="177" spans="1:9">
      <c r="A177">
        <v>176</v>
      </c>
      <c r="B177">
        <v>10</v>
      </c>
      <c r="C177">
        <v>6000</v>
      </c>
      <c r="D177">
        <v>6348</v>
      </c>
      <c r="E177" s="5">
        <f t="shared" si="9"/>
        <v>348</v>
      </c>
      <c r="F177" s="5">
        <f t="shared" si="10"/>
        <v>121104</v>
      </c>
      <c r="G177" s="6">
        <f>SQRT(SUM($F$2:F177)/A177)</f>
        <v>991.74352611494726</v>
      </c>
      <c r="H177" s="5">
        <f t="shared" si="11"/>
        <v>1</v>
      </c>
      <c r="I177" s="5">
        <f t="shared" si="12"/>
        <v>1</v>
      </c>
    </row>
    <row r="178" spans="1:9">
      <c r="A178">
        <v>177</v>
      </c>
      <c r="B178">
        <v>10</v>
      </c>
      <c r="C178">
        <v>6000</v>
      </c>
      <c r="D178">
        <v>5983</v>
      </c>
      <c r="E178" s="5">
        <f t="shared" si="9"/>
        <v>17</v>
      </c>
      <c r="F178" s="5">
        <f t="shared" si="10"/>
        <v>289</v>
      </c>
      <c r="G178" s="6">
        <f>SQRT(SUM($F$2:F178)/A178)</f>
        <v>988.93884805772495</v>
      </c>
      <c r="H178" s="5">
        <f t="shared" si="11"/>
        <v>1</v>
      </c>
      <c r="I178" s="5">
        <f t="shared" si="12"/>
        <v>1</v>
      </c>
    </row>
    <row r="179" spans="1:9">
      <c r="A179">
        <v>178</v>
      </c>
      <c r="B179">
        <v>10</v>
      </c>
      <c r="C179">
        <v>6000</v>
      </c>
      <c r="D179">
        <v>6384</v>
      </c>
      <c r="E179" s="5">
        <f t="shared" si="9"/>
        <v>384</v>
      </c>
      <c r="F179" s="5">
        <f t="shared" si="10"/>
        <v>147456</v>
      </c>
      <c r="G179" s="6">
        <f>SQRT(SUM($F$2:F179)/A179)</f>
        <v>986.57694449836515</v>
      </c>
      <c r="H179" s="5">
        <f t="shared" si="11"/>
        <v>1</v>
      </c>
      <c r="I179" s="5">
        <f t="shared" si="12"/>
        <v>1</v>
      </c>
    </row>
    <row r="180" spans="1:9">
      <c r="A180">
        <v>179</v>
      </c>
      <c r="B180">
        <v>9</v>
      </c>
      <c r="C180">
        <v>6000</v>
      </c>
      <c r="D180">
        <v>5795</v>
      </c>
      <c r="E180" s="5">
        <f t="shared" si="9"/>
        <v>205</v>
      </c>
      <c r="F180" s="5">
        <f t="shared" si="10"/>
        <v>42025</v>
      </c>
      <c r="G180" s="6">
        <f>SQRT(SUM($F$2:F180)/A180)</f>
        <v>983.93659524569318</v>
      </c>
      <c r="H180" s="5">
        <f t="shared" si="11"/>
        <v>1</v>
      </c>
      <c r="I180" s="5">
        <f t="shared" si="12"/>
        <v>1</v>
      </c>
    </row>
    <row r="181" spans="1:9">
      <c r="A181">
        <v>180</v>
      </c>
      <c r="B181">
        <v>10</v>
      </c>
      <c r="C181">
        <v>6000</v>
      </c>
      <c r="D181">
        <v>6820</v>
      </c>
      <c r="E181" s="5">
        <f t="shared" si="9"/>
        <v>820</v>
      </c>
      <c r="F181" s="5">
        <f t="shared" si="10"/>
        <v>672400</v>
      </c>
      <c r="G181" s="6">
        <f>SQRT(SUM($F$2:F181)/A181)</f>
        <v>983.10135399267062</v>
      </c>
      <c r="H181" s="5">
        <f t="shared" si="11"/>
        <v>1</v>
      </c>
      <c r="I181" s="5">
        <f t="shared" si="12"/>
        <v>0</v>
      </c>
    </row>
    <row r="182" spans="1:9">
      <c r="A182">
        <v>181</v>
      </c>
      <c r="B182">
        <v>9</v>
      </c>
      <c r="C182">
        <v>6000</v>
      </c>
      <c r="D182">
        <v>5895</v>
      </c>
      <c r="E182" s="5">
        <f t="shared" si="9"/>
        <v>105</v>
      </c>
      <c r="F182" s="5">
        <f t="shared" si="10"/>
        <v>11025</v>
      </c>
      <c r="G182" s="6">
        <f>SQRT(SUM($F$2:F182)/A182)</f>
        <v>980.41290771453009</v>
      </c>
      <c r="H182" s="5">
        <f t="shared" si="11"/>
        <v>1</v>
      </c>
      <c r="I182" s="5">
        <f t="shared" si="12"/>
        <v>1</v>
      </c>
    </row>
    <row r="183" spans="1:9">
      <c r="A183">
        <v>182</v>
      </c>
      <c r="B183">
        <v>10</v>
      </c>
      <c r="C183">
        <v>6000</v>
      </c>
      <c r="D183">
        <v>6504</v>
      </c>
      <c r="E183" s="5">
        <f t="shared" si="9"/>
        <v>504</v>
      </c>
      <c r="F183" s="5">
        <f t="shared" si="10"/>
        <v>254016</v>
      </c>
      <c r="G183" s="6">
        <f>SQRT(SUM($F$2:F183)/A183)</f>
        <v>978.42924690995983</v>
      </c>
      <c r="H183" s="5">
        <f t="shared" si="11"/>
        <v>1</v>
      </c>
      <c r="I183" s="5">
        <f t="shared" si="12"/>
        <v>1</v>
      </c>
    </row>
    <row r="184" spans="1:9">
      <c r="A184">
        <v>183</v>
      </c>
      <c r="B184">
        <v>9</v>
      </c>
      <c r="C184">
        <v>6000</v>
      </c>
      <c r="D184">
        <v>5941</v>
      </c>
      <c r="E184" s="5">
        <f t="shared" si="9"/>
        <v>59</v>
      </c>
      <c r="F184" s="5">
        <f t="shared" si="10"/>
        <v>3481</v>
      </c>
      <c r="G184" s="6">
        <f>SQRT(SUM($F$2:F184)/A184)</f>
        <v>975.76202811911355</v>
      </c>
      <c r="H184" s="5">
        <f t="shared" si="11"/>
        <v>1</v>
      </c>
      <c r="I184" s="5">
        <f t="shared" si="12"/>
        <v>1</v>
      </c>
    </row>
    <row r="185" spans="1:9">
      <c r="A185">
        <v>184</v>
      </c>
      <c r="B185">
        <v>10</v>
      </c>
      <c r="C185">
        <v>6000</v>
      </c>
      <c r="D185">
        <v>5934</v>
      </c>
      <c r="E185" s="5">
        <f t="shared" si="9"/>
        <v>66</v>
      </c>
      <c r="F185" s="5">
        <f t="shared" si="10"/>
        <v>4356</v>
      </c>
      <c r="G185" s="6">
        <f>SQRT(SUM($F$2:F185)/A185)</f>
        <v>973.11905243777414</v>
      </c>
      <c r="H185" s="5">
        <f t="shared" si="11"/>
        <v>1</v>
      </c>
      <c r="I185" s="5">
        <f t="shared" si="12"/>
        <v>1</v>
      </c>
    </row>
    <row r="186" spans="1:9">
      <c r="A186">
        <v>185</v>
      </c>
      <c r="B186">
        <v>10</v>
      </c>
      <c r="C186">
        <v>6000</v>
      </c>
      <c r="D186">
        <v>6593</v>
      </c>
      <c r="E186" s="5">
        <f t="shared" si="9"/>
        <v>593</v>
      </c>
      <c r="F186" s="5">
        <f t="shared" si="10"/>
        <v>351649</v>
      </c>
      <c r="G186" s="6">
        <f>SQRT(SUM($F$2:F186)/A186)</f>
        <v>971.46425008292977</v>
      </c>
      <c r="H186" s="5">
        <f t="shared" si="11"/>
        <v>1</v>
      </c>
      <c r="I186" s="5">
        <f t="shared" si="12"/>
        <v>1</v>
      </c>
    </row>
    <row r="187" spans="1:9">
      <c r="A187">
        <v>186</v>
      </c>
      <c r="B187">
        <v>9</v>
      </c>
      <c r="C187">
        <v>6000</v>
      </c>
      <c r="D187">
        <v>6366</v>
      </c>
      <c r="E187" s="5">
        <f t="shared" si="9"/>
        <v>366</v>
      </c>
      <c r="F187" s="5">
        <f t="shared" si="10"/>
        <v>133956</v>
      </c>
      <c r="G187" s="6">
        <f>SQRT(SUM($F$2:F187)/A187)</f>
        <v>969.22087099597354</v>
      </c>
      <c r="H187" s="5">
        <f t="shared" si="11"/>
        <v>1</v>
      </c>
      <c r="I187" s="5">
        <f t="shared" si="12"/>
        <v>1</v>
      </c>
    </row>
    <row r="188" spans="1:9">
      <c r="A188">
        <v>187</v>
      </c>
      <c r="B188">
        <v>9</v>
      </c>
      <c r="C188">
        <v>6000</v>
      </c>
      <c r="D188">
        <v>5735</v>
      </c>
      <c r="E188" s="5">
        <f t="shared" si="9"/>
        <v>265</v>
      </c>
      <c r="F188" s="5">
        <f t="shared" si="10"/>
        <v>70225</v>
      </c>
      <c r="G188" s="6">
        <f>SQRT(SUM($F$2:F188)/A188)</f>
        <v>966.82012826989046</v>
      </c>
      <c r="H188" s="5">
        <f t="shared" si="11"/>
        <v>1</v>
      </c>
      <c r="I188" s="5">
        <f t="shared" si="12"/>
        <v>1</v>
      </c>
    </row>
    <row r="189" spans="1:9">
      <c r="A189">
        <v>188</v>
      </c>
      <c r="B189">
        <v>10</v>
      </c>
      <c r="C189">
        <v>6000</v>
      </c>
      <c r="D189">
        <v>5828</v>
      </c>
      <c r="E189" s="5">
        <f t="shared" si="9"/>
        <v>172</v>
      </c>
      <c r="F189" s="5">
        <f t="shared" si="10"/>
        <v>29584</v>
      </c>
      <c r="G189" s="6">
        <f>SQRT(SUM($F$2:F189)/A189)</f>
        <v>964.32696461358535</v>
      </c>
      <c r="H189" s="5">
        <f t="shared" si="11"/>
        <v>1</v>
      </c>
      <c r="I189" s="5">
        <f t="shared" si="12"/>
        <v>1</v>
      </c>
    </row>
    <row r="190" spans="1:9">
      <c r="A190">
        <v>189</v>
      </c>
      <c r="B190">
        <v>10</v>
      </c>
      <c r="C190">
        <v>6000</v>
      </c>
      <c r="D190">
        <v>6594</v>
      </c>
      <c r="E190" s="5">
        <f t="shared" si="9"/>
        <v>594</v>
      </c>
      <c r="F190" s="5">
        <f t="shared" si="10"/>
        <v>352836</v>
      </c>
      <c r="G190" s="6">
        <f>SQRT(SUM($F$2:F190)/A190)</f>
        <v>962.74249195727612</v>
      </c>
      <c r="H190" s="5">
        <f t="shared" si="11"/>
        <v>1</v>
      </c>
      <c r="I190" s="5">
        <f t="shared" si="12"/>
        <v>1</v>
      </c>
    </row>
    <row r="191" spans="1:9">
      <c r="A191">
        <v>190</v>
      </c>
      <c r="B191">
        <v>9</v>
      </c>
      <c r="C191">
        <v>6000</v>
      </c>
      <c r="D191">
        <v>6092</v>
      </c>
      <c r="E191" s="5">
        <f t="shared" si="9"/>
        <v>92</v>
      </c>
      <c r="F191" s="5">
        <f t="shared" si="10"/>
        <v>8464</v>
      </c>
      <c r="G191" s="6">
        <f>SQRT(SUM($F$2:F191)/A191)</f>
        <v>960.22881319204873</v>
      </c>
      <c r="H191" s="5">
        <f t="shared" si="11"/>
        <v>1</v>
      </c>
      <c r="I191" s="5">
        <f t="shared" si="12"/>
        <v>1</v>
      </c>
    </row>
    <row r="192" spans="1:9">
      <c r="A192">
        <v>191</v>
      </c>
      <c r="B192">
        <v>9</v>
      </c>
      <c r="C192">
        <v>6000</v>
      </c>
      <c r="D192">
        <v>5586</v>
      </c>
      <c r="E192" s="5">
        <f t="shared" si="9"/>
        <v>414</v>
      </c>
      <c r="F192" s="5">
        <f t="shared" si="10"/>
        <v>171396</v>
      </c>
      <c r="G192" s="6">
        <f>SQRT(SUM($F$2:F192)/A192)</f>
        <v>958.18020417086552</v>
      </c>
      <c r="H192" s="5">
        <f t="shared" si="11"/>
        <v>1</v>
      </c>
      <c r="I192" s="5">
        <f t="shared" si="12"/>
        <v>1</v>
      </c>
    </row>
    <row r="193" spans="1:9">
      <c r="A193">
        <v>192</v>
      </c>
      <c r="B193">
        <v>10</v>
      </c>
      <c r="C193">
        <v>6000</v>
      </c>
      <c r="D193">
        <v>6420</v>
      </c>
      <c r="E193" s="5">
        <f t="shared" si="9"/>
        <v>420</v>
      </c>
      <c r="F193" s="5">
        <f t="shared" si="10"/>
        <v>176400</v>
      </c>
      <c r="G193" s="6">
        <f>SQRT(SUM($F$2:F193)/A193)</f>
        <v>956.16224270518023</v>
      </c>
      <c r="H193" s="5">
        <f t="shared" si="11"/>
        <v>1</v>
      </c>
      <c r="I193" s="5">
        <f t="shared" si="12"/>
        <v>1</v>
      </c>
    </row>
    <row r="194" spans="1:9">
      <c r="A194">
        <v>193</v>
      </c>
      <c r="B194">
        <v>9</v>
      </c>
      <c r="C194">
        <v>6000</v>
      </c>
      <c r="D194">
        <v>6344</v>
      </c>
      <c r="E194" s="5">
        <f t="shared" si="9"/>
        <v>344</v>
      </c>
      <c r="F194" s="5">
        <f t="shared" si="10"/>
        <v>118336</v>
      </c>
      <c r="G194" s="6">
        <f>SQRT(SUM($F$2:F194)/A194)</f>
        <v>954.00332659286835</v>
      </c>
      <c r="H194" s="5">
        <f t="shared" si="11"/>
        <v>1</v>
      </c>
      <c r="I194" s="5">
        <f t="shared" si="12"/>
        <v>1</v>
      </c>
    </row>
    <row r="195" spans="1:9">
      <c r="A195">
        <v>194</v>
      </c>
      <c r="B195">
        <v>9</v>
      </c>
      <c r="C195">
        <v>6000</v>
      </c>
      <c r="D195">
        <v>5472</v>
      </c>
      <c r="E195" s="5">
        <f t="shared" ref="E195:E258" si="13">ABS(C195-D195)</f>
        <v>528</v>
      </c>
      <c r="F195" s="5">
        <f t="shared" ref="F195:F258" si="14">POWER(E195,2)</f>
        <v>278784</v>
      </c>
      <c r="G195" s="6">
        <f>SQRT(SUM($F$2:F195)/A195)</f>
        <v>952.2961859490963</v>
      </c>
      <c r="H195" s="5">
        <f t="shared" ref="H195:H258" si="15">IF(ABS(E195)/C195&gt;0.2,0,1)</f>
        <v>1</v>
      </c>
      <c r="I195" s="5">
        <f t="shared" ref="I195:I258" si="16">IF(ABS(E195)/C195&gt;0.1,0,1)</f>
        <v>1</v>
      </c>
    </row>
    <row r="196" spans="1:9">
      <c r="A196">
        <v>195</v>
      </c>
      <c r="B196">
        <v>10</v>
      </c>
      <c r="C196">
        <v>6000</v>
      </c>
      <c r="D196">
        <v>6809</v>
      </c>
      <c r="E196" s="5">
        <f t="shared" si="13"/>
        <v>809</v>
      </c>
      <c r="F196" s="5">
        <f t="shared" si="14"/>
        <v>654481</v>
      </c>
      <c r="G196" s="6">
        <f>SQRT(SUM($F$2:F196)/A196)</f>
        <v>951.61637929017036</v>
      </c>
      <c r="H196" s="5">
        <f t="shared" si="15"/>
        <v>1</v>
      </c>
      <c r="I196" s="5">
        <f t="shared" si="16"/>
        <v>0</v>
      </c>
    </row>
    <row r="197" spans="1:9">
      <c r="A197">
        <v>196</v>
      </c>
      <c r="B197">
        <v>8</v>
      </c>
      <c r="C197">
        <v>6000</v>
      </c>
      <c r="D197">
        <v>5558</v>
      </c>
      <c r="E197" s="5">
        <f t="shared" si="13"/>
        <v>442</v>
      </c>
      <c r="F197" s="5">
        <f t="shared" si="14"/>
        <v>195364</v>
      </c>
      <c r="G197" s="6">
        <f>SQRT(SUM($F$2:F197)/A197)</f>
        <v>949.71059501603656</v>
      </c>
      <c r="H197" s="5">
        <f t="shared" si="15"/>
        <v>1</v>
      </c>
      <c r="I197" s="5">
        <f t="shared" si="16"/>
        <v>1</v>
      </c>
    </row>
    <row r="198" spans="1:9">
      <c r="A198">
        <v>197</v>
      </c>
      <c r="B198">
        <v>10</v>
      </c>
      <c r="C198">
        <v>6000</v>
      </c>
      <c r="D198">
        <v>6753</v>
      </c>
      <c r="E198" s="5">
        <f t="shared" si="13"/>
        <v>753</v>
      </c>
      <c r="F198" s="5">
        <f t="shared" si="14"/>
        <v>567009</v>
      </c>
      <c r="G198" s="6">
        <f>SQRT(SUM($F$2:F198)/A198)</f>
        <v>948.81505314583944</v>
      </c>
      <c r="H198" s="5">
        <f t="shared" si="15"/>
        <v>1</v>
      </c>
      <c r="I198" s="5">
        <f t="shared" si="16"/>
        <v>0</v>
      </c>
    </row>
    <row r="199" spans="1:9">
      <c r="A199">
        <v>198</v>
      </c>
      <c r="B199">
        <v>8</v>
      </c>
      <c r="C199">
        <v>6000</v>
      </c>
      <c r="D199">
        <v>4678</v>
      </c>
      <c r="E199" s="5">
        <f t="shared" si="13"/>
        <v>1322</v>
      </c>
      <c r="F199" s="5">
        <f t="shared" si="14"/>
        <v>1747684</v>
      </c>
      <c r="G199" s="6">
        <f>SQRT(SUM($F$2:F199)/A199)</f>
        <v>951.06780764963059</v>
      </c>
      <c r="H199" s="5">
        <f t="shared" si="15"/>
        <v>0</v>
      </c>
      <c r="I199" s="5">
        <f t="shared" si="16"/>
        <v>0</v>
      </c>
    </row>
    <row r="200" spans="1:9">
      <c r="A200">
        <v>199</v>
      </c>
      <c r="B200">
        <v>11</v>
      </c>
      <c r="C200">
        <v>6000</v>
      </c>
      <c r="D200">
        <v>7048</v>
      </c>
      <c r="E200" s="5">
        <f t="shared" si="13"/>
        <v>1048</v>
      </c>
      <c r="F200" s="5">
        <f t="shared" si="14"/>
        <v>1098304</v>
      </c>
      <c r="G200" s="6">
        <f>SQRT(SUM($F$2:F200)/A200)</f>
        <v>951.57958866709578</v>
      </c>
      <c r="H200" s="5">
        <f t="shared" si="15"/>
        <v>1</v>
      </c>
      <c r="I200" s="5">
        <f t="shared" si="16"/>
        <v>0</v>
      </c>
    </row>
    <row r="201" spans="1:9">
      <c r="A201">
        <v>200</v>
      </c>
      <c r="B201">
        <v>8</v>
      </c>
      <c r="C201">
        <v>6000</v>
      </c>
      <c r="D201">
        <v>4825</v>
      </c>
      <c r="E201" s="5">
        <f t="shared" si="13"/>
        <v>1175</v>
      </c>
      <c r="F201" s="5">
        <f t="shared" si="14"/>
        <v>1380625</v>
      </c>
      <c r="G201" s="6">
        <f>SQRT(SUM($F$2:F201)/A201)</f>
        <v>952.82701473037594</v>
      </c>
      <c r="H201" s="5">
        <f t="shared" si="15"/>
        <v>1</v>
      </c>
      <c r="I201" s="5">
        <f t="shared" si="16"/>
        <v>0</v>
      </c>
    </row>
    <row r="202" spans="1:9">
      <c r="A202">
        <v>201</v>
      </c>
      <c r="B202">
        <v>1</v>
      </c>
      <c r="C202">
        <v>9000</v>
      </c>
      <c r="D202">
        <v>796</v>
      </c>
      <c r="E202" s="5">
        <f t="shared" si="13"/>
        <v>8204</v>
      </c>
      <c r="F202" s="5">
        <f t="shared" si="14"/>
        <v>67305616</v>
      </c>
      <c r="G202" s="6">
        <f>SQRT(SUM($F$2:F202)/A202)</f>
        <v>1112.7516876679902</v>
      </c>
      <c r="H202" s="5">
        <f t="shared" si="15"/>
        <v>0</v>
      </c>
      <c r="I202" s="5">
        <f t="shared" si="16"/>
        <v>0</v>
      </c>
    </row>
    <row r="203" spans="1:9">
      <c r="A203">
        <v>202</v>
      </c>
      <c r="B203">
        <v>11</v>
      </c>
      <c r="C203">
        <v>9000</v>
      </c>
      <c r="D203">
        <v>6574</v>
      </c>
      <c r="E203" s="5">
        <f t="shared" si="13"/>
        <v>2426</v>
      </c>
      <c r="F203" s="5">
        <f t="shared" si="14"/>
        <v>5885476</v>
      </c>
      <c r="G203" s="6">
        <f>SQRT(SUM($F$2:F203)/A203)</f>
        <v>1123.0416530367186</v>
      </c>
      <c r="H203" s="5">
        <f t="shared" si="15"/>
        <v>0</v>
      </c>
      <c r="I203" s="5">
        <f t="shared" si="16"/>
        <v>0</v>
      </c>
    </row>
    <row r="204" spans="1:9">
      <c r="A204">
        <v>203</v>
      </c>
      <c r="B204">
        <v>5</v>
      </c>
      <c r="C204">
        <v>9000</v>
      </c>
      <c r="D204">
        <v>3315</v>
      </c>
      <c r="E204" s="5">
        <f t="shared" si="13"/>
        <v>5685</v>
      </c>
      <c r="F204" s="5">
        <f t="shared" si="14"/>
        <v>32319225</v>
      </c>
      <c r="G204" s="6">
        <f>SQRT(SUM($F$2:F204)/A204)</f>
        <v>1189.2088295981025</v>
      </c>
      <c r="H204" s="5">
        <f t="shared" si="15"/>
        <v>0</v>
      </c>
      <c r="I204" s="5">
        <f t="shared" si="16"/>
        <v>0</v>
      </c>
    </row>
    <row r="205" spans="1:9">
      <c r="A205">
        <v>204</v>
      </c>
      <c r="B205">
        <v>10</v>
      </c>
      <c r="C205">
        <v>9000</v>
      </c>
      <c r="D205">
        <v>6156</v>
      </c>
      <c r="E205" s="5">
        <f t="shared" si="13"/>
        <v>2844</v>
      </c>
      <c r="F205" s="5">
        <f t="shared" si="14"/>
        <v>8088336</v>
      </c>
      <c r="G205" s="6">
        <f>SQRT(SUM($F$2:F205)/A205)</f>
        <v>1202.8856582662979</v>
      </c>
      <c r="H205" s="5">
        <f t="shared" si="15"/>
        <v>0</v>
      </c>
      <c r="I205" s="5">
        <f t="shared" si="16"/>
        <v>0</v>
      </c>
    </row>
    <row r="206" spans="1:9">
      <c r="A206">
        <v>205</v>
      </c>
      <c r="B206">
        <v>8</v>
      </c>
      <c r="C206">
        <v>9000</v>
      </c>
      <c r="D206">
        <v>4697</v>
      </c>
      <c r="E206" s="5">
        <f t="shared" si="13"/>
        <v>4303</v>
      </c>
      <c r="F206" s="5">
        <f t="shared" si="14"/>
        <v>18515809</v>
      </c>
      <c r="G206" s="6">
        <f>SQRT(SUM($F$2:F206)/A206)</f>
        <v>1237.0112013216055</v>
      </c>
      <c r="H206" s="5">
        <f t="shared" si="15"/>
        <v>0</v>
      </c>
      <c r="I206" s="5">
        <f t="shared" si="16"/>
        <v>0</v>
      </c>
    </row>
    <row r="207" spans="1:9">
      <c r="A207">
        <v>206</v>
      </c>
      <c r="B207">
        <v>11</v>
      </c>
      <c r="C207">
        <v>9000</v>
      </c>
      <c r="D207">
        <v>6944</v>
      </c>
      <c r="E207" s="5">
        <f t="shared" si="13"/>
        <v>2056</v>
      </c>
      <c r="F207" s="5">
        <f t="shared" si="14"/>
        <v>4227136</v>
      </c>
      <c r="G207" s="6">
        <f>SQRT(SUM($F$2:F207)/A207)</f>
        <v>1242.291692995424</v>
      </c>
      <c r="H207" s="5">
        <f t="shared" si="15"/>
        <v>0</v>
      </c>
      <c r="I207" s="5">
        <f t="shared" si="16"/>
        <v>0</v>
      </c>
    </row>
    <row r="208" spans="1:9">
      <c r="A208">
        <v>207</v>
      </c>
      <c r="B208">
        <v>9</v>
      </c>
      <c r="C208">
        <v>9000</v>
      </c>
      <c r="D208">
        <v>6429</v>
      </c>
      <c r="E208" s="5">
        <f t="shared" si="13"/>
        <v>2571</v>
      </c>
      <c r="F208" s="5">
        <f t="shared" si="14"/>
        <v>6610041</v>
      </c>
      <c r="G208" s="6">
        <f>SQRT(SUM($F$2:F208)/A208)</f>
        <v>1252.1045143979975</v>
      </c>
      <c r="H208" s="5">
        <f t="shared" si="15"/>
        <v>0</v>
      </c>
      <c r="I208" s="5">
        <f t="shared" si="16"/>
        <v>0</v>
      </c>
    </row>
    <row r="209" spans="1:9">
      <c r="A209">
        <v>208</v>
      </c>
      <c r="B209">
        <v>10</v>
      </c>
      <c r="C209">
        <v>9000</v>
      </c>
      <c r="D209">
        <v>5801</v>
      </c>
      <c r="E209" s="5">
        <f t="shared" si="13"/>
        <v>3199</v>
      </c>
      <c r="F209" s="5">
        <f t="shared" si="14"/>
        <v>10233601</v>
      </c>
      <c r="G209" s="6">
        <f>SQRT(SUM($F$2:F209)/A209)</f>
        <v>1268.6324860318628</v>
      </c>
      <c r="H209" s="5">
        <f t="shared" si="15"/>
        <v>0</v>
      </c>
      <c r="I209" s="5">
        <f t="shared" si="16"/>
        <v>0</v>
      </c>
    </row>
    <row r="210" spans="1:9">
      <c r="A210">
        <v>209</v>
      </c>
      <c r="B210">
        <v>12</v>
      </c>
      <c r="C210">
        <v>9000</v>
      </c>
      <c r="D210">
        <v>6870</v>
      </c>
      <c r="E210" s="5">
        <f t="shared" si="13"/>
        <v>2130</v>
      </c>
      <c r="F210" s="5">
        <f t="shared" si="14"/>
        <v>4536900</v>
      </c>
      <c r="G210" s="6">
        <f>SQRT(SUM($F$2:F210)/A210)</f>
        <v>1274.1410541369901</v>
      </c>
      <c r="H210" s="5">
        <f t="shared" si="15"/>
        <v>0</v>
      </c>
      <c r="I210" s="5">
        <f t="shared" si="16"/>
        <v>0</v>
      </c>
    </row>
    <row r="211" spans="1:9">
      <c r="A211">
        <v>210</v>
      </c>
      <c r="B211">
        <v>11</v>
      </c>
      <c r="C211">
        <v>9000</v>
      </c>
      <c r="D211">
        <v>3844</v>
      </c>
      <c r="E211" s="5">
        <f t="shared" si="13"/>
        <v>5156</v>
      </c>
      <c r="F211" s="5">
        <f t="shared" si="14"/>
        <v>26584336</v>
      </c>
      <c r="G211" s="6">
        <f>SQRT(SUM($F$2:F211)/A211)</f>
        <v>1319.9609301577289</v>
      </c>
      <c r="H211" s="5">
        <f t="shared" si="15"/>
        <v>0</v>
      </c>
      <c r="I211" s="5">
        <f t="shared" si="16"/>
        <v>0</v>
      </c>
    </row>
    <row r="212" spans="1:9">
      <c r="A212">
        <v>211</v>
      </c>
      <c r="B212">
        <v>16</v>
      </c>
      <c r="C212">
        <v>9000</v>
      </c>
      <c r="D212">
        <v>8674</v>
      </c>
      <c r="E212" s="5">
        <f t="shared" si="13"/>
        <v>326</v>
      </c>
      <c r="F212" s="5">
        <f t="shared" si="14"/>
        <v>106276</v>
      </c>
      <c r="G212" s="6">
        <f>SQRT(SUM($F$2:F212)/A212)</f>
        <v>1317.0205783477604</v>
      </c>
      <c r="H212" s="5">
        <f t="shared" si="15"/>
        <v>1</v>
      </c>
      <c r="I212" s="5">
        <f t="shared" si="16"/>
        <v>1</v>
      </c>
    </row>
    <row r="213" spans="1:9">
      <c r="A213">
        <v>212</v>
      </c>
      <c r="B213">
        <v>11</v>
      </c>
      <c r="C213">
        <v>9000</v>
      </c>
      <c r="D213">
        <v>6172</v>
      </c>
      <c r="E213" s="5">
        <f t="shared" si="13"/>
        <v>2828</v>
      </c>
      <c r="F213" s="5">
        <f t="shared" si="14"/>
        <v>7997584</v>
      </c>
      <c r="G213" s="6">
        <f>SQRT(SUM($F$2:F213)/A213)</f>
        <v>1328.1889357529687</v>
      </c>
      <c r="H213" s="5">
        <f t="shared" si="15"/>
        <v>0</v>
      </c>
      <c r="I213" s="5">
        <f t="shared" si="16"/>
        <v>0</v>
      </c>
    </row>
    <row r="214" spans="1:9">
      <c r="A214">
        <v>213</v>
      </c>
      <c r="B214">
        <v>14</v>
      </c>
      <c r="C214">
        <v>9000</v>
      </c>
      <c r="D214">
        <v>8604</v>
      </c>
      <c r="E214" s="5">
        <f t="shared" si="13"/>
        <v>396</v>
      </c>
      <c r="F214" s="5">
        <f t="shared" si="14"/>
        <v>156816</v>
      </c>
      <c r="G214" s="6">
        <f>SQRT(SUM($F$2:F214)/A214)</f>
        <v>1325.345230957073</v>
      </c>
      <c r="H214" s="5">
        <f t="shared" si="15"/>
        <v>1</v>
      </c>
      <c r="I214" s="5">
        <f t="shared" si="16"/>
        <v>1</v>
      </c>
    </row>
    <row r="215" spans="1:9">
      <c r="A215">
        <v>214</v>
      </c>
      <c r="B215">
        <v>12</v>
      </c>
      <c r="C215">
        <v>9000</v>
      </c>
      <c r="D215">
        <v>7436</v>
      </c>
      <c r="E215" s="5">
        <f t="shared" si="13"/>
        <v>1564</v>
      </c>
      <c r="F215" s="5">
        <f t="shared" si="14"/>
        <v>2446096</v>
      </c>
      <c r="G215" s="6">
        <f>SQRT(SUM($F$2:F215)/A215)</f>
        <v>1326.5602909809552</v>
      </c>
      <c r="H215" s="5">
        <f t="shared" si="15"/>
        <v>1</v>
      </c>
      <c r="I215" s="5">
        <f t="shared" si="16"/>
        <v>0</v>
      </c>
    </row>
    <row r="216" spans="1:9">
      <c r="A216">
        <v>215</v>
      </c>
      <c r="B216">
        <v>13</v>
      </c>
      <c r="C216">
        <v>9000</v>
      </c>
      <c r="D216">
        <v>8511</v>
      </c>
      <c r="E216" s="5">
        <f t="shared" si="13"/>
        <v>489</v>
      </c>
      <c r="F216" s="5">
        <f t="shared" si="14"/>
        <v>239121</v>
      </c>
      <c r="G216" s="6">
        <f>SQRT(SUM($F$2:F216)/A216)</f>
        <v>1323.8917840269096</v>
      </c>
      <c r="H216" s="5">
        <f t="shared" si="15"/>
        <v>1</v>
      </c>
      <c r="I216" s="5">
        <f t="shared" si="16"/>
        <v>1</v>
      </c>
    </row>
    <row r="217" spans="1:9">
      <c r="A217">
        <v>216</v>
      </c>
      <c r="B217">
        <v>12</v>
      </c>
      <c r="C217">
        <v>9000</v>
      </c>
      <c r="D217">
        <v>7500</v>
      </c>
      <c r="E217" s="5">
        <f t="shared" si="13"/>
        <v>1500</v>
      </c>
      <c r="F217" s="5">
        <f t="shared" si="14"/>
        <v>2250000</v>
      </c>
      <c r="G217" s="6">
        <f>SQRT(SUM($F$2:F217)/A217)</f>
        <v>1324.7610423938518</v>
      </c>
      <c r="H217" s="5">
        <f t="shared" si="15"/>
        <v>1</v>
      </c>
      <c r="I217" s="5">
        <f t="shared" si="16"/>
        <v>0</v>
      </c>
    </row>
    <row r="218" spans="1:9">
      <c r="A218">
        <v>217</v>
      </c>
      <c r="B218">
        <v>14</v>
      </c>
      <c r="C218">
        <v>9000</v>
      </c>
      <c r="D218">
        <v>8013</v>
      </c>
      <c r="E218" s="5">
        <f t="shared" si="13"/>
        <v>987</v>
      </c>
      <c r="F218" s="5">
        <f t="shared" si="14"/>
        <v>974169</v>
      </c>
      <c r="G218" s="6">
        <f>SQRT(SUM($F$2:F218)/A218)</f>
        <v>1323.4022659810155</v>
      </c>
      <c r="H218" s="5">
        <f t="shared" si="15"/>
        <v>1</v>
      </c>
      <c r="I218" s="5">
        <f t="shared" si="16"/>
        <v>0</v>
      </c>
    </row>
    <row r="219" spans="1:9">
      <c r="A219">
        <v>218</v>
      </c>
      <c r="B219">
        <v>13</v>
      </c>
      <c r="C219">
        <v>9000</v>
      </c>
      <c r="D219">
        <v>7558</v>
      </c>
      <c r="E219" s="5">
        <f t="shared" si="13"/>
        <v>1442</v>
      </c>
      <c r="F219" s="5">
        <f t="shared" si="14"/>
        <v>2079364</v>
      </c>
      <c r="G219" s="6">
        <f>SQRT(SUM($F$2:F219)/A219)</f>
        <v>1323.9705469436667</v>
      </c>
      <c r="H219" s="5">
        <f t="shared" si="15"/>
        <v>1</v>
      </c>
      <c r="I219" s="5">
        <f t="shared" si="16"/>
        <v>0</v>
      </c>
    </row>
    <row r="220" spans="1:9">
      <c r="A220">
        <v>219</v>
      </c>
      <c r="B220">
        <v>14</v>
      </c>
      <c r="C220">
        <v>9000</v>
      </c>
      <c r="D220">
        <v>8420</v>
      </c>
      <c r="E220" s="5">
        <f t="shared" si="13"/>
        <v>580</v>
      </c>
      <c r="F220" s="5">
        <f t="shared" si="14"/>
        <v>336400</v>
      </c>
      <c r="G220" s="6">
        <f>SQRT(SUM($F$2:F220)/A220)</f>
        <v>1321.525626590404</v>
      </c>
      <c r="H220" s="5">
        <f t="shared" si="15"/>
        <v>1</v>
      </c>
      <c r="I220" s="5">
        <f t="shared" si="16"/>
        <v>1</v>
      </c>
    </row>
    <row r="221" spans="1:9">
      <c r="A221">
        <v>220</v>
      </c>
      <c r="B221">
        <v>14</v>
      </c>
      <c r="C221">
        <v>9000</v>
      </c>
      <c r="D221">
        <v>8549</v>
      </c>
      <c r="E221" s="5">
        <f t="shared" si="13"/>
        <v>451</v>
      </c>
      <c r="F221" s="5">
        <f t="shared" si="14"/>
        <v>203401</v>
      </c>
      <c r="G221" s="6">
        <f>SQRT(SUM($F$2:F221)/A221)</f>
        <v>1318.8692936134207</v>
      </c>
      <c r="H221" s="5">
        <f t="shared" si="15"/>
        <v>1</v>
      </c>
      <c r="I221" s="5">
        <f t="shared" si="16"/>
        <v>1</v>
      </c>
    </row>
    <row r="222" spans="1:9">
      <c r="A222">
        <v>221</v>
      </c>
      <c r="B222">
        <v>14</v>
      </c>
      <c r="C222">
        <v>9000</v>
      </c>
      <c r="D222">
        <v>7478</v>
      </c>
      <c r="E222" s="5">
        <f t="shared" si="13"/>
        <v>1522</v>
      </c>
      <c r="F222" s="5">
        <f t="shared" si="14"/>
        <v>2316484</v>
      </c>
      <c r="G222" s="6">
        <f>SQRT(SUM($F$2:F222)/A222)</f>
        <v>1319.8588485480172</v>
      </c>
      <c r="H222" s="5">
        <f t="shared" si="15"/>
        <v>1</v>
      </c>
      <c r="I222" s="5">
        <f t="shared" si="16"/>
        <v>0</v>
      </c>
    </row>
    <row r="223" spans="1:9">
      <c r="A223">
        <v>222</v>
      </c>
      <c r="B223">
        <v>15</v>
      </c>
      <c r="C223">
        <v>9000</v>
      </c>
      <c r="D223">
        <v>9502</v>
      </c>
      <c r="E223" s="5">
        <f t="shared" si="13"/>
        <v>502</v>
      </c>
      <c r="F223" s="5">
        <f t="shared" si="14"/>
        <v>252004</v>
      </c>
      <c r="G223" s="6">
        <f>SQRT(SUM($F$2:F223)/A223)</f>
        <v>1317.3137678863995</v>
      </c>
      <c r="H223" s="5">
        <f t="shared" si="15"/>
        <v>1</v>
      </c>
      <c r="I223" s="5">
        <f t="shared" si="16"/>
        <v>1</v>
      </c>
    </row>
    <row r="224" spans="1:9">
      <c r="A224">
        <v>223</v>
      </c>
      <c r="B224">
        <v>13</v>
      </c>
      <c r="C224">
        <v>9000</v>
      </c>
      <c r="D224">
        <v>7970</v>
      </c>
      <c r="E224" s="5">
        <f t="shared" si="13"/>
        <v>1030</v>
      </c>
      <c r="F224" s="5">
        <f t="shared" si="14"/>
        <v>1060900</v>
      </c>
      <c r="G224" s="6">
        <f>SQRT(SUM($F$2:F224)/A224)</f>
        <v>1316.1653687994171</v>
      </c>
      <c r="H224" s="5">
        <f t="shared" si="15"/>
        <v>1</v>
      </c>
      <c r="I224" s="5">
        <f t="shared" si="16"/>
        <v>0</v>
      </c>
    </row>
    <row r="225" spans="1:9">
      <c r="A225">
        <v>224</v>
      </c>
      <c r="B225">
        <v>15</v>
      </c>
      <c r="C225">
        <v>9000</v>
      </c>
      <c r="D225">
        <v>9038</v>
      </c>
      <c r="E225" s="5">
        <f t="shared" si="13"/>
        <v>38</v>
      </c>
      <c r="F225" s="5">
        <f t="shared" si="14"/>
        <v>1444</v>
      </c>
      <c r="G225" s="6">
        <f>SQRT(SUM($F$2:F225)/A225)</f>
        <v>1313.2266678871549</v>
      </c>
      <c r="H225" s="5">
        <f t="shared" si="15"/>
        <v>1</v>
      </c>
      <c r="I225" s="5">
        <f t="shared" si="16"/>
        <v>1</v>
      </c>
    </row>
    <row r="226" spans="1:9">
      <c r="A226">
        <v>225</v>
      </c>
      <c r="B226">
        <v>14</v>
      </c>
      <c r="C226">
        <v>9000</v>
      </c>
      <c r="D226">
        <v>7545</v>
      </c>
      <c r="E226" s="5">
        <f t="shared" si="13"/>
        <v>1455</v>
      </c>
      <c r="F226" s="5">
        <f t="shared" si="14"/>
        <v>2117025</v>
      </c>
      <c r="G226" s="6">
        <f>SQRT(SUM($F$2:F226)/A226)</f>
        <v>1313.8906161134994</v>
      </c>
      <c r="H226" s="5">
        <f t="shared" si="15"/>
        <v>1</v>
      </c>
      <c r="I226" s="5">
        <f t="shared" si="16"/>
        <v>0</v>
      </c>
    </row>
    <row r="227" spans="1:9">
      <c r="A227">
        <v>226</v>
      </c>
      <c r="B227">
        <v>16</v>
      </c>
      <c r="C227">
        <v>9000</v>
      </c>
      <c r="D227">
        <v>8981</v>
      </c>
      <c r="E227" s="5">
        <f t="shared" si="13"/>
        <v>19</v>
      </c>
      <c r="F227" s="5">
        <f t="shared" si="14"/>
        <v>361</v>
      </c>
      <c r="G227" s="6">
        <f>SQRT(SUM($F$2:F227)/A227)</f>
        <v>1310.9811650226893</v>
      </c>
      <c r="H227" s="5">
        <f t="shared" si="15"/>
        <v>1</v>
      </c>
      <c r="I227" s="5">
        <f t="shared" si="16"/>
        <v>1</v>
      </c>
    </row>
    <row r="228" spans="1:9">
      <c r="A228">
        <v>227</v>
      </c>
      <c r="B228">
        <v>14</v>
      </c>
      <c r="C228">
        <v>9000</v>
      </c>
      <c r="D228">
        <v>7935</v>
      </c>
      <c r="E228" s="5">
        <f t="shared" si="13"/>
        <v>1065</v>
      </c>
      <c r="F228" s="5">
        <f t="shared" si="14"/>
        <v>1134225</v>
      </c>
      <c r="G228" s="6">
        <f>SQRT(SUM($F$2:F228)/A228)</f>
        <v>1309.9988398286553</v>
      </c>
      <c r="H228" s="5">
        <f t="shared" si="15"/>
        <v>1</v>
      </c>
      <c r="I228" s="5">
        <f t="shared" si="16"/>
        <v>0</v>
      </c>
    </row>
    <row r="229" spans="1:9">
      <c r="A229">
        <v>228</v>
      </c>
      <c r="B229">
        <v>15</v>
      </c>
      <c r="C229">
        <v>9000</v>
      </c>
      <c r="D229">
        <v>8487</v>
      </c>
      <c r="E229" s="5">
        <f t="shared" si="13"/>
        <v>513</v>
      </c>
      <c r="F229" s="5">
        <f t="shared" si="14"/>
        <v>263169</v>
      </c>
      <c r="G229" s="6">
        <f>SQRT(SUM($F$2:F229)/A229)</f>
        <v>1307.5643270211397</v>
      </c>
      <c r="H229" s="5">
        <f t="shared" si="15"/>
        <v>1</v>
      </c>
      <c r="I229" s="5">
        <f t="shared" si="16"/>
        <v>1</v>
      </c>
    </row>
    <row r="230" spans="1:9">
      <c r="A230">
        <v>229</v>
      </c>
      <c r="B230">
        <v>15</v>
      </c>
      <c r="C230">
        <v>9000</v>
      </c>
      <c r="D230">
        <v>9033</v>
      </c>
      <c r="E230" s="5">
        <f t="shared" si="13"/>
        <v>33</v>
      </c>
      <c r="F230" s="5">
        <f t="shared" si="14"/>
        <v>1089</v>
      </c>
      <c r="G230" s="6">
        <f>SQRT(SUM($F$2:F230)/A230)</f>
        <v>1304.7080819245741</v>
      </c>
      <c r="H230" s="5">
        <f t="shared" si="15"/>
        <v>1</v>
      </c>
      <c r="I230" s="5">
        <f t="shared" si="16"/>
        <v>1</v>
      </c>
    </row>
    <row r="231" spans="1:9">
      <c r="A231">
        <v>230</v>
      </c>
      <c r="B231">
        <v>14</v>
      </c>
      <c r="C231">
        <v>9000</v>
      </c>
      <c r="D231">
        <v>8613</v>
      </c>
      <c r="E231" s="5">
        <f t="shared" si="13"/>
        <v>387</v>
      </c>
      <c r="F231" s="5">
        <f t="shared" si="14"/>
        <v>149769</v>
      </c>
      <c r="G231" s="6">
        <f>SQRT(SUM($F$2:F231)/A231)</f>
        <v>1302.1187366549282</v>
      </c>
      <c r="H231" s="5">
        <f t="shared" si="15"/>
        <v>1</v>
      </c>
      <c r="I231" s="5">
        <f t="shared" si="16"/>
        <v>1</v>
      </c>
    </row>
    <row r="232" spans="1:9">
      <c r="A232">
        <v>231</v>
      </c>
      <c r="B232">
        <v>15</v>
      </c>
      <c r="C232">
        <v>9000</v>
      </c>
      <c r="D232">
        <v>9446</v>
      </c>
      <c r="E232" s="5">
        <f t="shared" si="13"/>
        <v>446</v>
      </c>
      <c r="F232" s="5">
        <f t="shared" si="14"/>
        <v>198916</v>
      </c>
      <c r="G232" s="6">
        <f>SQRT(SUM($F$2:F232)/A232)</f>
        <v>1299.6285733129403</v>
      </c>
      <c r="H232" s="5">
        <f t="shared" si="15"/>
        <v>1</v>
      </c>
      <c r="I232" s="5">
        <f t="shared" si="16"/>
        <v>1</v>
      </c>
    </row>
    <row r="233" spans="1:9">
      <c r="A233">
        <v>232</v>
      </c>
      <c r="B233">
        <v>14</v>
      </c>
      <c r="C233">
        <v>9000</v>
      </c>
      <c r="D233">
        <v>7968</v>
      </c>
      <c r="E233" s="5">
        <f t="shared" si="13"/>
        <v>1032</v>
      </c>
      <c r="F233" s="5">
        <f t="shared" si="14"/>
        <v>1065024</v>
      </c>
      <c r="G233" s="6">
        <f>SQRT(SUM($F$2:F233)/A233)</f>
        <v>1298.5933653181337</v>
      </c>
      <c r="H233" s="5">
        <f t="shared" si="15"/>
        <v>1</v>
      </c>
      <c r="I233" s="5">
        <f t="shared" si="16"/>
        <v>0</v>
      </c>
    </row>
    <row r="234" spans="1:9">
      <c r="A234">
        <v>233</v>
      </c>
      <c r="B234">
        <v>16</v>
      </c>
      <c r="C234">
        <v>9000</v>
      </c>
      <c r="D234">
        <v>8711</v>
      </c>
      <c r="E234" s="5">
        <f t="shared" si="13"/>
        <v>289</v>
      </c>
      <c r="F234" s="5">
        <f t="shared" si="14"/>
        <v>83521</v>
      </c>
      <c r="G234" s="6">
        <f>SQRT(SUM($F$2:F234)/A234)</f>
        <v>1295.9419958672381</v>
      </c>
      <c r="H234" s="5">
        <f t="shared" si="15"/>
        <v>1</v>
      </c>
      <c r="I234" s="5">
        <f t="shared" si="16"/>
        <v>1</v>
      </c>
    </row>
    <row r="235" spans="1:9">
      <c r="A235">
        <v>234</v>
      </c>
      <c r="B235">
        <v>15</v>
      </c>
      <c r="C235">
        <v>9000</v>
      </c>
      <c r="D235">
        <v>9489</v>
      </c>
      <c r="E235" s="5">
        <f t="shared" si="13"/>
        <v>489</v>
      </c>
      <c r="F235" s="5">
        <f t="shared" si="14"/>
        <v>239121</v>
      </c>
      <c r="G235" s="6">
        <f>SQRT(SUM($F$2:F235)/A235)</f>
        <v>1293.5649723175243</v>
      </c>
      <c r="H235" s="5">
        <f t="shared" si="15"/>
        <v>1</v>
      </c>
      <c r="I235" s="5">
        <f t="shared" si="16"/>
        <v>1</v>
      </c>
    </row>
    <row r="236" spans="1:9">
      <c r="A236">
        <v>235</v>
      </c>
      <c r="B236">
        <v>14</v>
      </c>
      <c r="C236">
        <v>9000</v>
      </c>
      <c r="D236">
        <v>7824</v>
      </c>
      <c r="E236" s="5">
        <f t="shared" si="13"/>
        <v>1176</v>
      </c>
      <c r="F236" s="5">
        <f t="shared" si="14"/>
        <v>1382976</v>
      </c>
      <c r="G236" s="6">
        <f>SQRT(SUM($F$2:F236)/A236)</f>
        <v>1293.0873413425813</v>
      </c>
      <c r="H236" s="5">
        <f t="shared" si="15"/>
        <v>1</v>
      </c>
      <c r="I236" s="5">
        <f t="shared" si="16"/>
        <v>0</v>
      </c>
    </row>
    <row r="237" spans="1:9">
      <c r="A237">
        <v>236</v>
      </c>
      <c r="B237">
        <v>16</v>
      </c>
      <c r="C237">
        <v>9000</v>
      </c>
      <c r="D237">
        <v>9076</v>
      </c>
      <c r="E237" s="5">
        <f t="shared" si="13"/>
        <v>76</v>
      </c>
      <c r="F237" s="5">
        <f t="shared" si="14"/>
        <v>5776</v>
      </c>
      <c r="G237" s="6">
        <f>SQRT(SUM($F$2:F237)/A237)</f>
        <v>1290.35432494269</v>
      </c>
      <c r="H237" s="5">
        <f t="shared" si="15"/>
        <v>1</v>
      </c>
      <c r="I237" s="5">
        <f t="shared" si="16"/>
        <v>1</v>
      </c>
    </row>
    <row r="238" spans="1:9">
      <c r="A238">
        <v>237</v>
      </c>
      <c r="B238">
        <v>15</v>
      </c>
      <c r="C238">
        <v>9000</v>
      </c>
      <c r="D238">
        <v>8500</v>
      </c>
      <c r="E238" s="5">
        <f t="shared" si="13"/>
        <v>500</v>
      </c>
      <c r="F238" s="5">
        <f t="shared" si="14"/>
        <v>250000</v>
      </c>
      <c r="G238" s="6">
        <f>SQRT(SUM($F$2:F238)/A238)</f>
        <v>1288.0387259293375</v>
      </c>
      <c r="H238" s="5">
        <f t="shared" si="15"/>
        <v>1</v>
      </c>
      <c r="I238" s="5">
        <f t="shared" si="16"/>
        <v>1</v>
      </c>
    </row>
    <row r="239" spans="1:9">
      <c r="A239">
        <v>238</v>
      </c>
      <c r="B239">
        <v>16</v>
      </c>
      <c r="C239">
        <v>9000</v>
      </c>
      <c r="D239">
        <v>8304</v>
      </c>
      <c r="E239" s="5">
        <f t="shared" si="13"/>
        <v>696</v>
      </c>
      <c r="F239" s="5">
        <f t="shared" si="14"/>
        <v>484416</v>
      </c>
      <c r="G239" s="6">
        <f>SQRT(SUM($F$2:F239)/A239)</f>
        <v>1286.1214362335679</v>
      </c>
      <c r="H239" s="5">
        <f t="shared" si="15"/>
        <v>1</v>
      </c>
      <c r="I239" s="5">
        <f t="shared" si="16"/>
        <v>1</v>
      </c>
    </row>
    <row r="240" spans="1:9">
      <c r="A240">
        <v>239</v>
      </c>
      <c r="B240">
        <v>16</v>
      </c>
      <c r="C240">
        <v>9000</v>
      </c>
      <c r="D240">
        <v>10130</v>
      </c>
      <c r="E240" s="5">
        <f t="shared" si="13"/>
        <v>1130</v>
      </c>
      <c r="F240" s="5">
        <f t="shared" si="14"/>
        <v>1276900</v>
      </c>
      <c r="G240" s="6">
        <f>SQRT(SUM($F$2:F240)/A240)</f>
        <v>1285.5077094789074</v>
      </c>
      <c r="H240" s="5">
        <f t="shared" si="15"/>
        <v>1</v>
      </c>
      <c r="I240" s="5">
        <f t="shared" si="16"/>
        <v>0</v>
      </c>
    </row>
    <row r="241" spans="1:9">
      <c r="A241">
        <v>240</v>
      </c>
      <c r="B241">
        <v>14</v>
      </c>
      <c r="C241">
        <v>9000</v>
      </c>
      <c r="D241">
        <v>8591</v>
      </c>
      <c r="E241" s="5">
        <f t="shared" si="13"/>
        <v>409</v>
      </c>
      <c r="F241" s="5">
        <f t="shared" si="14"/>
        <v>167281</v>
      </c>
      <c r="G241" s="6">
        <f>SQRT(SUM($F$2:F241)/A241)</f>
        <v>1283.0984113984919</v>
      </c>
      <c r="H241" s="5">
        <f t="shared" si="15"/>
        <v>1</v>
      </c>
      <c r="I241" s="5">
        <f t="shared" si="16"/>
        <v>1</v>
      </c>
    </row>
    <row r="242" spans="1:9">
      <c r="A242">
        <v>241</v>
      </c>
      <c r="B242">
        <v>16</v>
      </c>
      <c r="C242">
        <v>9000</v>
      </c>
      <c r="D242">
        <v>9843</v>
      </c>
      <c r="E242" s="5">
        <f t="shared" si="13"/>
        <v>843</v>
      </c>
      <c r="F242" s="5">
        <f t="shared" si="14"/>
        <v>710649</v>
      </c>
      <c r="G242" s="6">
        <f>SQRT(SUM($F$2:F242)/A242)</f>
        <v>1281.5845628366646</v>
      </c>
      <c r="H242" s="5">
        <f t="shared" si="15"/>
        <v>1</v>
      </c>
      <c r="I242" s="5">
        <f t="shared" si="16"/>
        <v>1</v>
      </c>
    </row>
    <row r="243" spans="1:9">
      <c r="A243">
        <v>242</v>
      </c>
      <c r="B243">
        <v>14</v>
      </c>
      <c r="C243">
        <v>9000</v>
      </c>
      <c r="D243">
        <v>8271</v>
      </c>
      <c r="E243" s="5">
        <f t="shared" si="13"/>
        <v>729</v>
      </c>
      <c r="F243" s="5">
        <f t="shared" si="14"/>
        <v>531441</v>
      </c>
      <c r="G243" s="6">
        <f>SQRT(SUM($F$2:F243)/A243)</f>
        <v>1279.7921738565456</v>
      </c>
      <c r="H243" s="5">
        <f t="shared" si="15"/>
        <v>1</v>
      </c>
      <c r="I243" s="5">
        <f t="shared" si="16"/>
        <v>1</v>
      </c>
    </row>
    <row r="244" spans="1:9">
      <c r="A244">
        <v>243</v>
      </c>
      <c r="B244">
        <v>16</v>
      </c>
      <c r="C244">
        <v>9000</v>
      </c>
      <c r="D244">
        <v>9580</v>
      </c>
      <c r="E244" s="5">
        <f t="shared" si="13"/>
        <v>580</v>
      </c>
      <c r="F244" s="5">
        <f t="shared" si="14"/>
        <v>336400</v>
      </c>
      <c r="G244" s="6">
        <f>SQRT(SUM($F$2:F244)/A244)</f>
        <v>1277.6979975093905</v>
      </c>
      <c r="H244" s="5">
        <f t="shared" si="15"/>
        <v>1</v>
      </c>
      <c r="I244" s="5">
        <f t="shared" si="16"/>
        <v>1</v>
      </c>
    </row>
    <row r="245" spans="1:9">
      <c r="A245">
        <v>244</v>
      </c>
      <c r="B245">
        <v>14</v>
      </c>
      <c r="C245">
        <v>9000</v>
      </c>
      <c r="D245">
        <v>8102</v>
      </c>
      <c r="E245" s="5">
        <f t="shared" si="13"/>
        <v>898</v>
      </c>
      <c r="F245" s="5">
        <f t="shared" si="14"/>
        <v>806404</v>
      </c>
      <c r="G245" s="6">
        <f>SQRT(SUM($F$2:F245)/A245)</f>
        <v>1276.3723922141835</v>
      </c>
      <c r="H245" s="5">
        <f t="shared" si="15"/>
        <v>1</v>
      </c>
      <c r="I245" s="5">
        <f t="shared" si="16"/>
        <v>1</v>
      </c>
    </row>
    <row r="246" spans="1:9">
      <c r="A246">
        <v>245</v>
      </c>
      <c r="B246">
        <v>16</v>
      </c>
      <c r="C246">
        <v>9000</v>
      </c>
      <c r="D246">
        <v>8872</v>
      </c>
      <c r="E246" s="5">
        <f t="shared" si="13"/>
        <v>128</v>
      </c>
      <c r="F246" s="5">
        <f t="shared" si="14"/>
        <v>16384</v>
      </c>
      <c r="G246" s="6">
        <f>SQRT(SUM($F$2:F246)/A246)</f>
        <v>1273.7911372059746</v>
      </c>
      <c r="H246" s="5">
        <f t="shared" si="15"/>
        <v>1</v>
      </c>
      <c r="I246" s="5">
        <f t="shared" si="16"/>
        <v>1</v>
      </c>
    </row>
    <row r="247" spans="1:9">
      <c r="A247">
        <v>246</v>
      </c>
      <c r="B247">
        <v>15</v>
      </c>
      <c r="C247">
        <v>9000</v>
      </c>
      <c r="D247">
        <v>9382</v>
      </c>
      <c r="E247" s="5">
        <f t="shared" si="13"/>
        <v>382</v>
      </c>
      <c r="F247" s="5">
        <f t="shared" si="14"/>
        <v>145924</v>
      </c>
      <c r="G247" s="6">
        <f>SQRT(SUM($F$2:F247)/A247)</f>
        <v>1271.4327907771667</v>
      </c>
      <c r="H247" s="5">
        <f t="shared" si="15"/>
        <v>1</v>
      </c>
      <c r="I247" s="5">
        <f t="shared" si="16"/>
        <v>1</v>
      </c>
    </row>
    <row r="248" spans="1:9">
      <c r="A248">
        <v>247</v>
      </c>
      <c r="B248">
        <v>15</v>
      </c>
      <c r="C248">
        <v>9000</v>
      </c>
      <c r="D248">
        <v>8721</v>
      </c>
      <c r="E248" s="5">
        <f t="shared" si="13"/>
        <v>279</v>
      </c>
      <c r="F248" s="5">
        <f t="shared" si="14"/>
        <v>77841</v>
      </c>
      <c r="G248" s="6">
        <f>SQRT(SUM($F$2:F248)/A248)</f>
        <v>1268.9806087663835</v>
      </c>
      <c r="H248" s="5">
        <f t="shared" si="15"/>
        <v>1</v>
      </c>
      <c r="I248" s="5">
        <f t="shared" si="16"/>
        <v>1</v>
      </c>
    </row>
    <row r="249" spans="1:9">
      <c r="A249">
        <v>248</v>
      </c>
      <c r="B249">
        <v>15</v>
      </c>
      <c r="C249">
        <v>9000</v>
      </c>
      <c r="D249">
        <v>8389</v>
      </c>
      <c r="E249" s="5">
        <f t="shared" si="13"/>
        <v>611</v>
      </c>
      <c r="F249" s="5">
        <f t="shared" si="14"/>
        <v>373321</v>
      </c>
      <c r="G249" s="6">
        <f>SQRT(SUM($F$2:F249)/A249)</f>
        <v>1267.013780254516</v>
      </c>
      <c r="H249" s="5">
        <f t="shared" si="15"/>
        <v>1</v>
      </c>
      <c r="I249" s="5">
        <f t="shared" si="16"/>
        <v>1</v>
      </c>
    </row>
    <row r="250" spans="1:9">
      <c r="A250">
        <v>249</v>
      </c>
      <c r="B250">
        <v>16</v>
      </c>
      <c r="C250">
        <v>9000</v>
      </c>
      <c r="D250">
        <v>9540</v>
      </c>
      <c r="E250" s="5">
        <f t="shared" si="13"/>
        <v>540</v>
      </c>
      <c r="F250" s="5">
        <f t="shared" si="14"/>
        <v>291600</v>
      </c>
      <c r="G250" s="6">
        <f>SQRT(SUM($F$2:F250)/A250)</f>
        <v>1264.9300058417125</v>
      </c>
      <c r="H250" s="5">
        <f t="shared" si="15"/>
        <v>1</v>
      </c>
      <c r="I250" s="5">
        <f t="shared" si="16"/>
        <v>1</v>
      </c>
    </row>
    <row r="251" spans="1:9">
      <c r="A251">
        <v>250</v>
      </c>
      <c r="B251">
        <v>15</v>
      </c>
      <c r="C251">
        <v>9000</v>
      </c>
      <c r="D251">
        <v>9034</v>
      </c>
      <c r="E251" s="5">
        <f t="shared" si="13"/>
        <v>34</v>
      </c>
      <c r="F251" s="5">
        <f t="shared" si="14"/>
        <v>1156</v>
      </c>
      <c r="G251" s="6">
        <f>SQRT(SUM($F$2:F251)/A251)</f>
        <v>1262.3994423319427</v>
      </c>
      <c r="H251" s="5">
        <f t="shared" si="15"/>
        <v>1</v>
      </c>
      <c r="I251" s="5">
        <f t="shared" si="16"/>
        <v>1</v>
      </c>
    </row>
    <row r="252" spans="1:9">
      <c r="A252">
        <v>251</v>
      </c>
      <c r="B252">
        <v>15</v>
      </c>
      <c r="C252">
        <v>9000</v>
      </c>
      <c r="D252">
        <v>8257</v>
      </c>
      <c r="E252" s="5">
        <f t="shared" si="13"/>
        <v>743</v>
      </c>
      <c r="F252" s="5">
        <f t="shared" si="14"/>
        <v>552049</v>
      </c>
      <c r="G252" s="6">
        <f>SQRT(SUM($F$2:F252)/A252)</f>
        <v>1260.7547492865556</v>
      </c>
      <c r="H252" s="5">
        <f t="shared" si="15"/>
        <v>1</v>
      </c>
      <c r="I252" s="5">
        <f t="shared" si="16"/>
        <v>1</v>
      </c>
    </row>
    <row r="253" spans="1:9">
      <c r="A253">
        <v>252</v>
      </c>
      <c r="B253">
        <v>16</v>
      </c>
      <c r="C253">
        <v>9000</v>
      </c>
      <c r="D253">
        <v>8869</v>
      </c>
      <c r="E253" s="5">
        <f t="shared" si="13"/>
        <v>131</v>
      </c>
      <c r="F253" s="5">
        <f t="shared" si="14"/>
        <v>17161</v>
      </c>
      <c r="G253" s="6">
        <f>SQRT(SUM($F$2:F253)/A253)</f>
        <v>1258.277825959588</v>
      </c>
      <c r="H253" s="5">
        <f t="shared" si="15"/>
        <v>1</v>
      </c>
      <c r="I253" s="5">
        <f t="shared" si="16"/>
        <v>1</v>
      </c>
    </row>
    <row r="254" spans="1:9">
      <c r="A254">
        <v>253</v>
      </c>
      <c r="B254">
        <v>16</v>
      </c>
      <c r="C254">
        <v>9000</v>
      </c>
      <c r="D254">
        <v>8674</v>
      </c>
      <c r="E254" s="5">
        <f t="shared" si="13"/>
        <v>326</v>
      </c>
      <c r="F254" s="5">
        <f t="shared" si="14"/>
        <v>106276</v>
      </c>
      <c r="G254" s="6">
        <f>SQRT(SUM($F$2:F254)/A254)</f>
        <v>1255.9558884275712</v>
      </c>
      <c r="H254" s="5">
        <f t="shared" si="15"/>
        <v>1</v>
      </c>
      <c r="I254" s="5">
        <f t="shared" si="16"/>
        <v>1</v>
      </c>
    </row>
    <row r="255" spans="1:9">
      <c r="A255">
        <v>254</v>
      </c>
      <c r="B255">
        <v>16</v>
      </c>
      <c r="C255">
        <v>9000</v>
      </c>
      <c r="D255">
        <v>9132</v>
      </c>
      <c r="E255" s="5">
        <f t="shared" si="13"/>
        <v>132</v>
      </c>
      <c r="F255" s="5">
        <f t="shared" si="14"/>
        <v>17424</v>
      </c>
      <c r="G255" s="6">
        <f>SQRT(SUM($F$2:F255)/A255)</f>
        <v>1253.5084589634459</v>
      </c>
      <c r="H255" s="5">
        <f t="shared" si="15"/>
        <v>1</v>
      </c>
      <c r="I255" s="5">
        <f t="shared" si="16"/>
        <v>1</v>
      </c>
    </row>
    <row r="256" spans="1:9">
      <c r="A256">
        <v>255</v>
      </c>
      <c r="B256">
        <v>15</v>
      </c>
      <c r="C256">
        <v>9000</v>
      </c>
      <c r="D256">
        <v>8295</v>
      </c>
      <c r="E256" s="5">
        <f t="shared" si="13"/>
        <v>705</v>
      </c>
      <c r="F256" s="5">
        <f t="shared" si="14"/>
        <v>497025</v>
      </c>
      <c r="G256" s="6">
        <f>SQRT(SUM($F$2:F256)/A256)</f>
        <v>1251.82693629406</v>
      </c>
      <c r="H256" s="5">
        <f t="shared" si="15"/>
        <v>1</v>
      </c>
      <c r="I256" s="5">
        <f t="shared" si="16"/>
        <v>1</v>
      </c>
    </row>
    <row r="257" spans="1:9">
      <c r="A257">
        <v>256</v>
      </c>
      <c r="B257">
        <v>16</v>
      </c>
      <c r="C257">
        <v>9000</v>
      </c>
      <c r="D257">
        <v>9428</v>
      </c>
      <c r="E257" s="5">
        <f t="shared" si="13"/>
        <v>428</v>
      </c>
      <c r="F257" s="5">
        <f t="shared" si="14"/>
        <v>183184</v>
      </c>
      <c r="G257" s="6">
        <f>SQRT(SUM($F$2:F257)/A257)</f>
        <v>1249.6659037893887</v>
      </c>
      <c r="H257" s="5">
        <f t="shared" si="15"/>
        <v>1</v>
      </c>
      <c r="I257" s="5">
        <f t="shared" si="16"/>
        <v>1</v>
      </c>
    </row>
    <row r="258" spans="1:9">
      <c r="A258">
        <v>257</v>
      </c>
      <c r="B258">
        <v>15</v>
      </c>
      <c r="C258">
        <v>9000</v>
      </c>
      <c r="D258">
        <v>8935</v>
      </c>
      <c r="E258" s="5">
        <f t="shared" si="13"/>
        <v>65</v>
      </c>
      <c r="F258" s="5">
        <f t="shared" si="14"/>
        <v>4225</v>
      </c>
      <c r="G258" s="6">
        <f>SQRT(SUM($F$2:F258)/A258)</f>
        <v>1247.2388679696921</v>
      </c>
      <c r="H258" s="5">
        <f t="shared" si="15"/>
        <v>1</v>
      </c>
      <c r="I258" s="5">
        <f t="shared" si="16"/>
        <v>1</v>
      </c>
    </row>
    <row r="259" spans="1:9">
      <c r="A259">
        <v>258</v>
      </c>
      <c r="B259">
        <v>16</v>
      </c>
      <c r="C259">
        <v>9000</v>
      </c>
      <c r="D259">
        <v>9324</v>
      </c>
      <c r="E259" s="5">
        <f t="shared" ref="E259:E322" si="17">ABS(C259-D259)</f>
        <v>324</v>
      </c>
      <c r="F259" s="5">
        <f t="shared" ref="F259:F322" si="18">POWER(E259,2)</f>
        <v>104976</v>
      </c>
      <c r="G259" s="6">
        <f>SQRT(SUM($F$2:F259)/A259)</f>
        <v>1244.9828117489765</v>
      </c>
      <c r="H259" s="5">
        <f t="shared" ref="H259:H322" si="19">IF(ABS(E259)/C259&gt;0.2,0,1)</f>
        <v>1</v>
      </c>
      <c r="I259" s="5">
        <f t="shared" ref="I259:I322" si="20">IF(ABS(E259)/C259&gt;0.1,0,1)</f>
        <v>1</v>
      </c>
    </row>
    <row r="260" spans="1:9">
      <c r="A260">
        <v>259</v>
      </c>
      <c r="B260">
        <v>15</v>
      </c>
      <c r="C260">
        <v>9000</v>
      </c>
      <c r="D260">
        <v>8928</v>
      </c>
      <c r="E260" s="5">
        <f t="shared" si="17"/>
        <v>72</v>
      </c>
      <c r="F260" s="5">
        <f t="shared" si="18"/>
        <v>5184</v>
      </c>
      <c r="G260" s="6">
        <f>SQRT(SUM($F$2:F260)/A260)</f>
        <v>1242.5850995926717</v>
      </c>
      <c r="H260" s="5">
        <f t="shared" si="19"/>
        <v>1</v>
      </c>
      <c r="I260" s="5">
        <f t="shared" si="20"/>
        <v>1</v>
      </c>
    </row>
    <row r="261" spans="1:9">
      <c r="A261">
        <v>260</v>
      </c>
      <c r="B261">
        <v>16</v>
      </c>
      <c r="C261">
        <v>9000</v>
      </c>
      <c r="D261">
        <v>8692</v>
      </c>
      <c r="E261" s="5">
        <f t="shared" si="17"/>
        <v>308</v>
      </c>
      <c r="F261" s="5">
        <f t="shared" si="18"/>
        <v>94864</v>
      </c>
      <c r="G261" s="6">
        <f>SQRT(SUM($F$2:F261)/A261)</f>
        <v>1240.3403006991516</v>
      </c>
      <c r="H261" s="5">
        <f t="shared" si="19"/>
        <v>1</v>
      </c>
      <c r="I261" s="5">
        <f t="shared" si="20"/>
        <v>1</v>
      </c>
    </row>
    <row r="262" spans="1:9">
      <c r="A262">
        <v>261</v>
      </c>
      <c r="B262">
        <v>16</v>
      </c>
      <c r="C262">
        <v>9000</v>
      </c>
      <c r="D262">
        <v>9716</v>
      </c>
      <c r="E262" s="5">
        <f t="shared" si="17"/>
        <v>716</v>
      </c>
      <c r="F262" s="5">
        <f t="shared" si="18"/>
        <v>512656</v>
      </c>
      <c r="G262" s="6">
        <f>SQRT(SUM($F$2:F262)/A262)</f>
        <v>1238.7549552193361</v>
      </c>
      <c r="H262" s="5">
        <f t="shared" si="19"/>
        <v>1</v>
      </c>
      <c r="I262" s="5">
        <f t="shared" si="20"/>
        <v>1</v>
      </c>
    </row>
    <row r="263" spans="1:9">
      <c r="A263">
        <v>262</v>
      </c>
      <c r="B263">
        <v>15</v>
      </c>
      <c r="C263">
        <v>9000</v>
      </c>
      <c r="D263">
        <v>8748</v>
      </c>
      <c r="E263" s="5">
        <f t="shared" si="17"/>
        <v>252</v>
      </c>
      <c r="F263" s="5">
        <f t="shared" si="18"/>
        <v>63504</v>
      </c>
      <c r="G263" s="6">
        <f>SQRT(SUM($F$2:F263)/A263)</f>
        <v>1236.4866751040722</v>
      </c>
      <c r="H263" s="5">
        <f t="shared" si="19"/>
        <v>1</v>
      </c>
      <c r="I263" s="5">
        <f t="shared" si="20"/>
        <v>1</v>
      </c>
    </row>
    <row r="264" spans="1:9">
      <c r="A264">
        <v>263</v>
      </c>
      <c r="B264">
        <v>16</v>
      </c>
      <c r="C264">
        <v>9000</v>
      </c>
      <c r="D264">
        <v>9833</v>
      </c>
      <c r="E264" s="5">
        <f t="shared" si="17"/>
        <v>833</v>
      </c>
      <c r="F264" s="5">
        <f t="shared" si="18"/>
        <v>693889</v>
      </c>
      <c r="G264" s="6">
        <f>SQRT(SUM($F$2:F264)/A264)</f>
        <v>1235.2021509097883</v>
      </c>
      <c r="H264" s="5">
        <f t="shared" si="19"/>
        <v>1</v>
      </c>
      <c r="I264" s="5">
        <f t="shared" si="20"/>
        <v>1</v>
      </c>
    </row>
    <row r="265" spans="1:9">
      <c r="A265">
        <v>264</v>
      </c>
      <c r="B265">
        <v>14</v>
      </c>
      <c r="C265">
        <v>9000</v>
      </c>
      <c r="D265">
        <v>7999</v>
      </c>
      <c r="E265" s="5">
        <f t="shared" si="17"/>
        <v>1001</v>
      </c>
      <c r="F265" s="5">
        <f t="shared" si="18"/>
        <v>1002001</v>
      </c>
      <c r="G265" s="6">
        <f>SQRT(SUM($F$2:F265)/A265)</f>
        <v>1234.3988630221202</v>
      </c>
      <c r="H265" s="5">
        <f t="shared" si="19"/>
        <v>1</v>
      </c>
      <c r="I265" s="5">
        <f t="shared" si="20"/>
        <v>0</v>
      </c>
    </row>
    <row r="266" spans="1:9">
      <c r="A266">
        <v>265</v>
      </c>
      <c r="B266">
        <v>17</v>
      </c>
      <c r="C266">
        <v>9000</v>
      </c>
      <c r="D266">
        <v>10159</v>
      </c>
      <c r="E266" s="5">
        <f t="shared" si="17"/>
        <v>1159</v>
      </c>
      <c r="F266" s="5">
        <f t="shared" si="18"/>
        <v>1343281</v>
      </c>
      <c r="G266" s="6">
        <f>SQRT(SUM($F$2:F266)/A266)</f>
        <v>1234.1229977538324</v>
      </c>
      <c r="H266" s="5">
        <f t="shared" si="19"/>
        <v>1</v>
      </c>
      <c r="I266" s="5">
        <f t="shared" si="20"/>
        <v>0</v>
      </c>
    </row>
    <row r="267" spans="1:9">
      <c r="A267">
        <v>266</v>
      </c>
      <c r="B267">
        <v>14</v>
      </c>
      <c r="C267">
        <v>9000</v>
      </c>
      <c r="D267">
        <v>8704</v>
      </c>
      <c r="E267" s="5">
        <f t="shared" si="17"/>
        <v>296</v>
      </c>
      <c r="F267" s="5">
        <f t="shared" si="18"/>
        <v>87616</v>
      </c>
      <c r="G267" s="6">
        <f>SQRT(SUM($F$2:F267)/A267)</f>
        <v>1231.934726019578</v>
      </c>
      <c r="H267" s="5">
        <f t="shared" si="19"/>
        <v>1</v>
      </c>
      <c r="I267" s="5">
        <f t="shared" si="20"/>
        <v>1</v>
      </c>
    </row>
    <row r="268" spans="1:9">
      <c r="A268">
        <v>267</v>
      </c>
      <c r="B268">
        <v>16</v>
      </c>
      <c r="C268">
        <v>9000</v>
      </c>
      <c r="D268">
        <v>9413</v>
      </c>
      <c r="E268" s="5">
        <f t="shared" si="17"/>
        <v>413</v>
      </c>
      <c r="F268" s="5">
        <f t="shared" si="18"/>
        <v>170569</v>
      </c>
      <c r="G268" s="6">
        <f>SQRT(SUM($F$2:F268)/A268)</f>
        <v>1229.885308741907</v>
      </c>
      <c r="H268" s="5">
        <f t="shared" si="19"/>
        <v>1</v>
      </c>
      <c r="I268" s="5">
        <f t="shared" si="20"/>
        <v>1</v>
      </c>
    </row>
    <row r="269" spans="1:9">
      <c r="A269">
        <v>268</v>
      </c>
      <c r="B269">
        <v>15</v>
      </c>
      <c r="C269">
        <v>9000</v>
      </c>
      <c r="D269">
        <v>8115</v>
      </c>
      <c r="E269" s="5">
        <f t="shared" si="17"/>
        <v>885</v>
      </c>
      <c r="F269" s="5">
        <f t="shared" si="18"/>
        <v>783225</v>
      </c>
      <c r="G269" s="6">
        <f>SQRT(SUM($F$2:F269)/A269)</f>
        <v>1228.7783597796174</v>
      </c>
      <c r="H269" s="5">
        <f t="shared" si="19"/>
        <v>1</v>
      </c>
      <c r="I269" s="5">
        <f t="shared" si="20"/>
        <v>1</v>
      </c>
    </row>
    <row r="270" spans="1:9">
      <c r="A270">
        <v>269</v>
      </c>
      <c r="B270">
        <v>16</v>
      </c>
      <c r="C270">
        <v>9000</v>
      </c>
      <c r="D270">
        <v>6849</v>
      </c>
      <c r="E270" s="5">
        <f t="shared" si="17"/>
        <v>2151</v>
      </c>
      <c r="F270" s="5">
        <f t="shared" si="18"/>
        <v>4626801</v>
      </c>
      <c r="G270" s="6">
        <f>SQRT(SUM($F$2:F270)/A270)</f>
        <v>1233.4841968750634</v>
      </c>
      <c r="H270" s="5">
        <f t="shared" si="19"/>
        <v>0</v>
      </c>
      <c r="I270" s="5">
        <f t="shared" si="20"/>
        <v>0</v>
      </c>
    </row>
    <row r="271" spans="1:9">
      <c r="A271">
        <v>270</v>
      </c>
      <c r="B271">
        <v>18</v>
      </c>
      <c r="C271">
        <v>9000</v>
      </c>
      <c r="D271">
        <v>1617</v>
      </c>
      <c r="E271" s="5">
        <f t="shared" si="17"/>
        <v>7383</v>
      </c>
      <c r="F271" s="5">
        <f t="shared" si="18"/>
        <v>54508689</v>
      </c>
      <c r="G271" s="6">
        <f>SQRT(SUM($F$2:F271)/A271)</f>
        <v>1310.6228191490006</v>
      </c>
      <c r="H271" s="5">
        <f t="shared" si="19"/>
        <v>0</v>
      </c>
      <c r="I271" s="5">
        <f t="shared" si="20"/>
        <v>0</v>
      </c>
    </row>
    <row r="272" spans="1:9">
      <c r="A272">
        <v>271</v>
      </c>
      <c r="B272">
        <v>26</v>
      </c>
      <c r="C272">
        <v>9000</v>
      </c>
      <c r="D272">
        <v>6172</v>
      </c>
      <c r="E272" s="5">
        <f t="shared" si="17"/>
        <v>2828</v>
      </c>
      <c r="F272" s="5">
        <f t="shared" si="18"/>
        <v>7997584</v>
      </c>
      <c r="G272" s="6">
        <f>SQRT(SUM($F$2:F272)/A272)</f>
        <v>1319.4336129720928</v>
      </c>
      <c r="H272" s="5">
        <f t="shared" si="19"/>
        <v>0</v>
      </c>
      <c r="I272" s="5">
        <f t="shared" si="20"/>
        <v>0</v>
      </c>
    </row>
    <row r="273" spans="1:9">
      <c r="A273">
        <v>272</v>
      </c>
      <c r="B273">
        <v>22</v>
      </c>
      <c r="C273">
        <v>9000</v>
      </c>
      <c r="D273">
        <v>11490</v>
      </c>
      <c r="E273" s="5">
        <f t="shared" si="17"/>
        <v>2490</v>
      </c>
      <c r="F273" s="5">
        <f t="shared" si="18"/>
        <v>6200100</v>
      </c>
      <c r="G273" s="6">
        <f>SQRT(SUM($F$2:F273)/A273)</f>
        <v>1325.631607230393</v>
      </c>
      <c r="H273" s="5">
        <f t="shared" si="19"/>
        <v>0</v>
      </c>
      <c r="I273" s="5">
        <f t="shared" si="20"/>
        <v>0</v>
      </c>
    </row>
    <row r="274" spans="1:9">
      <c r="A274">
        <v>273</v>
      </c>
      <c r="B274">
        <v>15</v>
      </c>
      <c r="C274">
        <v>9000</v>
      </c>
      <c r="D274">
        <v>9009</v>
      </c>
      <c r="E274" s="5">
        <f t="shared" si="17"/>
        <v>9</v>
      </c>
      <c r="F274" s="5">
        <f t="shared" si="18"/>
        <v>81</v>
      </c>
      <c r="G274" s="6">
        <f>SQRT(SUM($F$2:F274)/A274)</f>
        <v>1323.2015951994849</v>
      </c>
      <c r="H274" s="5">
        <f t="shared" si="19"/>
        <v>1</v>
      </c>
      <c r="I274" s="5">
        <f t="shared" si="20"/>
        <v>1</v>
      </c>
    </row>
    <row r="275" spans="1:9">
      <c r="A275">
        <v>274</v>
      </c>
      <c r="B275">
        <v>18</v>
      </c>
      <c r="C275">
        <v>9000</v>
      </c>
      <c r="D275">
        <v>9457</v>
      </c>
      <c r="E275" s="5">
        <f t="shared" si="17"/>
        <v>457</v>
      </c>
      <c r="F275" s="5">
        <f t="shared" si="18"/>
        <v>208849</v>
      </c>
      <c r="G275" s="6">
        <f>SQRT(SUM($F$2:F275)/A275)</f>
        <v>1321.0733042426077</v>
      </c>
      <c r="H275" s="5">
        <f t="shared" si="19"/>
        <v>1</v>
      </c>
      <c r="I275" s="5">
        <f t="shared" si="20"/>
        <v>1</v>
      </c>
    </row>
    <row r="276" spans="1:9">
      <c r="A276">
        <v>275</v>
      </c>
      <c r="B276">
        <v>17</v>
      </c>
      <c r="C276">
        <v>9000</v>
      </c>
      <c r="D276">
        <v>9295</v>
      </c>
      <c r="E276" s="5">
        <f t="shared" si="17"/>
        <v>295</v>
      </c>
      <c r="F276" s="5">
        <f t="shared" si="18"/>
        <v>87025</v>
      </c>
      <c r="G276" s="6">
        <f>SQRT(SUM($F$2:F276)/A276)</f>
        <v>1318.7891498712679</v>
      </c>
      <c r="H276" s="5">
        <f t="shared" si="19"/>
        <v>1</v>
      </c>
      <c r="I276" s="5">
        <f t="shared" si="20"/>
        <v>1</v>
      </c>
    </row>
    <row r="277" spans="1:9">
      <c r="A277">
        <v>276</v>
      </c>
      <c r="B277">
        <v>18</v>
      </c>
      <c r="C277">
        <v>9000</v>
      </c>
      <c r="D277">
        <v>10032</v>
      </c>
      <c r="E277" s="5">
        <f t="shared" si="17"/>
        <v>1032</v>
      </c>
      <c r="F277" s="5">
        <f t="shared" si="18"/>
        <v>1065024</v>
      </c>
      <c r="G277" s="6">
        <f>SQRT(SUM($F$2:F277)/A277)</f>
        <v>1317.8627157944636</v>
      </c>
      <c r="H277" s="5">
        <f t="shared" si="19"/>
        <v>1</v>
      </c>
      <c r="I277" s="5">
        <f t="shared" si="20"/>
        <v>0</v>
      </c>
    </row>
    <row r="278" spans="1:9">
      <c r="A278">
        <v>277</v>
      </c>
      <c r="B278">
        <v>16</v>
      </c>
      <c r="C278">
        <v>9000</v>
      </c>
      <c r="D278">
        <v>10233</v>
      </c>
      <c r="E278" s="5">
        <f t="shared" si="17"/>
        <v>1233</v>
      </c>
      <c r="F278" s="5">
        <f t="shared" si="18"/>
        <v>1520289</v>
      </c>
      <c r="G278" s="6">
        <f>SQRT(SUM($F$2:F278)/A278)</f>
        <v>1317.5661828573873</v>
      </c>
      <c r="H278" s="5">
        <f t="shared" si="19"/>
        <v>1</v>
      </c>
      <c r="I278" s="5">
        <f t="shared" si="20"/>
        <v>0</v>
      </c>
    </row>
    <row r="279" spans="1:9">
      <c r="A279">
        <v>278</v>
      </c>
      <c r="B279">
        <v>16</v>
      </c>
      <c r="C279">
        <v>9000</v>
      </c>
      <c r="D279">
        <v>9028</v>
      </c>
      <c r="E279" s="5">
        <f t="shared" si="17"/>
        <v>28</v>
      </c>
      <c r="F279" s="5">
        <f t="shared" si="18"/>
        <v>784</v>
      </c>
      <c r="G279" s="6">
        <f>SQRT(SUM($F$2:F279)/A279)</f>
        <v>1315.1953967584727</v>
      </c>
      <c r="H279" s="5">
        <f t="shared" si="19"/>
        <v>1</v>
      </c>
      <c r="I279" s="5">
        <f t="shared" si="20"/>
        <v>1</v>
      </c>
    </row>
    <row r="280" spans="1:9">
      <c r="A280">
        <v>279</v>
      </c>
      <c r="B280">
        <v>17</v>
      </c>
      <c r="C280">
        <v>9000</v>
      </c>
      <c r="D280">
        <v>9366</v>
      </c>
      <c r="E280" s="5">
        <f t="shared" si="17"/>
        <v>366</v>
      </c>
      <c r="F280" s="5">
        <f t="shared" si="18"/>
        <v>133956</v>
      </c>
      <c r="G280" s="6">
        <f>SQRT(SUM($F$2:F280)/A280)</f>
        <v>1313.0191466882318</v>
      </c>
      <c r="H280" s="5">
        <f t="shared" si="19"/>
        <v>1</v>
      </c>
      <c r="I280" s="5">
        <f t="shared" si="20"/>
        <v>1</v>
      </c>
    </row>
    <row r="281" spans="1:9">
      <c r="A281">
        <v>280</v>
      </c>
      <c r="B281">
        <v>17</v>
      </c>
      <c r="C281">
        <v>9000</v>
      </c>
      <c r="D281">
        <v>10263</v>
      </c>
      <c r="E281" s="5">
        <f t="shared" si="17"/>
        <v>1263</v>
      </c>
      <c r="F281" s="5">
        <f t="shared" si="18"/>
        <v>1595169</v>
      </c>
      <c r="G281" s="6">
        <f>SQRT(SUM($F$2:F281)/A281)</f>
        <v>1312.8438978035431</v>
      </c>
      <c r="H281" s="5">
        <f t="shared" si="19"/>
        <v>1</v>
      </c>
      <c r="I281" s="5">
        <f t="shared" si="20"/>
        <v>0</v>
      </c>
    </row>
    <row r="282" spans="1:9">
      <c r="A282">
        <v>281</v>
      </c>
      <c r="B282">
        <v>15</v>
      </c>
      <c r="C282">
        <v>9000</v>
      </c>
      <c r="D282">
        <v>9314</v>
      </c>
      <c r="E282" s="5">
        <f t="shared" si="17"/>
        <v>314</v>
      </c>
      <c r="F282" s="5">
        <f t="shared" si="18"/>
        <v>98596</v>
      </c>
      <c r="G282" s="6">
        <f>SQRT(SUM($F$2:F282)/A282)</f>
        <v>1310.6396580171302</v>
      </c>
      <c r="H282" s="5">
        <f t="shared" si="19"/>
        <v>1</v>
      </c>
      <c r="I282" s="5">
        <f t="shared" si="20"/>
        <v>1</v>
      </c>
    </row>
    <row r="283" spans="1:9">
      <c r="A283">
        <v>282</v>
      </c>
      <c r="B283">
        <v>16</v>
      </c>
      <c r="C283">
        <v>9000</v>
      </c>
      <c r="D283">
        <v>9799</v>
      </c>
      <c r="E283" s="5">
        <f t="shared" si="17"/>
        <v>799</v>
      </c>
      <c r="F283" s="5">
        <f t="shared" si="18"/>
        <v>638401</v>
      </c>
      <c r="G283" s="6">
        <f>SQRT(SUM($F$2:F283)/A283)</f>
        <v>1309.1786513439454</v>
      </c>
      <c r="H283" s="5">
        <f t="shared" si="19"/>
        <v>1</v>
      </c>
      <c r="I283" s="5">
        <f t="shared" si="20"/>
        <v>1</v>
      </c>
    </row>
    <row r="284" spans="1:9">
      <c r="A284">
        <v>283</v>
      </c>
      <c r="B284">
        <v>16</v>
      </c>
      <c r="C284">
        <v>9000</v>
      </c>
      <c r="D284">
        <v>9439</v>
      </c>
      <c r="E284" s="5">
        <f t="shared" si="17"/>
        <v>439</v>
      </c>
      <c r="F284" s="5">
        <f t="shared" si="18"/>
        <v>192721</v>
      </c>
      <c r="G284" s="6">
        <f>SQRT(SUM($F$2:F284)/A284)</f>
        <v>1307.1240867231668</v>
      </c>
      <c r="H284" s="5">
        <f t="shared" si="19"/>
        <v>1</v>
      </c>
      <c r="I284" s="5">
        <f t="shared" si="20"/>
        <v>1</v>
      </c>
    </row>
    <row r="285" spans="1:9">
      <c r="A285">
        <v>284</v>
      </c>
      <c r="B285">
        <v>16</v>
      </c>
      <c r="C285">
        <v>9000</v>
      </c>
      <c r="D285">
        <v>9239</v>
      </c>
      <c r="E285" s="5">
        <f t="shared" si="17"/>
        <v>239</v>
      </c>
      <c r="F285" s="5">
        <f t="shared" si="18"/>
        <v>57121</v>
      </c>
      <c r="G285" s="6">
        <f>SQRT(SUM($F$2:F285)/A285)</f>
        <v>1304.8978522970974</v>
      </c>
      <c r="H285" s="5">
        <f t="shared" si="19"/>
        <v>1</v>
      </c>
      <c r="I285" s="5">
        <f t="shared" si="20"/>
        <v>1</v>
      </c>
    </row>
    <row r="286" spans="1:9">
      <c r="A286">
        <v>285</v>
      </c>
      <c r="B286">
        <v>16</v>
      </c>
      <c r="C286">
        <v>9000</v>
      </c>
      <c r="D286">
        <v>9619</v>
      </c>
      <c r="E286" s="5">
        <f t="shared" si="17"/>
        <v>619</v>
      </c>
      <c r="F286" s="5">
        <f t="shared" si="18"/>
        <v>383161</v>
      </c>
      <c r="G286" s="6">
        <f>SQRT(SUM($F$2:F286)/A286)</f>
        <v>1303.1224956221465</v>
      </c>
      <c r="H286" s="5">
        <f t="shared" si="19"/>
        <v>1</v>
      </c>
      <c r="I286" s="5">
        <f t="shared" si="20"/>
        <v>1</v>
      </c>
    </row>
    <row r="287" spans="1:9">
      <c r="A287">
        <v>286</v>
      </c>
      <c r="B287">
        <v>15</v>
      </c>
      <c r="C287">
        <v>9000</v>
      </c>
      <c r="D287">
        <v>8563</v>
      </c>
      <c r="E287" s="5">
        <f t="shared" si="17"/>
        <v>437</v>
      </c>
      <c r="F287" s="5">
        <f t="shared" si="18"/>
        <v>190969</v>
      </c>
      <c r="G287" s="6">
        <f>SQRT(SUM($F$2:F287)/A287)</f>
        <v>1301.0989397616736</v>
      </c>
      <c r="H287" s="5">
        <f t="shared" si="19"/>
        <v>1</v>
      </c>
      <c r="I287" s="5">
        <f t="shared" si="20"/>
        <v>1</v>
      </c>
    </row>
    <row r="288" spans="1:9">
      <c r="A288">
        <v>287</v>
      </c>
      <c r="B288">
        <v>17</v>
      </c>
      <c r="C288">
        <v>9000</v>
      </c>
      <c r="D288">
        <v>9939</v>
      </c>
      <c r="E288" s="5">
        <f t="shared" si="17"/>
        <v>939</v>
      </c>
      <c r="F288" s="5">
        <f t="shared" si="18"/>
        <v>881721</v>
      </c>
      <c r="G288" s="6">
        <f>SQRT(SUM($F$2:F288)/A288)</f>
        <v>1300.0123800000176</v>
      </c>
      <c r="H288" s="5">
        <f t="shared" si="19"/>
        <v>1</v>
      </c>
      <c r="I288" s="5">
        <f t="shared" si="20"/>
        <v>0</v>
      </c>
    </row>
    <row r="289" spans="1:9">
      <c r="A289">
        <v>288</v>
      </c>
      <c r="B289">
        <v>15</v>
      </c>
      <c r="C289">
        <v>9000</v>
      </c>
      <c r="D289">
        <v>8645</v>
      </c>
      <c r="E289" s="5">
        <f t="shared" si="17"/>
        <v>355</v>
      </c>
      <c r="F289" s="5">
        <f t="shared" si="18"/>
        <v>126025</v>
      </c>
      <c r="G289" s="6">
        <f>SQRT(SUM($F$2:F289)/A289)</f>
        <v>1297.9220344993334</v>
      </c>
      <c r="H289" s="5">
        <f t="shared" si="19"/>
        <v>1</v>
      </c>
      <c r="I289" s="5">
        <f t="shared" si="20"/>
        <v>1</v>
      </c>
    </row>
    <row r="290" spans="1:9">
      <c r="A290">
        <v>289</v>
      </c>
      <c r="B290">
        <v>16</v>
      </c>
      <c r="C290">
        <v>9000</v>
      </c>
      <c r="D290">
        <v>9553</v>
      </c>
      <c r="E290" s="5">
        <f t="shared" si="17"/>
        <v>553</v>
      </c>
      <c r="F290" s="5">
        <f t="shared" si="18"/>
        <v>305809</v>
      </c>
      <c r="G290" s="6">
        <f>SQRT(SUM($F$2:F290)/A290)</f>
        <v>1296.0828287427998</v>
      </c>
      <c r="H290" s="5">
        <f t="shared" si="19"/>
        <v>1</v>
      </c>
      <c r="I290" s="5">
        <f t="shared" si="20"/>
        <v>1</v>
      </c>
    </row>
    <row r="291" spans="1:9">
      <c r="A291">
        <v>290</v>
      </c>
      <c r="B291">
        <v>15</v>
      </c>
      <c r="C291">
        <v>9000</v>
      </c>
      <c r="D291">
        <v>8752</v>
      </c>
      <c r="E291" s="5">
        <f t="shared" si="17"/>
        <v>248</v>
      </c>
      <c r="F291" s="5">
        <f t="shared" si="18"/>
        <v>61504</v>
      </c>
      <c r="G291" s="6">
        <f>SQRT(SUM($F$2:F291)/A291)</f>
        <v>1293.9282291027448</v>
      </c>
      <c r="H291" s="5">
        <f t="shared" si="19"/>
        <v>1</v>
      </c>
      <c r="I291" s="5">
        <f t="shared" si="20"/>
        <v>1</v>
      </c>
    </row>
    <row r="292" spans="1:9">
      <c r="A292">
        <v>291</v>
      </c>
      <c r="B292">
        <v>16</v>
      </c>
      <c r="C292">
        <v>9000</v>
      </c>
      <c r="D292">
        <v>9251</v>
      </c>
      <c r="E292" s="5">
        <f t="shared" si="17"/>
        <v>251</v>
      </c>
      <c r="F292" s="5">
        <f t="shared" si="18"/>
        <v>63001</v>
      </c>
      <c r="G292" s="6">
        <f>SQRT(SUM($F$2:F292)/A292)</f>
        <v>1291.786872136443</v>
      </c>
      <c r="H292" s="5">
        <f t="shared" si="19"/>
        <v>1</v>
      </c>
      <c r="I292" s="5">
        <f t="shared" si="20"/>
        <v>1</v>
      </c>
    </row>
    <row r="293" spans="1:9">
      <c r="A293">
        <v>292</v>
      </c>
      <c r="B293">
        <v>16</v>
      </c>
      <c r="C293">
        <v>9000</v>
      </c>
      <c r="D293">
        <v>9764</v>
      </c>
      <c r="E293" s="5">
        <f t="shared" si="17"/>
        <v>764</v>
      </c>
      <c r="F293" s="5">
        <f t="shared" si="18"/>
        <v>583696</v>
      </c>
      <c r="G293" s="6">
        <f>SQRT(SUM($F$2:F293)/A293)</f>
        <v>1290.347825306794</v>
      </c>
      <c r="H293" s="5">
        <f t="shared" si="19"/>
        <v>1</v>
      </c>
      <c r="I293" s="5">
        <f t="shared" si="20"/>
        <v>1</v>
      </c>
    </row>
    <row r="294" spans="1:9">
      <c r="A294">
        <v>293</v>
      </c>
      <c r="B294">
        <v>15</v>
      </c>
      <c r="C294">
        <v>9000</v>
      </c>
      <c r="D294">
        <v>9140</v>
      </c>
      <c r="E294" s="5">
        <f t="shared" si="17"/>
        <v>140</v>
      </c>
      <c r="F294" s="5">
        <f t="shared" si="18"/>
        <v>19600</v>
      </c>
      <c r="G294" s="6">
        <f>SQRT(SUM($F$2:F294)/A294)</f>
        <v>1288.1699496233516</v>
      </c>
      <c r="H294" s="5">
        <f t="shared" si="19"/>
        <v>1</v>
      </c>
      <c r="I294" s="5">
        <f t="shared" si="20"/>
        <v>1</v>
      </c>
    </row>
    <row r="295" spans="1:9">
      <c r="A295">
        <v>294</v>
      </c>
      <c r="B295">
        <v>16</v>
      </c>
      <c r="C295">
        <v>9000</v>
      </c>
      <c r="D295">
        <v>9959</v>
      </c>
      <c r="E295" s="5">
        <f t="shared" si="17"/>
        <v>959</v>
      </c>
      <c r="F295" s="5">
        <f t="shared" si="18"/>
        <v>919681</v>
      </c>
      <c r="G295" s="6">
        <f>SQRT(SUM($F$2:F295)/A295)</f>
        <v>1287.1930041497167</v>
      </c>
      <c r="H295" s="5">
        <f t="shared" si="19"/>
        <v>1</v>
      </c>
      <c r="I295" s="5">
        <f t="shared" si="20"/>
        <v>0</v>
      </c>
    </row>
    <row r="296" spans="1:9">
      <c r="A296">
        <v>295</v>
      </c>
      <c r="B296">
        <v>14</v>
      </c>
      <c r="C296">
        <v>9000</v>
      </c>
      <c r="D296">
        <v>7722</v>
      </c>
      <c r="E296" s="5">
        <f t="shared" si="17"/>
        <v>1278</v>
      </c>
      <c r="F296" s="5">
        <f t="shared" si="18"/>
        <v>1633284</v>
      </c>
      <c r="G296" s="6">
        <f>SQRT(SUM($F$2:F296)/A296)</f>
        <v>1287.161952329785</v>
      </c>
      <c r="H296" s="5">
        <f t="shared" si="19"/>
        <v>1</v>
      </c>
      <c r="I296" s="5">
        <f t="shared" si="20"/>
        <v>0</v>
      </c>
    </row>
    <row r="297" spans="1:9">
      <c r="A297">
        <v>296</v>
      </c>
      <c r="B297">
        <v>17</v>
      </c>
      <c r="C297">
        <v>9000</v>
      </c>
      <c r="D297">
        <v>10029</v>
      </c>
      <c r="E297" s="5">
        <f t="shared" si="17"/>
        <v>1029</v>
      </c>
      <c r="F297" s="5">
        <f t="shared" si="18"/>
        <v>1058841</v>
      </c>
      <c r="G297" s="6">
        <f>SQRT(SUM($F$2:F297)/A297)</f>
        <v>1286.3770082804001</v>
      </c>
      <c r="H297" s="5">
        <f t="shared" si="19"/>
        <v>1</v>
      </c>
      <c r="I297" s="5">
        <f t="shared" si="20"/>
        <v>0</v>
      </c>
    </row>
    <row r="298" spans="1:9">
      <c r="A298">
        <v>297</v>
      </c>
      <c r="B298">
        <v>14</v>
      </c>
      <c r="C298">
        <v>9000</v>
      </c>
      <c r="D298">
        <v>8239</v>
      </c>
      <c r="E298" s="5">
        <f t="shared" si="17"/>
        <v>761</v>
      </c>
      <c r="F298" s="5">
        <f t="shared" si="18"/>
        <v>579121</v>
      </c>
      <c r="G298" s="6">
        <f>SQRT(SUM($F$2:F298)/A298)</f>
        <v>1284.9685240285489</v>
      </c>
      <c r="H298" s="5">
        <f t="shared" si="19"/>
        <v>1</v>
      </c>
      <c r="I298" s="5">
        <f t="shared" si="20"/>
        <v>1</v>
      </c>
    </row>
    <row r="299" spans="1:9">
      <c r="A299">
        <v>298</v>
      </c>
      <c r="B299">
        <v>16</v>
      </c>
      <c r="C299">
        <v>9000</v>
      </c>
      <c r="D299">
        <v>9612</v>
      </c>
      <c r="E299" s="5">
        <f t="shared" si="17"/>
        <v>612</v>
      </c>
      <c r="F299" s="5">
        <f t="shared" si="18"/>
        <v>374544</v>
      </c>
      <c r="G299" s="6">
        <f>SQRT(SUM($F$2:F299)/A299)</f>
        <v>1283.30051615555</v>
      </c>
      <c r="H299" s="5">
        <f t="shared" si="19"/>
        <v>1</v>
      </c>
      <c r="I299" s="5">
        <f t="shared" si="20"/>
        <v>1</v>
      </c>
    </row>
    <row r="300" spans="1:9">
      <c r="A300">
        <v>299</v>
      </c>
      <c r="B300">
        <v>15</v>
      </c>
      <c r="C300">
        <v>9000</v>
      </c>
      <c r="D300">
        <v>9014</v>
      </c>
      <c r="E300" s="5">
        <f t="shared" si="17"/>
        <v>14</v>
      </c>
      <c r="F300" s="5">
        <f t="shared" si="18"/>
        <v>196</v>
      </c>
      <c r="G300" s="6">
        <f>SQRT(SUM($F$2:F300)/A300)</f>
        <v>1281.1529871910805</v>
      </c>
      <c r="H300" s="5">
        <f t="shared" si="19"/>
        <v>1</v>
      </c>
      <c r="I300" s="5">
        <f t="shared" si="20"/>
        <v>1</v>
      </c>
    </row>
    <row r="301" spans="1:9">
      <c r="A301">
        <v>300</v>
      </c>
      <c r="B301">
        <v>16</v>
      </c>
      <c r="C301">
        <v>9000</v>
      </c>
      <c r="D301">
        <v>8714</v>
      </c>
      <c r="E301" s="5">
        <f t="shared" si="17"/>
        <v>286</v>
      </c>
      <c r="F301" s="5">
        <f t="shared" si="18"/>
        <v>81796</v>
      </c>
      <c r="G301" s="6">
        <f>SQRT(SUM($F$2:F301)/A301)</f>
        <v>1279.1225325719711</v>
      </c>
      <c r="H301" s="5">
        <f t="shared" si="19"/>
        <v>1</v>
      </c>
      <c r="I301" s="5">
        <f t="shared" si="20"/>
        <v>1</v>
      </c>
    </row>
    <row r="302" spans="1:9">
      <c r="A302">
        <v>301</v>
      </c>
      <c r="B302">
        <v>16</v>
      </c>
      <c r="C302">
        <v>5000</v>
      </c>
      <c r="D302">
        <v>9631</v>
      </c>
      <c r="E302" s="5">
        <f t="shared" si="17"/>
        <v>4631</v>
      </c>
      <c r="F302" s="5">
        <f t="shared" si="18"/>
        <v>21446161</v>
      </c>
      <c r="G302" s="6">
        <f>SQRT(SUM($F$2:F302)/A302)</f>
        <v>1304.5951205532806</v>
      </c>
      <c r="H302" s="5">
        <f t="shared" si="19"/>
        <v>0</v>
      </c>
      <c r="I302" s="5">
        <f t="shared" si="20"/>
        <v>0</v>
      </c>
    </row>
    <row r="303" spans="1:9">
      <c r="A303">
        <v>302</v>
      </c>
      <c r="B303">
        <v>10</v>
      </c>
      <c r="C303">
        <v>5000</v>
      </c>
      <c r="D303">
        <v>6546</v>
      </c>
      <c r="E303" s="5">
        <f t="shared" si="17"/>
        <v>1546</v>
      </c>
      <c r="F303" s="5">
        <f t="shared" si="18"/>
        <v>2390116</v>
      </c>
      <c r="G303" s="6">
        <f>SQRT(SUM($F$2:F303)/A303)</f>
        <v>1305.4681393714316</v>
      </c>
      <c r="H303" s="5">
        <f t="shared" si="19"/>
        <v>0</v>
      </c>
      <c r="I303" s="5">
        <f t="shared" si="20"/>
        <v>0</v>
      </c>
    </row>
    <row r="304" spans="1:9">
      <c r="A304">
        <v>303</v>
      </c>
      <c r="B304">
        <v>12</v>
      </c>
      <c r="C304">
        <v>5000</v>
      </c>
      <c r="D304">
        <v>6828</v>
      </c>
      <c r="E304" s="5">
        <f t="shared" si="17"/>
        <v>1828</v>
      </c>
      <c r="F304" s="5">
        <f t="shared" si="18"/>
        <v>3341584</v>
      </c>
      <c r="G304" s="6">
        <f>SQRT(SUM($F$2:F304)/A304)</f>
        <v>1307.5361620932395</v>
      </c>
      <c r="H304" s="5">
        <f t="shared" si="19"/>
        <v>0</v>
      </c>
      <c r="I304" s="5">
        <f t="shared" si="20"/>
        <v>0</v>
      </c>
    </row>
    <row r="305" spans="1:9">
      <c r="A305">
        <v>304</v>
      </c>
      <c r="B305">
        <v>12</v>
      </c>
      <c r="C305">
        <v>5000</v>
      </c>
      <c r="D305">
        <v>7012</v>
      </c>
      <c r="E305" s="5">
        <f t="shared" si="17"/>
        <v>2012</v>
      </c>
      <c r="F305" s="5">
        <f t="shared" si="18"/>
        <v>4048144</v>
      </c>
      <c r="G305" s="6">
        <f>SQRT(SUM($F$2:F305)/A305)</f>
        <v>1310.4744282028873</v>
      </c>
      <c r="H305" s="5">
        <f t="shared" si="19"/>
        <v>0</v>
      </c>
      <c r="I305" s="5">
        <f t="shared" si="20"/>
        <v>0</v>
      </c>
    </row>
    <row r="306" spans="1:9">
      <c r="A306">
        <v>305</v>
      </c>
      <c r="B306">
        <v>11</v>
      </c>
      <c r="C306">
        <v>5000</v>
      </c>
      <c r="D306">
        <v>6708</v>
      </c>
      <c r="E306" s="5">
        <f t="shared" si="17"/>
        <v>1708</v>
      </c>
      <c r="F306" s="5">
        <f t="shared" si="18"/>
        <v>2917264</v>
      </c>
      <c r="G306" s="6">
        <f>SQRT(SUM($F$2:F306)/A306)</f>
        <v>1311.9746161578823</v>
      </c>
      <c r="H306" s="5">
        <f t="shared" si="19"/>
        <v>0</v>
      </c>
      <c r="I306" s="5">
        <f t="shared" si="20"/>
        <v>0</v>
      </c>
    </row>
    <row r="307" spans="1:9">
      <c r="A307">
        <v>306</v>
      </c>
      <c r="B307">
        <v>11</v>
      </c>
      <c r="C307">
        <v>5000</v>
      </c>
      <c r="D307">
        <v>5836</v>
      </c>
      <c r="E307" s="5">
        <f t="shared" si="17"/>
        <v>836</v>
      </c>
      <c r="F307" s="5">
        <f t="shared" si="18"/>
        <v>698896</v>
      </c>
      <c r="G307" s="6">
        <f>SQRT(SUM($F$2:F307)/A307)</f>
        <v>1310.700681993329</v>
      </c>
      <c r="H307" s="5">
        <f t="shared" si="19"/>
        <v>1</v>
      </c>
      <c r="I307" s="5">
        <f t="shared" si="20"/>
        <v>0</v>
      </c>
    </row>
    <row r="308" spans="1:9">
      <c r="A308">
        <v>307</v>
      </c>
      <c r="B308">
        <v>11</v>
      </c>
      <c r="C308">
        <v>5000</v>
      </c>
      <c r="D308">
        <v>5746</v>
      </c>
      <c r="E308" s="5">
        <f t="shared" si="17"/>
        <v>746</v>
      </c>
      <c r="F308" s="5">
        <f t="shared" si="18"/>
        <v>556516</v>
      </c>
      <c r="G308" s="6">
        <f>SQRT(SUM($F$2:F308)/A308)</f>
        <v>1309.2567165522328</v>
      </c>
      <c r="H308" s="5">
        <f t="shared" si="19"/>
        <v>1</v>
      </c>
      <c r="I308" s="5">
        <f t="shared" si="20"/>
        <v>0</v>
      </c>
    </row>
    <row r="309" spans="1:9">
      <c r="A309">
        <v>308</v>
      </c>
      <c r="B309">
        <v>11</v>
      </c>
      <c r="C309">
        <v>5000</v>
      </c>
      <c r="D309">
        <v>7067</v>
      </c>
      <c r="E309" s="5">
        <f t="shared" si="17"/>
        <v>2067</v>
      </c>
      <c r="F309" s="5">
        <f t="shared" si="18"/>
        <v>4272489</v>
      </c>
      <c r="G309" s="6">
        <f>SQRT(SUM($F$2:F309)/A309)</f>
        <v>1312.4250207402079</v>
      </c>
      <c r="H309" s="5">
        <f t="shared" si="19"/>
        <v>0</v>
      </c>
      <c r="I309" s="5">
        <f t="shared" si="20"/>
        <v>0</v>
      </c>
    </row>
    <row r="310" spans="1:9">
      <c r="A310">
        <v>309</v>
      </c>
      <c r="B310">
        <v>9</v>
      </c>
      <c r="C310">
        <v>5000</v>
      </c>
      <c r="D310">
        <v>5471</v>
      </c>
      <c r="E310" s="5">
        <f t="shared" si="17"/>
        <v>471</v>
      </c>
      <c r="F310" s="5">
        <f t="shared" si="18"/>
        <v>221841</v>
      </c>
      <c r="G310" s="6">
        <f>SQRT(SUM($F$2:F310)/A310)</f>
        <v>1310.5735632633978</v>
      </c>
      <c r="H310" s="5">
        <f t="shared" si="19"/>
        <v>1</v>
      </c>
      <c r="I310" s="5">
        <f t="shared" si="20"/>
        <v>1</v>
      </c>
    </row>
    <row r="311" spans="1:9">
      <c r="A311">
        <v>310</v>
      </c>
      <c r="B311">
        <v>11</v>
      </c>
      <c r="C311">
        <v>5000</v>
      </c>
      <c r="D311">
        <v>5584</v>
      </c>
      <c r="E311" s="5">
        <f t="shared" si="17"/>
        <v>584</v>
      </c>
      <c r="F311" s="5">
        <f t="shared" si="18"/>
        <v>341056</v>
      </c>
      <c r="G311" s="6">
        <f>SQRT(SUM($F$2:F311)/A311)</f>
        <v>1308.878371095871</v>
      </c>
      <c r="H311" s="5">
        <f t="shared" si="19"/>
        <v>1</v>
      </c>
      <c r="I311" s="5">
        <f t="shared" si="20"/>
        <v>0</v>
      </c>
    </row>
    <row r="312" spans="1:9">
      <c r="A312">
        <v>311</v>
      </c>
      <c r="B312">
        <v>11</v>
      </c>
      <c r="C312">
        <v>5000</v>
      </c>
      <c r="D312">
        <v>6963</v>
      </c>
      <c r="E312" s="5">
        <f t="shared" si="17"/>
        <v>1963</v>
      </c>
      <c r="F312" s="5">
        <f t="shared" si="18"/>
        <v>3853369</v>
      </c>
      <c r="G312" s="6">
        <f>SQRT(SUM($F$2:F312)/A312)</f>
        <v>1311.504587471275</v>
      </c>
      <c r="H312" s="5">
        <f t="shared" si="19"/>
        <v>0</v>
      </c>
      <c r="I312" s="5">
        <f t="shared" si="20"/>
        <v>0</v>
      </c>
    </row>
    <row r="313" spans="1:9">
      <c r="A313">
        <v>312</v>
      </c>
      <c r="B313">
        <v>9</v>
      </c>
      <c r="C313">
        <v>5000</v>
      </c>
      <c r="D313">
        <v>5120</v>
      </c>
      <c r="E313" s="5">
        <f t="shared" si="17"/>
        <v>120</v>
      </c>
      <c r="F313" s="5">
        <f t="shared" si="18"/>
        <v>14400</v>
      </c>
      <c r="G313" s="6">
        <f>SQRT(SUM($F$2:F313)/A313)</f>
        <v>1309.4187543940916</v>
      </c>
      <c r="H313" s="5">
        <f t="shared" si="19"/>
        <v>1</v>
      </c>
      <c r="I313" s="5">
        <f t="shared" si="20"/>
        <v>1</v>
      </c>
    </row>
    <row r="314" spans="1:9">
      <c r="A314">
        <v>313</v>
      </c>
      <c r="B314">
        <v>11</v>
      </c>
      <c r="C314">
        <v>5000</v>
      </c>
      <c r="D314">
        <v>6879</v>
      </c>
      <c r="E314" s="5">
        <f t="shared" si="17"/>
        <v>1879</v>
      </c>
      <c r="F314" s="5">
        <f t="shared" si="18"/>
        <v>3530641</v>
      </c>
      <c r="G314" s="6">
        <f>SQRT(SUM($F$2:F314)/A314)</f>
        <v>1311.6324158273922</v>
      </c>
      <c r="H314" s="5">
        <f t="shared" si="19"/>
        <v>0</v>
      </c>
      <c r="I314" s="5">
        <f t="shared" si="20"/>
        <v>0</v>
      </c>
    </row>
    <row r="315" spans="1:9">
      <c r="A315">
        <v>314</v>
      </c>
      <c r="B315">
        <v>8</v>
      </c>
      <c r="C315">
        <v>5000</v>
      </c>
      <c r="D315">
        <v>4798</v>
      </c>
      <c r="E315" s="5">
        <f t="shared" si="17"/>
        <v>202</v>
      </c>
      <c r="F315" s="5">
        <f t="shared" si="18"/>
        <v>40804</v>
      </c>
      <c r="G315" s="6">
        <f>SQRT(SUM($F$2:F315)/A315)</f>
        <v>1309.5917789099528</v>
      </c>
      <c r="H315" s="5">
        <f t="shared" si="19"/>
        <v>1</v>
      </c>
      <c r="I315" s="5">
        <f t="shared" si="20"/>
        <v>1</v>
      </c>
    </row>
    <row r="316" spans="1:9">
      <c r="A316">
        <v>315</v>
      </c>
      <c r="B316">
        <v>10</v>
      </c>
      <c r="C316">
        <v>5000</v>
      </c>
      <c r="D316">
        <v>6633</v>
      </c>
      <c r="E316" s="5">
        <f t="shared" si="17"/>
        <v>1633</v>
      </c>
      <c r="F316" s="5">
        <f t="shared" si="18"/>
        <v>2666689</v>
      </c>
      <c r="G316" s="6">
        <f>SQRT(SUM($F$2:F316)/A316)</f>
        <v>1310.7447368116209</v>
      </c>
      <c r="H316" s="5">
        <f t="shared" si="19"/>
        <v>0</v>
      </c>
      <c r="I316" s="5">
        <f t="shared" si="20"/>
        <v>0</v>
      </c>
    </row>
    <row r="317" spans="1:9">
      <c r="A317">
        <v>316</v>
      </c>
      <c r="B317">
        <v>8</v>
      </c>
      <c r="C317">
        <v>5000</v>
      </c>
      <c r="D317">
        <v>5762</v>
      </c>
      <c r="E317" s="5">
        <f t="shared" si="17"/>
        <v>762</v>
      </c>
      <c r="F317" s="5">
        <f t="shared" si="18"/>
        <v>580644</v>
      </c>
      <c r="G317" s="6">
        <f>SQRT(SUM($F$2:F317)/A317)</f>
        <v>1309.370983876503</v>
      </c>
      <c r="H317" s="5">
        <f t="shared" si="19"/>
        <v>1</v>
      </c>
      <c r="I317" s="5">
        <f t="shared" si="20"/>
        <v>0</v>
      </c>
    </row>
    <row r="318" spans="1:9">
      <c r="A318">
        <v>317</v>
      </c>
      <c r="B318">
        <v>9</v>
      </c>
      <c r="C318">
        <v>5000</v>
      </c>
      <c r="D318">
        <v>6233</v>
      </c>
      <c r="E318" s="5">
        <f t="shared" si="17"/>
        <v>1233</v>
      </c>
      <c r="F318" s="5">
        <f t="shared" si="18"/>
        <v>1520289</v>
      </c>
      <c r="G318" s="6">
        <f>SQRT(SUM($F$2:F318)/A318)</f>
        <v>1309.1370709984728</v>
      </c>
      <c r="H318" s="5">
        <f t="shared" si="19"/>
        <v>0</v>
      </c>
      <c r="I318" s="5">
        <f t="shared" si="20"/>
        <v>0</v>
      </c>
    </row>
    <row r="319" spans="1:9">
      <c r="A319">
        <v>318</v>
      </c>
      <c r="B319">
        <v>8</v>
      </c>
      <c r="C319">
        <v>5000</v>
      </c>
      <c r="D319">
        <v>5980</v>
      </c>
      <c r="E319" s="5">
        <f t="shared" si="17"/>
        <v>980</v>
      </c>
      <c r="F319" s="5">
        <f t="shared" si="18"/>
        <v>960400</v>
      </c>
      <c r="G319" s="6">
        <f>SQRT(SUM($F$2:F319)/A319)</f>
        <v>1308.2318460017252</v>
      </c>
      <c r="H319" s="5">
        <f t="shared" si="19"/>
        <v>1</v>
      </c>
      <c r="I319" s="5">
        <f t="shared" si="20"/>
        <v>0</v>
      </c>
    </row>
    <row r="320" spans="1:9">
      <c r="A320">
        <v>319</v>
      </c>
      <c r="B320">
        <v>8</v>
      </c>
      <c r="C320">
        <v>5000</v>
      </c>
      <c r="D320">
        <v>6001</v>
      </c>
      <c r="E320" s="5">
        <f t="shared" si="17"/>
        <v>1001</v>
      </c>
      <c r="F320" s="5">
        <f t="shared" si="18"/>
        <v>1002001</v>
      </c>
      <c r="G320" s="6">
        <f>SQRT(SUM($F$2:F320)/A320)</f>
        <v>1307.3815511839593</v>
      </c>
      <c r="H320" s="5">
        <f t="shared" si="19"/>
        <v>0</v>
      </c>
      <c r="I320" s="5">
        <f t="shared" si="20"/>
        <v>0</v>
      </c>
    </row>
    <row r="321" spans="1:9">
      <c r="A321">
        <v>320</v>
      </c>
      <c r="B321">
        <v>8</v>
      </c>
      <c r="C321">
        <v>5000</v>
      </c>
      <c r="D321">
        <v>5944</v>
      </c>
      <c r="E321" s="5">
        <f t="shared" si="17"/>
        <v>944</v>
      </c>
      <c r="F321" s="5">
        <f t="shared" si="18"/>
        <v>891136</v>
      </c>
      <c r="G321" s="6">
        <f>SQRT(SUM($F$2:F321)/A321)</f>
        <v>1306.4034311804298</v>
      </c>
      <c r="H321" s="5">
        <f t="shared" si="19"/>
        <v>1</v>
      </c>
      <c r="I321" s="5">
        <f t="shared" si="20"/>
        <v>0</v>
      </c>
    </row>
    <row r="322" spans="1:9">
      <c r="A322">
        <v>321</v>
      </c>
      <c r="B322">
        <v>8</v>
      </c>
      <c r="C322">
        <v>5000</v>
      </c>
      <c r="D322">
        <v>6268</v>
      </c>
      <c r="E322" s="5">
        <f t="shared" si="17"/>
        <v>1268</v>
      </c>
      <c r="F322" s="5">
        <f t="shared" si="18"/>
        <v>1607824</v>
      </c>
      <c r="G322" s="6">
        <f>SQRT(SUM($F$2:F322)/A322)</f>
        <v>1306.2855474451881</v>
      </c>
      <c r="H322" s="5">
        <f t="shared" si="19"/>
        <v>0</v>
      </c>
      <c r="I322" s="5">
        <f t="shared" si="20"/>
        <v>0</v>
      </c>
    </row>
    <row r="323" spans="1:9">
      <c r="A323">
        <v>322</v>
      </c>
      <c r="B323">
        <v>7</v>
      </c>
      <c r="C323">
        <v>5000</v>
      </c>
      <c r="D323">
        <v>3961</v>
      </c>
      <c r="E323" s="5">
        <f t="shared" ref="E323:E386" si="21">ABS(C323-D323)</f>
        <v>1039</v>
      </c>
      <c r="F323" s="5">
        <f t="shared" ref="F323:F386" si="22">POWER(E323,2)</f>
        <v>1079521</v>
      </c>
      <c r="G323" s="6">
        <f>SQRT(SUM($F$2:F323)/A323)</f>
        <v>1305.5401787708768</v>
      </c>
      <c r="H323" s="5">
        <f t="shared" ref="H323:H386" si="23">IF(ABS(E323)/C323&gt;0.2,0,1)</f>
        <v>0</v>
      </c>
      <c r="I323" s="5">
        <f t="shared" ref="I323:I386" si="24">IF(ABS(E323)/C323&gt;0.1,0,1)</f>
        <v>0</v>
      </c>
    </row>
    <row r="324" spans="1:9">
      <c r="A324">
        <v>323</v>
      </c>
      <c r="B324">
        <v>9</v>
      </c>
      <c r="C324">
        <v>5000</v>
      </c>
      <c r="D324">
        <v>7133</v>
      </c>
      <c r="E324" s="5">
        <f t="shared" si="21"/>
        <v>2133</v>
      </c>
      <c r="F324" s="5">
        <f t="shared" si="22"/>
        <v>4549689</v>
      </c>
      <c r="G324" s="6">
        <f>SQRT(SUM($F$2:F324)/A324)</f>
        <v>1308.9094673842226</v>
      </c>
      <c r="H324" s="5">
        <f t="shared" si="23"/>
        <v>0</v>
      </c>
      <c r="I324" s="5">
        <f t="shared" si="24"/>
        <v>0</v>
      </c>
    </row>
    <row r="325" spans="1:9">
      <c r="A325">
        <v>324</v>
      </c>
      <c r="B325">
        <v>6</v>
      </c>
      <c r="C325">
        <v>5000</v>
      </c>
      <c r="D325">
        <v>4912</v>
      </c>
      <c r="E325" s="5">
        <f t="shared" si="21"/>
        <v>88</v>
      </c>
      <c r="F325" s="5">
        <f t="shared" si="22"/>
        <v>7744</v>
      </c>
      <c r="G325" s="6">
        <f>SQRT(SUM($F$2:F325)/A325)</f>
        <v>1306.8971286747369</v>
      </c>
      <c r="H325" s="5">
        <f t="shared" si="23"/>
        <v>1</v>
      </c>
      <c r="I325" s="5">
        <f t="shared" si="24"/>
        <v>1</v>
      </c>
    </row>
    <row r="326" spans="1:9">
      <c r="A326">
        <v>325</v>
      </c>
      <c r="B326">
        <v>8</v>
      </c>
      <c r="C326">
        <v>5000</v>
      </c>
      <c r="D326">
        <v>5519</v>
      </c>
      <c r="E326" s="5">
        <f t="shared" si="21"/>
        <v>519</v>
      </c>
      <c r="F326" s="5">
        <f t="shared" si="22"/>
        <v>269361</v>
      </c>
      <c r="G326" s="6">
        <f>SQRT(SUM($F$2:F326)/A326)</f>
        <v>1305.2025071288303</v>
      </c>
      <c r="H326" s="5">
        <f t="shared" si="23"/>
        <v>1</v>
      </c>
      <c r="I326" s="5">
        <f t="shared" si="24"/>
        <v>0</v>
      </c>
    </row>
    <row r="327" spans="1:9">
      <c r="A327">
        <v>326</v>
      </c>
      <c r="B327">
        <v>7</v>
      </c>
      <c r="C327">
        <v>5000</v>
      </c>
      <c r="D327">
        <v>5185</v>
      </c>
      <c r="E327" s="5">
        <f t="shared" si="21"/>
        <v>185</v>
      </c>
      <c r="F327" s="5">
        <f t="shared" si="22"/>
        <v>34225</v>
      </c>
      <c r="G327" s="6">
        <f>SQRT(SUM($F$2:F327)/A327)</f>
        <v>1303.2394042482279</v>
      </c>
      <c r="H327" s="5">
        <f t="shared" si="23"/>
        <v>1</v>
      </c>
      <c r="I327" s="5">
        <f t="shared" si="24"/>
        <v>1</v>
      </c>
    </row>
    <row r="328" spans="1:9">
      <c r="A328">
        <v>327</v>
      </c>
      <c r="B328">
        <v>7</v>
      </c>
      <c r="C328">
        <v>5000</v>
      </c>
      <c r="D328">
        <v>4920</v>
      </c>
      <c r="E328" s="5">
        <f t="shared" si="21"/>
        <v>80</v>
      </c>
      <c r="F328" s="5">
        <f t="shared" si="22"/>
        <v>6400</v>
      </c>
      <c r="G328" s="6">
        <f>SQRT(SUM($F$2:F328)/A328)</f>
        <v>1301.2526780414678</v>
      </c>
      <c r="H328" s="5">
        <f t="shared" si="23"/>
        <v>1</v>
      </c>
      <c r="I328" s="5">
        <f t="shared" si="24"/>
        <v>1</v>
      </c>
    </row>
    <row r="329" spans="1:9">
      <c r="A329">
        <v>328</v>
      </c>
      <c r="B329">
        <v>8</v>
      </c>
      <c r="C329">
        <v>5000</v>
      </c>
      <c r="D329">
        <v>4621</v>
      </c>
      <c r="E329" s="5">
        <f t="shared" si="21"/>
        <v>379</v>
      </c>
      <c r="F329" s="5">
        <f t="shared" si="22"/>
        <v>143641</v>
      </c>
      <c r="G329" s="6">
        <f>SQRT(SUM($F$2:F329)/A329)</f>
        <v>1299.4360655355977</v>
      </c>
      <c r="H329" s="5">
        <f t="shared" si="23"/>
        <v>1</v>
      </c>
      <c r="I329" s="5">
        <f t="shared" si="24"/>
        <v>1</v>
      </c>
    </row>
    <row r="330" spans="1:9">
      <c r="A330">
        <v>329</v>
      </c>
      <c r="B330">
        <v>8</v>
      </c>
      <c r="C330">
        <v>5000</v>
      </c>
      <c r="D330">
        <v>4950</v>
      </c>
      <c r="E330" s="5">
        <f t="shared" si="21"/>
        <v>50</v>
      </c>
      <c r="F330" s="5">
        <f t="shared" si="22"/>
        <v>2500</v>
      </c>
      <c r="G330" s="6">
        <f>SQRT(SUM($F$2:F330)/A330)</f>
        <v>1297.4626641031491</v>
      </c>
      <c r="H330" s="5">
        <f t="shared" si="23"/>
        <v>1</v>
      </c>
      <c r="I330" s="5">
        <f t="shared" si="24"/>
        <v>1</v>
      </c>
    </row>
    <row r="331" spans="1:9">
      <c r="A331">
        <v>330</v>
      </c>
      <c r="B331">
        <v>8</v>
      </c>
      <c r="C331">
        <v>5000</v>
      </c>
      <c r="D331">
        <v>1898</v>
      </c>
      <c r="E331" s="5">
        <f t="shared" si="21"/>
        <v>3102</v>
      </c>
      <c r="F331" s="5">
        <f t="shared" si="22"/>
        <v>9622404</v>
      </c>
      <c r="G331" s="6">
        <f>SQRT(SUM($F$2:F331)/A331)</f>
        <v>1306.7007783890022</v>
      </c>
      <c r="H331" s="5">
        <f t="shared" si="23"/>
        <v>0</v>
      </c>
      <c r="I331" s="5">
        <f t="shared" si="24"/>
        <v>0</v>
      </c>
    </row>
    <row r="332" spans="1:9">
      <c r="A332">
        <v>331</v>
      </c>
      <c r="B332">
        <v>12</v>
      </c>
      <c r="C332">
        <v>5000</v>
      </c>
      <c r="D332">
        <v>5504</v>
      </c>
      <c r="E332" s="5">
        <f t="shared" si="21"/>
        <v>504</v>
      </c>
      <c r="F332" s="5">
        <f t="shared" si="22"/>
        <v>254016</v>
      </c>
      <c r="G332" s="6">
        <f>SQRT(SUM($F$2:F332)/A332)</f>
        <v>1305.0194764205085</v>
      </c>
      <c r="H332" s="5">
        <f t="shared" si="23"/>
        <v>1</v>
      </c>
      <c r="I332" s="5">
        <f t="shared" si="24"/>
        <v>0</v>
      </c>
    </row>
    <row r="333" spans="1:9">
      <c r="A333">
        <v>332</v>
      </c>
      <c r="B333">
        <v>8</v>
      </c>
      <c r="C333">
        <v>5000</v>
      </c>
      <c r="D333">
        <v>3925</v>
      </c>
      <c r="E333" s="5">
        <f t="shared" si="21"/>
        <v>1075</v>
      </c>
      <c r="F333" s="5">
        <f t="shared" si="22"/>
        <v>1155625</v>
      </c>
      <c r="G333" s="6">
        <f>SQRT(SUM($F$2:F333)/A333)</f>
        <v>1304.3875518963559</v>
      </c>
      <c r="H333" s="5">
        <f t="shared" si="23"/>
        <v>0</v>
      </c>
      <c r="I333" s="5">
        <f t="shared" si="24"/>
        <v>0</v>
      </c>
    </row>
    <row r="334" spans="1:9">
      <c r="A334">
        <v>333</v>
      </c>
      <c r="B334">
        <v>10</v>
      </c>
      <c r="C334">
        <v>5000</v>
      </c>
      <c r="D334">
        <v>5358</v>
      </c>
      <c r="E334" s="5">
        <f t="shared" si="21"/>
        <v>358</v>
      </c>
      <c r="F334" s="5">
        <f t="shared" si="22"/>
        <v>128164</v>
      </c>
      <c r="G334" s="6">
        <f>SQRT(SUM($F$2:F334)/A334)</f>
        <v>1302.5752847234482</v>
      </c>
      <c r="H334" s="5">
        <f t="shared" si="23"/>
        <v>1</v>
      </c>
      <c r="I334" s="5">
        <f t="shared" si="24"/>
        <v>1</v>
      </c>
    </row>
    <row r="335" spans="1:9">
      <c r="A335">
        <v>334</v>
      </c>
      <c r="B335">
        <v>8</v>
      </c>
      <c r="C335">
        <v>5000</v>
      </c>
      <c r="D335">
        <v>5084</v>
      </c>
      <c r="E335" s="5">
        <f t="shared" si="21"/>
        <v>84</v>
      </c>
      <c r="F335" s="5">
        <f t="shared" si="22"/>
        <v>7056</v>
      </c>
      <c r="G335" s="6">
        <f>SQRT(SUM($F$2:F335)/A335)</f>
        <v>1300.631981345301</v>
      </c>
      <c r="H335" s="5">
        <f t="shared" si="23"/>
        <v>1</v>
      </c>
      <c r="I335" s="5">
        <f t="shared" si="24"/>
        <v>1</v>
      </c>
    </row>
    <row r="336" spans="1:9">
      <c r="A336">
        <v>335</v>
      </c>
      <c r="B336">
        <v>9</v>
      </c>
      <c r="C336">
        <v>5000</v>
      </c>
      <c r="D336">
        <v>6357</v>
      </c>
      <c r="E336" s="5">
        <f t="shared" si="21"/>
        <v>1357</v>
      </c>
      <c r="F336" s="5">
        <f t="shared" si="22"/>
        <v>1841449</v>
      </c>
      <c r="G336" s="6">
        <f>SQRT(SUM($F$2:F336)/A336)</f>
        <v>1300.8038788930803</v>
      </c>
      <c r="H336" s="5">
        <f t="shared" si="23"/>
        <v>0</v>
      </c>
      <c r="I336" s="5">
        <f t="shared" si="24"/>
        <v>0</v>
      </c>
    </row>
    <row r="337" spans="1:9">
      <c r="A337">
        <v>336</v>
      </c>
      <c r="B337">
        <v>7</v>
      </c>
      <c r="C337">
        <v>5000</v>
      </c>
      <c r="D337">
        <v>5218</v>
      </c>
      <c r="E337" s="5">
        <f t="shared" si="21"/>
        <v>218</v>
      </c>
      <c r="F337" s="5">
        <f t="shared" si="22"/>
        <v>47524</v>
      </c>
      <c r="G337" s="6">
        <f>SQRT(SUM($F$2:F337)/A337)</f>
        <v>1298.9211629271424</v>
      </c>
      <c r="H337" s="5">
        <f t="shared" si="23"/>
        <v>1</v>
      </c>
      <c r="I337" s="5">
        <f t="shared" si="24"/>
        <v>1</v>
      </c>
    </row>
    <row r="338" spans="1:9">
      <c r="A338">
        <v>337</v>
      </c>
      <c r="B338">
        <v>8</v>
      </c>
      <c r="C338">
        <v>5000</v>
      </c>
      <c r="D338">
        <v>6190</v>
      </c>
      <c r="E338" s="5">
        <f t="shared" si="21"/>
        <v>1190</v>
      </c>
      <c r="F338" s="5">
        <f t="shared" si="22"/>
        <v>1416100</v>
      </c>
      <c r="G338" s="6">
        <f>SQRT(SUM($F$2:F338)/A338)</f>
        <v>1298.6114691371245</v>
      </c>
      <c r="H338" s="5">
        <f t="shared" si="23"/>
        <v>0</v>
      </c>
      <c r="I338" s="5">
        <f t="shared" si="24"/>
        <v>0</v>
      </c>
    </row>
    <row r="339" spans="1:9">
      <c r="A339">
        <v>338</v>
      </c>
      <c r="B339">
        <v>7</v>
      </c>
      <c r="C339">
        <v>5000</v>
      </c>
      <c r="D339">
        <v>5294</v>
      </c>
      <c r="E339" s="5">
        <f t="shared" si="21"/>
        <v>294</v>
      </c>
      <c r="F339" s="5">
        <f t="shared" si="22"/>
        <v>86436</v>
      </c>
      <c r="G339" s="6">
        <f>SQRT(SUM($F$2:F339)/A339)</f>
        <v>1296.7876275194694</v>
      </c>
      <c r="H339" s="5">
        <f t="shared" si="23"/>
        <v>1</v>
      </c>
      <c r="I339" s="5">
        <f t="shared" si="24"/>
        <v>1</v>
      </c>
    </row>
    <row r="340" spans="1:9">
      <c r="A340">
        <v>339</v>
      </c>
      <c r="B340">
        <v>8</v>
      </c>
      <c r="C340">
        <v>5000</v>
      </c>
      <c r="D340">
        <v>5670</v>
      </c>
      <c r="E340" s="5">
        <f t="shared" si="21"/>
        <v>670</v>
      </c>
      <c r="F340" s="5">
        <f t="shared" si="22"/>
        <v>448900</v>
      </c>
      <c r="G340" s="6">
        <f>SQRT(SUM($F$2:F340)/A340)</f>
        <v>1295.3847676135426</v>
      </c>
      <c r="H340" s="5">
        <f t="shared" si="23"/>
        <v>1</v>
      </c>
      <c r="I340" s="5">
        <f t="shared" si="24"/>
        <v>0</v>
      </c>
    </row>
    <row r="341" spans="1:9">
      <c r="A341">
        <v>340</v>
      </c>
      <c r="B341">
        <v>7</v>
      </c>
      <c r="C341">
        <v>5000</v>
      </c>
      <c r="D341">
        <v>5397</v>
      </c>
      <c r="E341" s="5">
        <f t="shared" si="21"/>
        <v>397</v>
      </c>
      <c r="F341" s="5">
        <f t="shared" si="22"/>
        <v>157609</v>
      </c>
      <c r="G341" s="6">
        <f>SQRT(SUM($F$2:F341)/A341)</f>
        <v>1293.6575644727809</v>
      </c>
      <c r="H341" s="5">
        <f t="shared" si="23"/>
        <v>1</v>
      </c>
      <c r="I341" s="5">
        <f t="shared" si="24"/>
        <v>1</v>
      </c>
    </row>
    <row r="342" spans="1:9">
      <c r="A342">
        <v>341</v>
      </c>
      <c r="B342">
        <v>7</v>
      </c>
      <c r="C342">
        <v>5000</v>
      </c>
      <c r="D342">
        <v>5490</v>
      </c>
      <c r="E342" s="5">
        <f t="shared" si="21"/>
        <v>490</v>
      </c>
      <c r="F342" s="5">
        <f t="shared" si="22"/>
        <v>240100</v>
      </c>
      <c r="G342" s="6">
        <f>SQRT(SUM($F$2:F342)/A342)</f>
        <v>1292.0318218755306</v>
      </c>
      <c r="H342" s="5">
        <f t="shared" si="23"/>
        <v>1</v>
      </c>
      <c r="I342" s="5">
        <f t="shared" si="24"/>
        <v>1</v>
      </c>
    </row>
    <row r="343" spans="1:9">
      <c r="A343">
        <v>342</v>
      </c>
      <c r="B343">
        <v>7</v>
      </c>
      <c r="C343">
        <v>5000</v>
      </c>
      <c r="D343">
        <v>5576</v>
      </c>
      <c r="E343" s="5">
        <f t="shared" si="21"/>
        <v>576</v>
      </c>
      <c r="F343" s="5">
        <f t="shared" si="22"/>
        <v>331776</v>
      </c>
      <c r="G343" s="6">
        <f>SQRT(SUM($F$2:F343)/A343)</f>
        <v>1290.5174174254148</v>
      </c>
      <c r="H343" s="5">
        <f t="shared" si="23"/>
        <v>1</v>
      </c>
      <c r="I343" s="5">
        <f t="shared" si="24"/>
        <v>0</v>
      </c>
    </row>
    <row r="344" spans="1:9">
      <c r="A344">
        <v>343</v>
      </c>
      <c r="B344">
        <v>7</v>
      </c>
      <c r="C344">
        <v>5000</v>
      </c>
      <c r="D344">
        <v>5100</v>
      </c>
      <c r="E344" s="5">
        <f t="shared" si="21"/>
        <v>100</v>
      </c>
      <c r="F344" s="5">
        <f t="shared" si="22"/>
        <v>10000</v>
      </c>
      <c r="G344" s="6">
        <f>SQRT(SUM($F$2:F344)/A344)</f>
        <v>1288.6461356686564</v>
      </c>
      <c r="H344" s="5">
        <f t="shared" si="23"/>
        <v>1</v>
      </c>
      <c r="I344" s="5">
        <f t="shared" si="24"/>
        <v>1</v>
      </c>
    </row>
    <row r="345" spans="1:9">
      <c r="A345">
        <v>344</v>
      </c>
      <c r="B345">
        <v>7</v>
      </c>
      <c r="C345">
        <v>5000</v>
      </c>
      <c r="D345">
        <v>5810</v>
      </c>
      <c r="E345" s="5">
        <f t="shared" si="21"/>
        <v>810</v>
      </c>
      <c r="F345" s="5">
        <f t="shared" si="22"/>
        <v>656100</v>
      </c>
      <c r="G345" s="6">
        <f>SQRT(SUM($F$2:F345)/A345)</f>
        <v>1287.5126325864796</v>
      </c>
      <c r="H345" s="5">
        <f t="shared" si="23"/>
        <v>1</v>
      </c>
      <c r="I345" s="5">
        <f t="shared" si="24"/>
        <v>0</v>
      </c>
    </row>
    <row r="346" spans="1:9">
      <c r="A346">
        <v>345</v>
      </c>
      <c r="B346">
        <v>6</v>
      </c>
      <c r="C346">
        <v>5000</v>
      </c>
      <c r="D346">
        <v>4561</v>
      </c>
      <c r="E346" s="5">
        <f t="shared" si="21"/>
        <v>439</v>
      </c>
      <c r="F346" s="5">
        <f t="shared" si="22"/>
        <v>192721</v>
      </c>
      <c r="G346" s="6">
        <f>SQRT(SUM($F$2:F346)/A346)</f>
        <v>1285.8625492843992</v>
      </c>
      <c r="H346" s="5">
        <f t="shared" si="23"/>
        <v>1</v>
      </c>
      <c r="I346" s="5">
        <f t="shared" si="24"/>
        <v>1</v>
      </c>
    </row>
    <row r="347" spans="1:9">
      <c r="A347">
        <v>346</v>
      </c>
      <c r="B347">
        <v>8</v>
      </c>
      <c r="C347">
        <v>5000</v>
      </c>
      <c r="D347">
        <v>5612</v>
      </c>
      <c r="E347" s="5">
        <f t="shared" si="21"/>
        <v>612</v>
      </c>
      <c r="F347" s="5">
        <f t="shared" si="22"/>
        <v>374544</v>
      </c>
      <c r="G347" s="6">
        <f>SQRT(SUM($F$2:F347)/A347)</f>
        <v>1284.4244848279068</v>
      </c>
      <c r="H347" s="5">
        <f t="shared" si="23"/>
        <v>1</v>
      </c>
      <c r="I347" s="5">
        <f t="shared" si="24"/>
        <v>0</v>
      </c>
    </row>
    <row r="348" spans="1:9">
      <c r="A348">
        <v>347</v>
      </c>
      <c r="B348">
        <v>6</v>
      </c>
      <c r="C348">
        <v>5000</v>
      </c>
      <c r="D348">
        <v>4163</v>
      </c>
      <c r="E348" s="5">
        <f t="shared" si="21"/>
        <v>837</v>
      </c>
      <c r="F348" s="5">
        <f t="shared" si="22"/>
        <v>700569</v>
      </c>
      <c r="G348" s="6">
        <f>SQRT(SUM($F$2:F348)/A348)</f>
        <v>1283.3592155280187</v>
      </c>
      <c r="H348" s="5">
        <f t="shared" si="23"/>
        <v>1</v>
      </c>
      <c r="I348" s="5">
        <f t="shared" si="24"/>
        <v>0</v>
      </c>
    </row>
    <row r="349" spans="1:9">
      <c r="A349">
        <v>348</v>
      </c>
      <c r="B349">
        <v>8</v>
      </c>
      <c r="C349">
        <v>5000</v>
      </c>
      <c r="D349">
        <v>5185</v>
      </c>
      <c r="E349" s="5">
        <f t="shared" si="21"/>
        <v>185</v>
      </c>
      <c r="F349" s="5">
        <f t="shared" si="22"/>
        <v>34225</v>
      </c>
      <c r="G349" s="6">
        <f>SQRT(SUM($F$2:F349)/A349)</f>
        <v>1281.5523531670667</v>
      </c>
      <c r="H349" s="5">
        <f t="shared" si="23"/>
        <v>1</v>
      </c>
      <c r="I349" s="5">
        <f t="shared" si="24"/>
        <v>1</v>
      </c>
    </row>
    <row r="350" spans="1:9">
      <c r="A350">
        <v>349</v>
      </c>
      <c r="B350">
        <v>7</v>
      </c>
      <c r="C350">
        <v>5000</v>
      </c>
      <c r="D350">
        <v>5139</v>
      </c>
      <c r="E350" s="5">
        <f t="shared" si="21"/>
        <v>139</v>
      </c>
      <c r="F350" s="5">
        <f t="shared" si="22"/>
        <v>19321</v>
      </c>
      <c r="G350" s="6">
        <f>SQRT(SUM($F$2:F350)/A350)</f>
        <v>1279.7366312144879</v>
      </c>
      <c r="H350" s="5">
        <f t="shared" si="23"/>
        <v>1</v>
      </c>
      <c r="I350" s="5">
        <f t="shared" si="24"/>
        <v>1</v>
      </c>
    </row>
    <row r="351" spans="1:9">
      <c r="A351">
        <v>350</v>
      </c>
      <c r="B351">
        <v>7</v>
      </c>
      <c r="C351">
        <v>5000</v>
      </c>
      <c r="D351">
        <v>5068</v>
      </c>
      <c r="E351" s="5">
        <f t="shared" si="21"/>
        <v>68</v>
      </c>
      <c r="F351" s="5">
        <f t="shared" si="22"/>
        <v>4624</v>
      </c>
      <c r="G351" s="6">
        <f>SQRT(SUM($F$2:F351)/A351)</f>
        <v>1277.9122974601974</v>
      </c>
      <c r="H351" s="5">
        <f t="shared" si="23"/>
        <v>1</v>
      </c>
      <c r="I351" s="5">
        <f t="shared" si="24"/>
        <v>1</v>
      </c>
    </row>
    <row r="352" spans="1:9">
      <c r="A352">
        <v>351</v>
      </c>
      <c r="B352">
        <v>7</v>
      </c>
      <c r="C352">
        <v>5000</v>
      </c>
      <c r="D352">
        <v>4778</v>
      </c>
      <c r="E352" s="5">
        <f t="shared" si="21"/>
        <v>222</v>
      </c>
      <c r="F352" s="5">
        <f t="shared" si="22"/>
        <v>49284</v>
      </c>
      <c r="G352" s="6">
        <f>SQRT(SUM($F$2:F352)/A352)</f>
        <v>1276.1456257495295</v>
      </c>
      <c r="H352" s="5">
        <f t="shared" si="23"/>
        <v>1</v>
      </c>
      <c r="I352" s="5">
        <f t="shared" si="24"/>
        <v>1</v>
      </c>
    </row>
    <row r="353" spans="1:9">
      <c r="A353">
        <v>352</v>
      </c>
      <c r="B353">
        <v>7</v>
      </c>
      <c r="C353">
        <v>5000</v>
      </c>
      <c r="D353">
        <v>4519</v>
      </c>
      <c r="E353" s="5">
        <f t="shared" si="21"/>
        <v>481</v>
      </c>
      <c r="F353" s="5">
        <f t="shared" si="22"/>
        <v>231361</v>
      </c>
      <c r="G353" s="6">
        <f>SQRT(SUM($F$2:F353)/A353)</f>
        <v>1274.5894938531815</v>
      </c>
      <c r="H353" s="5">
        <f t="shared" si="23"/>
        <v>1</v>
      </c>
      <c r="I353" s="5">
        <f t="shared" si="24"/>
        <v>1</v>
      </c>
    </row>
    <row r="354" spans="1:9">
      <c r="A354">
        <v>353</v>
      </c>
      <c r="B354">
        <v>8</v>
      </c>
      <c r="C354">
        <v>5000</v>
      </c>
      <c r="D354">
        <v>5785</v>
      </c>
      <c r="E354" s="5">
        <f t="shared" si="21"/>
        <v>785</v>
      </c>
      <c r="F354" s="5">
        <f t="shared" si="22"/>
        <v>616225</v>
      </c>
      <c r="G354" s="6">
        <f>SQRT(SUM($F$2:F354)/A354)</f>
        <v>1273.4684341165344</v>
      </c>
      <c r="H354" s="5">
        <f t="shared" si="23"/>
        <v>1</v>
      </c>
      <c r="I354" s="5">
        <f t="shared" si="24"/>
        <v>0</v>
      </c>
    </row>
    <row r="355" spans="1:9">
      <c r="A355">
        <v>354</v>
      </c>
      <c r="B355">
        <v>6</v>
      </c>
      <c r="C355">
        <v>5000</v>
      </c>
      <c r="D355">
        <v>5195</v>
      </c>
      <c r="E355" s="5">
        <f t="shared" si="21"/>
        <v>195</v>
      </c>
      <c r="F355" s="5">
        <f t="shared" si="22"/>
        <v>38025</v>
      </c>
      <c r="G355" s="6">
        <f>SQRT(SUM($F$2:F355)/A355)</f>
        <v>1271.7107111164714</v>
      </c>
      <c r="H355" s="5">
        <f t="shared" si="23"/>
        <v>1</v>
      </c>
      <c r="I355" s="5">
        <f t="shared" si="24"/>
        <v>1</v>
      </c>
    </row>
    <row r="356" spans="1:9">
      <c r="A356">
        <v>355</v>
      </c>
      <c r="B356">
        <v>7</v>
      </c>
      <c r="C356">
        <v>5000</v>
      </c>
      <c r="D356">
        <v>4893</v>
      </c>
      <c r="E356" s="5">
        <f t="shared" si="21"/>
        <v>107</v>
      </c>
      <c r="F356" s="5">
        <f t="shared" si="22"/>
        <v>11449</v>
      </c>
      <c r="G356" s="6">
        <f>SQRT(SUM($F$2:F356)/A356)</f>
        <v>1269.9310040035946</v>
      </c>
      <c r="H356" s="5">
        <f t="shared" si="23"/>
        <v>1</v>
      </c>
      <c r="I356" s="5">
        <f t="shared" si="24"/>
        <v>1</v>
      </c>
    </row>
    <row r="357" spans="1:9">
      <c r="A357">
        <v>356</v>
      </c>
      <c r="B357">
        <v>7</v>
      </c>
      <c r="C357">
        <v>5000</v>
      </c>
      <c r="D357">
        <v>4410</v>
      </c>
      <c r="E357" s="5">
        <f t="shared" si="21"/>
        <v>590</v>
      </c>
      <c r="F357" s="5">
        <f t="shared" si="22"/>
        <v>348100</v>
      </c>
      <c r="G357" s="6">
        <f>SQRT(SUM($F$2:F357)/A357)</f>
        <v>1268.5316070962706</v>
      </c>
      <c r="H357" s="5">
        <f t="shared" si="23"/>
        <v>1</v>
      </c>
      <c r="I357" s="5">
        <f t="shared" si="24"/>
        <v>0</v>
      </c>
    </row>
    <row r="358" spans="1:9">
      <c r="A358">
        <v>357</v>
      </c>
      <c r="B358">
        <v>8</v>
      </c>
      <c r="C358">
        <v>5000</v>
      </c>
      <c r="D358">
        <v>5493</v>
      </c>
      <c r="E358" s="5">
        <f t="shared" si="21"/>
        <v>493</v>
      </c>
      <c r="F358" s="5">
        <f t="shared" si="22"/>
        <v>243049</v>
      </c>
      <c r="G358" s="6">
        <f>SQRT(SUM($F$2:F358)/A358)</f>
        <v>1267.0223999222594</v>
      </c>
      <c r="H358" s="5">
        <f t="shared" si="23"/>
        <v>1</v>
      </c>
      <c r="I358" s="5">
        <f t="shared" si="24"/>
        <v>1</v>
      </c>
    </row>
    <row r="359" spans="1:9">
      <c r="A359">
        <v>358</v>
      </c>
      <c r="B359">
        <v>7</v>
      </c>
      <c r="C359">
        <v>5000</v>
      </c>
      <c r="D359">
        <v>4252</v>
      </c>
      <c r="E359" s="5">
        <f t="shared" si="21"/>
        <v>748</v>
      </c>
      <c r="F359" s="5">
        <f t="shared" si="22"/>
        <v>559504</v>
      </c>
      <c r="G359" s="6">
        <f>SQRT(SUM($F$2:F359)/A359)</f>
        <v>1265.869035959533</v>
      </c>
      <c r="H359" s="5">
        <f t="shared" si="23"/>
        <v>1</v>
      </c>
      <c r="I359" s="5">
        <f t="shared" si="24"/>
        <v>0</v>
      </c>
    </row>
    <row r="360" spans="1:9">
      <c r="A360">
        <v>359</v>
      </c>
      <c r="B360">
        <v>8</v>
      </c>
      <c r="C360">
        <v>5000</v>
      </c>
      <c r="D360">
        <v>5213</v>
      </c>
      <c r="E360" s="5">
        <f t="shared" si="21"/>
        <v>213</v>
      </c>
      <c r="F360" s="5">
        <f t="shared" si="22"/>
        <v>45369</v>
      </c>
      <c r="G360" s="6">
        <f>SQRT(SUM($F$2:F360)/A360)</f>
        <v>1264.1547430930598</v>
      </c>
      <c r="H360" s="5">
        <f t="shared" si="23"/>
        <v>1</v>
      </c>
      <c r="I360" s="5">
        <f t="shared" si="24"/>
        <v>1</v>
      </c>
    </row>
    <row r="361" spans="1:9">
      <c r="A361">
        <v>360</v>
      </c>
      <c r="B361">
        <v>7</v>
      </c>
      <c r="C361">
        <v>5000</v>
      </c>
      <c r="D361">
        <v>4871</v>
      </c>
      <c r="E361" s="5">
        <f t="shared" si="21"/>
        <v>129</v>
      </c>
      <c r="F361" s="5">
        <f t="shared" si="22"/>
        <v>16641</v>
      </c>
      <c r="G361" s="6">
        <f>SQRT(SUM($F$2:F361)/A361)</f>
        <v>1262.4160599158001</v>
      </c>
      <c r="H361" s="5">
        <f t="shared" si="23"/>
        <v>1</v>
      </c>
      <c r="I361" s="5">
        <f t="shared" si="24"/>
        <v>1</v>
      </c>
    </row>
    <row r="362" spans="1:9">
      <c r="A362">
        <v>361</v>
      </c>
      <c r="B362">
        <v>7</v>
      </c>
      <c r="C362">
        <v>5000</v>
      </c>
      <c r="D362">
        <v>5487</v>
      </c>
      <c r="E362" s="5">
        <f t="shared" si="21"/>
        <v>487</v>
      </c>
      <c r="F362" s="5">
        <f t="shared" si="22"/>
        <v>237169</v>
      </c>
      <c r="G362" s="6">
        <f>SQRT(SUM($F$2:F362)/A362)</f>
        <v>1260.9268894343616</v>
      </c>
      <c r="H362" s="5">
        <f t="shared" si="23"/>
        <v>1</v>
      </c>
      <c r="I362" s="5">
        <f t="shared" si="24"/>
        <v>1</v>
      </c>
    </row>
    <row r="363" spans="1:9">
      <c r="A363">
        <v>362</v>
      </c>
      <c r="B363">
        <v>7</v>
      </c>
      <c r="C363">
        <v>5000</v>
      </c>
      <c r="D363">
        <v>4790</v>
      </c>
      <c r="E363" s="5">
        <f t="shared" si="21"/>
        <v>210</v>
      </c>
      <c r="F363" s="5">
        <f t="shared" si="22"/>
        <v>44100</v>
      </c>
      <c r="G363" s="6">
        <f>SQRT(SUM($F$2:F363)/A363)</f>
        <v>1259.2324462112467</v>
      </c>
      <c r="H363" s="5">
        <f t="shared" si="23"/>
        <v>1</v>
      </c>
      <c r="I363" s="5">
        <f t="shared" si="24"/>
        <v>1</v>
      </c>
    </row>
    <row r="364" spans="1:9">
      <c r="A364">
        <v>363</v>
      </c>
      <c r="B364">
        <v>7</v>
      </c>
      <c r="C364">
        <v>5000</v>
      </c>
      <c r="D364">
        <v>4997</v>
      </c>
      <c r="E364" s="5">
        <f t="shared" si="21"/>
        <v>3</v>
      </c>
      <c r="F364" s="5">
        <f t="shared" si="22"/>
        <v>9</v>
      </c>
      <c r="G364" s="6">
        <f>SQRT(SUM($F$2:F364)/A364)</f>
        <v>1257.4967799223789</v>
      </c>
      <c r="H364" s="5">
        <f t="shared" si="23"/>
        <v>1</v>
      </c>
      <c r="I364" s="5">
        <f t="shared" si="24"/>
        <v>1</v>
      </c>
    </row>
    <row r="365" spans="1:9">
      <c r="A365">
        <v>364</v>
      </c>
      <c r="B365">
        <v>7</v>
      </c>
      <c r="C365">
        <v>5000</v>
      </c>
      <c r="D365">
        <v>5581</v>
      </c>
      <c r="E365" s="5">
        <f t="shared" si="21"/>
        <v>581</v>
      </c>
      <c r="F365" s="5">
        <f t="shared" si="22"/>
        <v>337561</v>
      </c>
      <c r="G365" s="6">
        <f>SQRT(SUM($F$2:F365)/A365)</f>
        <v>1256.1374491705878</v>
      </c>
      <c r="H365" s="5">
        <f t="shared" si="23"/>
        <v>1</v>
      </c>
      <c r="I365" s="5">
        <f t="shared" si="24"/>
        <v>0</v>
      </c>
    </row>
    <row r="366" spans="1:9">
      <c r="A366">
        <v>365</v>
      </c>
      <c r="B366">
        <v>6</v>
      </c>
      <c r="C366">
        <v>5000</v>
      </c>
      <c r="D366">
        <v>4900</v>
      </c>
      <c r="E366" s="5">
        <f t="shared" si="21"/>
        <v>100</v>
      </c>
      <c r="F366" s="5">
        <f t="shared" si="22"/>
        <v>10000</v>
      </c>
      <c r="G366" s="6">
        <f>SQRT(SUM($F$2:F366)/A366)</f>
        <v>1254.4264530164362</v>
      </c>
      <c r="H366" s="5">
        <f t="shared" si="23"/>
        <v>1</v>
      </c>
      <c r="I366" s="5">
        <f t="shared" si="24"/>
        <v>1</v>
      </c>
    </row>
    <row r="367" spans="1:9">
      <c r="A367">
        <v>366</v>
      </c>
      <c r="B367">
        <v>7</v>
      </c>
      <c r="C367">
        <v>5000</v>
      </c>
      <c r="D367">
        <v>5536</v>
      </c>
      <c r="E367" s="5">
        <f t="shared" si="21"/>
        <v>536</v>
      </c>
      <c r="F367" s="5">
        <f t="shared" si="22"/>
        <v>287296</v>
      </c>
      <c r="G367" s="6">
        <f>SQRT(SUM($F$2:F367)/A367)</f>
        <v>1253.0248494040507</v>
      </c>
      <c r="H367" s="5">
        <f t="shared" si="23"/>
        <v>1</v>
      </c>
      <c r="I367" s="5">
        <f t="shared" si="24"/>
        <v>0</v>
      </c>
    </row>
    <row r="368" spans="1:9">
      <c r="A368">
        <v>367</v>
      </c>
      <c r="B368">
        <v>6</v>
      </c>
      <c r="C368">
        <v>5000</v>
      </c>
      <c r="D368">
        <v>4310</v>
      </c>
      <c r="E368" s="5">
        <f t="shared" si="21"/>
        <v>690</v>
      </c>
      <c r="F368" s="5">
        <f t="shared" si="22"/>
        <v>476100</v>
      </c>
      <c r="G368" s="6">
        <f>SQRT(SUM($F$2:F368)/A368)</f>
        <v>1251.8348233964896</v>
      </c>
      <c r="H368" s="5">
        <f t="shared" si="23"/>
        <v>1</v>
      </c>
      <c r="I368" s="5">
        <f t="shared" si="24"/>
        <v>0</v>
      </c>
    </row>
    <row r="369" spans="1:9">
      <c r="A369">
        <v>368</v>
      </c>
      <c r="B369">
        <v>8</v>
      </c>
      <c r="C369">
        <v>5000</v>
      </c>
      <c r="D369">
        <v>4883</v>
      </c>
      <c r="E369" s="5">
        <f t="shared" si="21"/>
        <v>117</v>
      </c>
      <c r="F369" s="5">
        <f t="shared" si="22"/>
        <v>13689</v>
      </c>
      <c r="G369" s="6">
        <f>SQRT(SUM($F$2:F369)/A369)</f>
        <v>1250.147681493462</v>
      </c>
      <c r="H369" s="5">
        <f t="shared" si="23"/>
        <v>1</v>
      </c>
      <c r="I369" s="5">
        <f t="shared" si="24"/>
        <v>1</v>
      </c>
    </row>
    <row r="370" spans="1:9">
      <c r="A370">
        <v>369</v>
      </c>
      <c r="B370">
        <v>7</v>
      </c>
      <c r="C370">
        <v>5000</v>
      </c>
      <c r="D370">
        <v>4570</v>
      </c>
      <c r="E370" s="5">
        <f t="shared" si="21"/>
        <v>430</v>
      </c>
      <c r="F370" s="5">
        <f t="shared" si="22"/>
        <v>184900</v>
      </c>
      <c r="G370" s="6">
        <f>SQRT(SUM($F$2:F370)/A370)</f>
        <v>1248.6532311250053</v>
      </c>
      <c r="H370" s="5">
        <f t="shared" si="23"/>
        <v>1</v>
      </c>
      <c r="I370" s="5">
        <f t="shared" si="24"/>
        <v>1</v>
      </c>
    </row>
    <row r="371" spans="1:9">
      <c r="A371">
        <v>370</v>
      </c>
      <c r="B371">
        <v>8</v>
      </c>
      <c r="C371">
        <v>5000</v>
      </c>
      <c r="D371">
        <v>5436</v>
      </c>
      <c r="E371" s="5">
        <f t="shared" si="21"/>
        <v>436</v>
      </c>
      <c r="F371" s="5">
        <f t="shared" si="22"/>
        <v>190096</v>
      </c>
      <c r="G371" s="6">
        <f>SQRT(SUM($F$2:F371)/A371)</f>
        <v>1247.1707126478261</v>
      </c>
      <c r="H371" s="5">
        <f t="shared" si="23"/>
        <v>1</v>
      </c>
      <c r="I371" s="5">
        <f t="shared" si="24"/>
        <v>1</v>
      </c>
    </row>
    <row r="372" spans="1:9">
      <c r="A372">
        <v>371</v>
      </c>
      <c r="B372">
        <v>7</v>
      </c>
      <c r="C372">
        <v>5000</v>
      </c>
      <c r="D372">
        <v>4090</v>
      </c>
      <c r="E372" s="5">
        <f t="shared" si="21"/>
        <v>910</v>
      </c>
      <c r="F372" s="5">
        <f t="shared" si="22"/>
        <v>828100</v>
      </c>
      <c r="G372" s="6">
        <f>SQRT(SUM($F$2:F372)/A372)</f>
        <v>1246.384497401938</v>
      </c>
      <c r="H372" s="5">
        <f t="shared" si="23"/>
        <v>1</v>
      </c>
      <c r="I372" s="5">
        <f t="shared" si="24"/>
        <v>0</v>
      </c>
    </row>
    <row r="373" spans="1:9">
      <c r="A373">
        <v>372</v>
      </c>
      <c r="B373">
        <v>8</v>
      </c>
      <c r="C373">
        <v>5000</v>
      </c>
      <c r="D373">
        <v>5567</v>
      </c>
      <c r="E373" s="5">
        <f t="shared" si="21"/>
        <v>567</v>
      </c>
      <c r="F373" s="5">
        <f t="shared" si="22"/>
        <v>321489</v>
      </c>
      <c r="G373" s="6">
        <f>SQRT(SUM($F$2:F373)/A373)</f>
        <v>1245.0552304543444</v>
      </c>
      <c r="H373" s="5">
        <f t="shared" si="23"/>
        <v>1</v>
      </c>
      <c r="I373" s="5">
        <f t="shared" si="24"/>
        <v>0</v>
      </c>
    </row>
    <row r="374" spans="1:9">
      <c r="A374">
        <v>373</v>
      </c>
      <c r="B374">
        <v>7</v>
      </c>
      <c r="C374">
        <v>5000</v>
      </c>
      <c r="D374">
        <v>4868</v>
      </c>
      <c r="E374" s="5">
        <f t="shared" si="21"/>
        <v>132</v>
      </c>
      <c r="F374" s="5">
        <f t="shared" si="22"/>
        <v>17424</v>
      </c>
      <c r="G374" s="6">
        <f>SQRT(SUM($F$2:F374)/A374)</f>
        <v>1243.4039200159343</v>
      </c>
      <c r="H374" s="5">
        <f t="shared" si="23"/>
        <v>1</v>
      </c>
      <c r="I374" s="5">
        <f t="shared" si="24"/>
        <v>1</v>
      </c>
    </row>
    <row r="375" spans="1:9">
      <c r="A375">
        <v>374</v>
      </c>
      <c r="B375">
        <v>7</v>
      </c>
      <c r="C375">
        <v>5000</v>
      </c>
      <c r="D375">
        <v>5259</v>
      </c>
      <c r="E375" s="5">
        <f t="shared" si="21"/>
        <v>259</v>
      </c>
      <c r="F375" s="5">
        <f t="shared" si="22"/>
        <v>67081</v>
      </c>
      <c r="G375" s="6">
        <f>SQRT(SUM($F$2:F375)/A375)</f>
        <v>1241.8127221519337</v>
      </c>
      <c r="H375" s="5">
        <f t="shared" si="23"/>
        <v>1</v>
      </c>
      <c r="I375" s="5">
        <f t="shared" si="24"/>
        <v>1</v>
      </c>
    </row>
    <row r="376" spans="1:9">
      <c r="A376">
        <v>375</v>
      </c>
      <c r="B376">
        <v>7</v>
      </c>
      <c r="C376">
        <v>5000</v>
      </c>
      <c r="D376">
        <v>4614</v>
      </c>
      <c r="E376" s="5">
        <f t="shared" si="21"/>
        <v>386</v>
      </c>
      <c r="F376" s="5">
        <f t="shared" si="22"/>
        <v>148996</v>
      </c>
      <c r="G376" s="6">
        <f>SQRT(SUM($F$2:F376)/A376)</f>
        <v>1240.3160468203255</v>
      </c>
      <c r="H376" s="5">
        <f t="shared" si="23"/>
        <v>1</v>
      </c>
      <c r="I376" s="5">
        <f t="shared" si="24"/>
        <v>1</v>
      </c>
    </row>
    <row r="377" spans="1:9">
      <c r="A377">
        <v>376</v>
      </c>
      <c r="B377">
        <v>8</v>
      </c>
      <c r="C377">
        <v>5000</v>
      </c>
      <c r="D377">
        <v>5403</v>
      </c>
      <c r="E377" s="5">
        <f t="shared" si="21"/>
        <v>403</v>
      </c>
      <c r="F377" s="5">
        <f t="shared" si="22"/>
        <v>162409</v>
      </c>
      <c r="G377" s="6">
        <f>SQRT(SUM($F$2:F377)/A377)</f>
        <v>1238.8399365123294</v>
      </c>
      <c r="H377" s="5">
        <f t="shared" si="23"/>
        <v>1</v>
      </c>
      <c r="I377" s="5">
        <f t="shared" si="24"/>
        <v>1</v>
      </c>
    </row>
    <row r="378" spans="1:9">
      <c r="A378">
        <v>377</v>
      </c>
      <c r="B378">
        <v>7</v>
      </c>
      <c r="C378">
        <v>5000</v>
      </c>
      <c r="D378">
        <v>5092</v>
      </c>
      <c r="E378" s="5">
        <f t="shared" si="21"/>
        <v>92</v>
      </c>
      <c r="F378" s="5">
        <f t="shared" si="22"/>
        <v>8464</v>
      </c>
      <c r="G378" s="6">
        <f>SQRT(SUM($F$2:F378)/A378)</f>
        <v>1237.2048950172489</v>
      </c>
      <c r="H378" s="5">
        <f t="shared" si="23"/>
        <v>1</v>
      </c>
      <c r="I378" s="5">
        <f t="shared" si="24"/>
        <v>1</v>
      </c>
    </row>
    <row r="379" spans="1:9">
      <c r="A379">
        <v>378</v>
      </c>
      <c r="B379">
        <v>7</v>
      </c>
      <c r="C379">
        <v>5000</v>
      </c>
      <c r="D379">
        <v>4839</v>
      </c>
      <c r="E379" s="5">
        <f t="shared" si="21"/>
        <v>161</v>
      </c>
      <c r="F379" s="5">
        <f t="shared" si="22"/>
        <v>25921</v>
      </c>
      <c r="G379" s="6">
        <f>SQRT(SUM($F$2:F379)/A379)</f>
        <v>1235.5950465454364</v>
      </c>
      <c r="H379" s="5">
        <f t="shared" si="23"/>
        <v>1</v>
      </c>
      <c r="I379" s="5">
        <f t="shared" si="24"/>
        <v>1</v>
      </c>
    </row>
    <row r="380" spans="1:9">
      <c r="A380">
        <v>379</v>
      </c>
      <c r="B380">
        <v>7</v>
      </c>
      <c r="C380">
        <v>5000</v>
      </c>
      <c r="D380">
        <v>4761</v>
      </c>
      <c r="E380" s="5">
        <f t="shared" si="21"/>
        <v>239</v>
      </c>
      <c r="F380" s="5">
        <f t="shared" si="22"/>
        <v>57121</v>
      </c>
      <c r="G380" s="6">
        <f>SQRT(SUM($F$2:F380)/A380)</f>
        <v>1234.024965215747</v>
      </c>
      <c r="H380" s="5">
        <f t="shared" si="23"/>
        <v>1</v>
      </c>
      <c r="I380" s="5">
        <f t="shared" si="24"/>
        <v>1</v>
      </c>
    </row>
    <row r="381" spans="1:9">
      <c r="A381">
        <v>380</v>
      </c>
      <c r="B381">
        <v>8</v>
      </c>
      <c r="C381">
        <v>5000</v>
      </c>
      <c r="D381">
        <v>5559</v>
      </c>
      <c r="E381" s="5">
        <f t="shared" si="21"/>
        <v>559</v>
      </c>
      <c r="F381" s="5">
        <f t="shared" si="22"/>
        <v>312481</v>
      </c>
      <c r="G381" s="6">
        <f>SQRT(SUM($F$2:F381)/A381)</f>
        <v>1232.733758125027</v>
      </c>
      <c r="H381" s="5">
        <f t="shared" si="23"/>
        <v>1</v>
      </c>
      <c r="I381" s="5">
        <f t="shared" si="24"/>
        <v>0</v>
      </c>
    </row>
    <row r="382" spans="1:9">
      <c r="A382">
        <v>381</v>
      </c>
      <c r="B382">
        <v>7</v>
      </c>
      <c r="C382">
        <v>5000</v>
      </c>
      <c r="D382">
        <v>5284</v>
      </c>
      <c r="E382" s="5">
        <f t="shared" si="21"/>
        <v>284</v>
      </c>
      <c r="F382" s="5">
        <f t="shared" si="22"/>
        <v>80656</v>
      </c>
      <c r="G382" s="6">
        <f>SQRT(SUM($F$2:F382)/A382)</f>
        <v>1231.2009085301042</v>
      </c>
      <c r="H382" s="5">
        <f t="shared" si="23"/>
        <v>1</v>
      </c>
      <c r="I382" s="5">
        <f t="shared" si="24"/>
        <v>1</v>
      </c>
    </row>
    <row r="383" spans="1:9">
      <c r="A383">
        <v>382</v>
      </c>
      <c r="B383">
        <v>7</v>
      </c>
      <c r="C383">
        <v>5000</v>
      </c>
      <c r="D383">
        <v>5086</v>
      </c>
      <c r="E383" s="5">
        <f t="shared" si="21"/>
        <v>86</v>
      </c>
      <c r="F383" s="5">
        <f t="shared" si="22"/>
        <v>7396</v>
      </c>
      <c r="G383" s="6">
        <f>SQRT(SUM($F$2:F383)/A383)</f>
        <v>1229.5962060135562</v>
      </c>
      <c r="H383" s="5">
        <f t="shared" si="23"/>
        <v>1</v>
      </c>
      <c r="I383" s="5">
        <f t="shared" si="24"/>
        <v>1</v>
      </c>
    </row>
    <row r="384" spans="1:9">
      <c r="A384">
        <v>383</v>
      </c>
      <c r="B384">
        <v>7</v>
      </c>
      <c r="C384">
        <v>5000</v>
      </c>
      <c r="D384">
        <v>4474</v>
      </c>
      <c r="E384" s="5">
        <f t="shared" si="21"/>
        <v>526</v>
      </c>
      <c r="F384" s="5">
        <f t="shared" si="22"/>
        <v>276676</v>
      </c>
      <c r="G384" s="6">
        <f>SQRT(SUM($F$2:F384)/A384)</f>
        <v>1228.284040469918</v>
      </c>
      <c r="H384" s="5">
        <f t="shared" si="23"/>
        <v>1</v>
      </c>
      <c r="I384" s="5">
        <f t="shared" si="24"/>
        <v>0</v>
      </c>
    </row>
    <row r="385" spans="1:9">
      <c r="A385">
        <v>384</v>
      </c>
      <c r="B385">
        <v>8</v>
      </c>
      <c r="C385">
        <v>5000</v>
      </c>
      <c r="D385">
        <v>6056</v>
      </c>
      <c r="E385" s="5">
        <f t="shared" si="21"/>
        <v>1056</v>
      </c>
      <c r="F385" s="5">
        <f t="shared" si="22"/>
        <v>1115136</v>
      </c>
      <c r="G385" s="6">
        <f>SQRT(SUM($F$2:F385)/A385)</f>
        <v>1227.8667784091372</v>
      </c>
      <c r="H385" s="5">
        <f t="shared" si="23"/>
        <v>0</v>
      </c>
      <c r="I385" s="5">
        <f t="shared" si="24"/>
        <v>0</v>
      </c>
    </row>
    <row r="386" spans="1:9">
      <c r="A386">
        <v>385</v>
      </c>
      <c r="B386">
        <v>6</v>
      </c>
      <c r="C386">
        <v>5000</v>
      </c>
      <c r="D386">
        <v>4700</v>
      </c>
      <c r="E386" s="5">
        <f t="shared" si="21"/>
        <v>300</v>
      </c>
      <c r="F386" s="5">
        <f t="shared" si="22"/>
        <v>90000</v>
      </c>
      <c r="G386" s="6">
        <f>SQRT(SUM($F$2:F386)/A386)</f>
        <v>1226.3664215885888</v>
      </c>
      <c r="H386" s="5">
        <f t="shared" si="23"/>
        <v>1</v>
      </c>
      <c r="I386" s="5">
        <f t="shared" si="24"/>
        <v>1</v>
      </c>
    </row>
    <row r="387" spans="1:9">
      <c r="A387">
        <v>386</v>
      </c>
      <c r="B387">
        <v>7</v>
      </c>
      <c r="C387">
        <v>5000</v>
      </c>
      <c r="D387">
        <v>5102</v>
      </c>
      <c r="E387" s="5">
        <f t="shared" ref="E387:E450" si="25">ABS(C387-D387)</f>
        <v>102</v>
      </c>
      <c r="F387" s="5">
        <f t="shared" ref="F387:F450" si="26">POWER(E387,2)</f>
        <v>10404</v>
      </c>
      <c r="G387" s="6">
        <f>SQRT(SUM($F$2:F387)/A387)</f>
        <v>1224.7878371840527</v>
      </c>
      <c r="H387" s="5">
        <f t="shared" ref="H387:H450" si="27">IF(ABS(E387)/C387&gt;0.2,0,1)</f>
        <v>1</v>
      </c>
      <c r="I387" s="5">
        <f t="shared" ref="I387:I450" si="28">IF(ABS(E387)/C387&gt;0.1,0,1)</f>
        <v>1</v>
      </c>
    </row>
    <row r="388" spans="1:9">
      <c r="A388">
        <v>387</v>
      </c>
      <c r="B388">
        <v>7</v>
      </c>
      <c r="C388">
        <v>5000</v>
      </c>
      <c r="D388">
        <v>5013</v>
      </c>
      <c r="E388" s="5">
        <f t="shared" si="25"/>
        <v>13</v>
      </c>
      <c r="F388" s="5">
        <f t="shared" si="26"/>
        <v>169</v>
      </c>
      <c r="G388" s="6">
        <f>SQRT(SUM($F$2:F388)/A388)</f>
        <v>1223.204578907578</v>
      </c>
      <c r="H388" s="5">
        <f t="shared" si="27"/>
        <v>1</v>
      </c>
      <c r="I388" s="5">
        <f t="shared" si="28"/>
        <v>1</v>
      </c>
    </row>
    <row r="389" spans="1:9">
      <c r="A389">
        <v>388</v>
      </c>
      <c r="B389">
        <v>7</v>
      </c>
      <c r="C389">
        <v>5000</v>
      </c>
      <c r="D389">
        <v>4153</v>
      </c>
      <c r="E389" s="5">
        <f t="shared" si="25"/>
        <v>847</v>
      </c>
      <c r="F389" s="5">
        <f t="shared" si="26"/>
        <v>717409</v>
      </c>
      <c r="G389" s="6">
        <f>SQRT(SUM($F$2:F389)/A389)</f>
        <v>1222.3838074354603</v>
      </c>
      <c r="H389" s="5">
        <f t="shared" si="27"/>
        <v>1</v>
      </c>
      <c r="I389" s="5">
        <f t="shared" si="28"/>
        <v>0</v>
      </c>
    </row>
    <row r="390" spans="1:9">
      <c r="A390">
        <v>389</v>
      </c>
      <c r="B390">
        <v>8</v>
      </c>
      <c r="C390">
        <v>5000</v>
      </c>
      <c r="D390">
        <v>3902</v>
      </c>
      <c r="E390" s="5">
        <f t="shared" si="25"/>
        <v>1098</v>
      </c>
      <c r="F390" s="5">
        <f t="shared" si="26"/>
        <v>1205604</v>
      </c>
      <c r="G390" s="6">
        <f>SQRT(SUM($F$2:F390)/A390)</f>
        <v>1222.0802852719562</v>
      </c>
      <c r="H390" s="5">
        <f t="shared" si="27"/>
        <v>0</v>
      </c>
      <c r="I390" s="5">
        <f t="shared" si="28"/>
        <v>0</v>
      </c>
    </row>
    <row r="391" spans="1:9">
      <c r="A391">
        <v>390</v>
      </c>
      <c r="B391">
        <v>9</v>
      </c>
      <c r="C391">
        <v>5000</v>
      </c>
      <c r="D391">
        <v>1700</v>
      </c>
      <c r="E391" s="5">
        <f t="shared" si="25"/>
        <v>3300</v>
      </c>
      <c r="F391" s="5">
        <f t="shared" si="26"/>
        <v>10890000</v>
      </c>
      <c r="G391" s="6">
        <f>SQRT(SUM($F$2:F391)/A391)</f>
        <v>1231.898479625072</v>
      </c>
      <c r="H391" s="5">
        <f t="shared" si="27"/>
        <v>0</v>
      </c>
      <c r="I391" s="5">
        <f t="shared" si="28"/>
        <v>0</v>
      </c>
    </row>
    <row r="392" spans="1:9">
      <c r="A392">
        <v>391</v>
      </c>
      <c r="B392">
        <v>12</v>
      </c>
      <c r="C392">
        <v>5000</v>
      </c>
      <c r="D392">
        <v>3769</v>
      </c>
      <c r="E392" s="5">
        <f t="shared" si="25"/>
        <v>1231</v>
      </c>
      <c r="F392" s="5">
        <f t="shared" si="26"/>
        <v>1515361</v>
      </c>
      <c r="G392" s="6">
        <f>SQRT(SUM($F$2:F392)/A392)</f>
        <v>1231.8961825590582</v>
      </c>
      <c r="H392" s="5">
        <f t="shared" si="27"/>
        <v>0</v>
      </c>
      <c r="I392" s="5">
        <f t="shared" si="28"/>
        <v>0</v>
      </c>
    </row>
    <row r="393" spans="1:9">
      <c r="A393">
        <v>392</v>
      </c>
      <c r="B393">
        <v>10</v>
      </c>
      <c r="C393">
        <v>5000</v>
      </c>
      <c r="D393">
        <v>4233</v>
      </c>
      <c r="E393" s="5">
        <f t="shared" si="25"/>
        <v>767</v>
      </c>
      <c r="F393" s="5">
        <f t="shared" si="26"/>
        <v>588289</v>
      </c>
      <c r="G393" s="6">
        <f>SQRT(SUM($F$2:F393)/A393)</f>
        <v>1230.9336271252625</v>
      </c>
      <c r="H393" s="5">
        <f t="shared" si="27"/>
        <v>1</v>
      </c>
      <c r="I393" s="5">
        <f t="shared" si="28"/>
        <v>0</v>
      </c>
    </row>
    <row r="394" spans="1:9">
      <c r="A394">
        <v>393</v>
      </c>
      <c r="B394">
        <v>10</v>
      </c>
      <c r="C394">
        <v>5000</v>
      </c>
      <c r="D394">
        <v>4257</v>
      </c>
      <c r="E394" s="5">
        <f t="shared" si="25"/>
        <v>743</v>
      </c>
      <c r="F394" s="5">
        <f t="shared" si="26"/>
        <v>552049</v>
      </c>
      <c r="G394" s="6">
        <f>SQRT(SUM($F$2:F394)/A394)</f>
        <v>1229.9377360686183</v>
      </c>
      <c r="H394" s="5">
        <f t="shared" si="27"/>
        <v>1</v>
      </c>
      <c r="I394" s="5">
        <f t="shared" si="28"/>
        <v>0</v>
      </c>
    </row>
    <row r="395" spans="1:9">
      <c r="A395">
        <v>394</v>
      </c>
      <c r="B395">
        <v>10</v>
      </c>
      <c r="C395">
        <v>5000</v>
      </c>
      <c r="D395">
        <v>5819</v>
      </c>
      <c r="E395" s="5">
        <f t="shared" si="25"/>
        <v>819</v>
      </c>
      <c r="F395" s="5">
        <f t="shared" si="26"/>
        <v>670761</v>
      </c>
      <c r="G395" s="6">
        <f>SQRT(SUM($F$2:F395)/A395)</f>
        <v>1229.0686777885164</v>
      </c>
      <c r="H395" s="5">
        <f t="shared" si="27"/>
        <v>1</v>
      </c>
      <c r="I395" s="5">
        <f t="shared" si="28"/>
        <v>0</v>
      </c>
    </row>
    <row r="396" spans="1:9">
      <c r="A396">
        <v>395</v>
      </c>
      <c r="B396">
        <v>8</v>
      </c>
      <c r="C396">
        <v>5000</v>
      </c>
      <c r="D396">
        <v>4780</v>
      </c>
      <c r="E396" s="5">
        <f t="shared" si="25"/>
        <v>220</v>
      </c>
      <c r="F396" s="5">
        <f t="shared" si="26"/>
        <v>48400</v>
      </c>
      <c r="G396" s="6">
        <f>SQRT(SUM($F$2:F396)/A396)</f>
        <v>1227.5618182892131</v>
      </c>
      <c r="H396" s="5">
        <f t="shared" si="27"/>
        <v>1</v>
      </c>
      <c r="I396" s="5">
        <f t="shared" si="28"/>
        <v>1</v>
      </c>
    </row>
    <row r="397" spans="1:9">
      <c r="A397">
        <v>396</v>
      </c>
      <c r="B397">
        <v>9</v>
      </c>
      <c r="C397">
        <v>5000</v>
      </c>
      <c r="D397">
        <v>5878</v>
      </c>
      <c r="E397" s="5">
        <f t="shared" si="25"/>
        <v>878</v>
      </c>
      <c r="F397" s="5">
        <f t="shared" si="26"/>
        <v>770884</v>
      </c>
      <c r="G397" s="6">
        <f>SQRT(SUM($F$2:F397)/A397)</f>
        <v>1226.8045366773474</v>
      </c>
      <c r="H397" s="5">
        <f t="shared" si="27"/>
        <v>1</v>
      </c>
      <c r="I397" s="5">
        <f t="shared" si="28"/>
        <v>0</v>
      </c>
    </row>
    <row r="398" spans="1:9">
      <c r="A398">
        <v>397</v>
      </c>
      <c r="B398">
        <v>8</v>
      </c>
      <c r="C398">
        <v>5000</v>
      </c>
      <c r="D398">
        <v>4508</v>
      </c>
      <c r="E398" s="5">
        <f t="shared" si="25"/>
        <v>492</v>
      </c>
      <c r="F398" s="5">
        <f t="shared" si="26"/>
        <v>242064</v>
      </c>
      <c r="G398" s="6">
        <f>SQRT(SUM($F$2:F398)/A398)</f>
        <v>1225.5072614468436</v>
      </c>
      <c r="H398" s="5">
        <f t="shared" si="27"/>
        <v>1</v>
      </c>
      <c r="I398" s="5">
        <f t="shared" si="28"/>
        <v>1</v>
      </c>
    </row>
    <row r="399" spans="1:9">
      <c r="A399">
        <v>398</v>
      </c>
      <c r="B399">
        <v>9</v>
      </c>
      <c r="C399">
        <v>5000</v>
      </c>
      <c r="D399">
        <v>5685</v>
      </c>
      <c r="E399" s="5">
        <f t="shared" si="25"/>
        <v>685</v>
      </c>
      <c r="F399" s="5">
        <f t="shared" si="26"/>
        <v>469225</v>
      </c>
      <c r="G399" s="6">
        <f>SQRT(SUM($F$2:F399)/A399)</f>
        <v>1224.4482297494997</v>
      </c>
      <c r="H399" s="5">
        <f t="shared" si="27"/>
        <v>1</v>
      </c>
      <c r="I399" s="5">
        <f t="shared" si="28"/>
        <v>0</v>
      </c>
    </row>
    <row r="400" spans="1:9">
      <c r="A400">
        <v>399</v>
      </c>
      <c r="B400">
        <v>8</v>
      </c>
      <c r="C400">
        <v>5000</v>
      </c>
      <c r="D400">
        <v>4786</v>
      </c>
      <c r="E400" s="5">
        <f t="shared" si="25"/>
        <v>214</v>
      </c>
      <c r="F400" s="5">
        <f t="shared" si="26"/>
        <v>45796</v>
      </c>
      <c r="G400" s="6">
        <f>SQRT(SUM($F$2:F400)/A400)</f>
        <v>1222.9597976494022</v>
      </c>
      <c r="H400" s="5">
        <f t="shared" si="27"/>
        <v>1</v>
      </c>
      <c r="I400" s="5">
        <f t="shared" si="28"/>
        <v>1</v>
      </c>
    </row>
    <row r="401" spans="1:9">
      <c r="A401">
        <v>400</v>
      </c>
      <c r="B401">
        <v>9</v>
      </c>
      <c r="C401">
        <v>5000</v>
      </c>
      <c r="D401">
        <v>5573</v>
      </c>
      <c r="E401" s="5">
        <f t="shared" si="25"/>
        <v>573</v>
      </c>
      <c r="F401" s="5">
        <f t="shared" si="26"/>
        <v>328329</v>
      </c>
      <c r="G401" s="6">
        <f>SQRT(SUM($F$2:F401)/A401)</f>
        <v>1221.7661038431211</v>
      </c>
      <c r="H401" s="5">
        <f t="shared" si="27"/>
        <v>1</v>
      </c>
      <c r="I401" s="5">
        <f t="shared" si="28"/>
        <v>0</v>
      </c>
    </row>
    <row r="402" spans="1:9">
      <c r="A402">
        <v>401</v>
      </c>
      <c r="B402">
        <v>1</v>
      </c>
      <c r="C402">
        <v>6000</v>
      </c>
      <c r="D402">
        <v>810</v>
      </c>
      <c r="E402" s="5">
        <f t="shared" si="25"/>
        <v>5190</v>
      </c>
      <c r="F402" s="5">
        <f t="shared" si="26"/>
        <v>26936100</v>
      </c>
      <c r="G402" s="6">
        <f>SQRT(SUM($F$2:F402)/A402)</f>
        <v>1247.4623268290932</v>
      </c>
      <c r="H402" s="5">
        <f t="shared" si="27"/>
        <v>0</v>
      </c>
      <c r="I402" s="5">
        <f t="shared" si="28"/>
        <v>0</v>
      </c>
    </row>
    <row r="403" spans="1:9">
      <c r="A403">
        <v>402</v>
      </c>
      <c r="B403">
        <v>6</v>
      </c>
      <c r="C403">
        <v>6000</v>
      </c>
      <c r="D403">
        <v>4236</v>
      </c>
      <c r="E403" s="5">
        <f t="shared" si="25"/>
        <v>1764</v>
      </c>
      <c r="F403" s="5">
        <f t="shared" si="26"/>
        <v>3111696</v>
      </c>
      <c r="G403" s="6">
        <f>SQRT(SUM($F$2:F403)/A403)</f>
        <v>1249.012307297688</v>
      </c>
      <c r="H403" s="5">
        <f t="shared" si="27"/>
        <v>0</v>
      </c>
      <c r="I403" s="5">
        <f t="shared" si="28"/>
        <v>0</v>
      </c>
    </row>
    <row r="404" spans="1:9">
      <c r="A404">
        <v>403</v>
      </c>
      <c r="B404">
        <v>4</v>
      </c>
      <c r="C404">
        <v>6000</v>
      </c>
      <c r="D404">
        <v>2779</v>
      </c>
      <c r="E404" s="5">
        <f t="shared" si="25"/>
        <v>3221</v>
      </c>
      <c r="F404" s="5">
        <f t="shared" si="26"/>
        <v>10374841</v>
      </c>
      <c r="G404" s="6">
        <f>SQRT(SUM($F$2:F404)/A404)</f>
        <v>1257.7379375700559</v>
      </c>
      <c r="H404" s="5">
        <f t="shared" si="27"/>
        <v>0</v>
      </c>
      <c r="I404" s="5">
        <f t="shared" si="28"/>
        <v>0</v>
      </c>
    </row>
    <row r="405" spans="1:9">
      <c r="A405">
        <v>404</v>
      </c>
      <c r="B405">
        <v>6</v>
      </c>
      <c r="C405">
        <v>6000</v>
      </c>
      <c r="D405">
        <v>4019</v>
      </c>
      <c r="E405" s="5">
        <f t="shared" si="25"/>
        <v>1981</v>
      </c>
      <c r="F405" s="5">
        <f t="shared" si="26"/>
        <v>3924361</v>
      </c>
      <c r="G405" s="6">
        <f>SQRT(SUM($F$2:F405)/A405)</f>
        <v>1260.040824224704</v>
      </c>
      <c r="H405" s="5">
        <f t="shared" si="27"/>
        <v>0</v>
      </c>
      <c r="I405" s="5">
        <f t="shared" si="28"/>
        <v>0</v>
      </c>
    </row>
    <row r="406" spans="1:9">
      <c r="A406">
        <v>405</v>
      </c>
      <c r="B406">
        <v>5</v>
      </c>
      <c r="C406">
        <v>6000</v>
      </c>
      <c r="D406">
        <v>3383</v>
      </c>
      <c r="E406" s="5">
        <f t="shared" si="25"/>
        <v>2617</v>
      </c>
      <c r="F406" s="5">
        <f t="shared" si="26"/>
        <v>6848689</v>
      </c>
      <c r="G406" s="6">
        <f>SQRT(SUM($F$2:F406)/A406)</f>
        <v>1265.1849540289493</v>
      </c>
      <c r="H406" s="5">
        <f t="shared" si="27"/>
        <v>0</v>
      </c>
      <c r="I406" s="5">
        <f t="shared" si="28"/>
        <v>0</v>
      </c>
    </row>
    <row r="407" spans="1:9">
      <c r="A407">
        <v>406</v>
      </c>
      <c r="B407">
        <v>6</v>
      </c>
      <c r="C407">
        <v>6000</v>
      </c>
      <c r="D407">
        <v>4331</v>
      </c>
      <c r="E407" s="5">
        <f t="shared" si="25"/>
        <v>1669</v>
      </c>
      <c r="F407" s="5">
        <f t="shared" si="26"/>
        <v>2785561</v>
      </c>
      <c r="G407" s="6">
        <f>SQRT(SUM($F$2:F407)/A407)</f>
        <v>1266.3377756621514</v>
      </c>
      <c r="H407" s="5">
        <f t="shared" si="27"/>
        <v>0</v>
      </c>
      <c r="I407" s="5">
        <f t="shared" si="28"/>
        <v>0</v>
      </c>
    </row>
    <row r="408" spans="1:9">
      <c r="A408">
        <v>407</v>
      </c>
      <c r="B408">
        <v>6</v>
      </c>
      <c r="C408">
        <v>6000</v>
      </c>
      <c r="D408">
        <v>4271</v>
      </c>
      <c r="E408" s="5">
        <f t="shared" si="25"/>
        <v>1729</v>
      </c>
      <c r="F408" s="5">
        <f t="shared" si="26"/>
        <v>2989441</v>
      </c>
      <c r="G408" s="6">
        <f>SQRT(SUM($F$2:F408)/A408)</f>
        <v>1267.681485584746</v>
      </c>
      <c r="H408" s="5">
        <f t="shared" si="27"/>
        <v>0</v>
      </c>
      <c r="I408" s="5">
        <f t="shared" si="28"/>
        <v>0</v>
      </c>
    </row>
    <row r="409" spans="1:9">
      <c r="A409">
        <v>408</v>
      </c>
      <c r="B409">
        <v>6</v>
      </c>
      <c r="C409">
        <v>6000</v>
      </c>
      <c r="D409">
        <v>4762</v>
      </c>
      <c r="E409" s="5">
        <f t="shared" si="25"/>
        <v>1238</v>
      </c>
      <c r="F409" s="5">
        <f t="shared" si="26"/>
        <v>1532644</v>
      </c>
      <c r="G409" s="6">
        <f>SQRT(SUM($F$2:F409)/A409)</f>
        <v>1267.6095864758558</v>
      </c>
      <c r="H409" s="5">
        <f t="shared" si="27"/>
        <v>0</v>
      </c>
      <c r="I409" s="5">
        <f t="shared" si="28"/>
        <v>0</v>
      </c>
    </row>
    <row r="410" spans="1:9">
      <c r="A410">
        <v>409</v>
      </c>
      <c r="B410">
        <v>6</v>
      </c>
      <c r="C410">
        <v>6000</v>
      </c>
      <c r="D410">
        <v>4291</v>
      </c>
      <c r="E410" s="5">
        <f t="shared" si="25"/>
        <v>1709</v>
      </c>
      <c r="F410" s="5">
        <f t="shared" si="26"/>
        <v>2920681</v>
      </c>
      <c r="G410" s="6">
        <f>SQRT(SUM($F$2:F410)/A410)</f>
        <v>1268.8760394234666</v>
      </c>
      <c r="H410" s="5">
        <f t="shared" si="27"/>
        <v>0</v>
      </c>
      <c r="I410" s="5">
        <f t="shared" si="28"/>
        <v>0</v>
      </c>
    </row>
    <row r="411" spans="1:9">
      <c r="A411">
        <v>410</v>
      </c>
      <c r="B411">
        <v>7</v>
      </c>
      <c r="C411">
        <v>6000</v>
      </c>
      <c r="D411">
        <v>4486</v>
      </c>
      <c r="E411" s="5">
        <f t="shared" si="25"/>
        <v>1514</v>
      </c>
      <c r="F411" s="5">
        <f t="shared" si="26"/>
        <v>2292196</v>
      </c>
      <c r="G411" s="6">
        <f>SQRT(SUM($F$2:F411)/A411)</f>
        <v>1269.5314816603916</v>
      </c>
      <c r="H411" s="5">
        <f t="shared" si="27"/>
        <v>0</v>
      </c>
      <c r="I411" s="5">
        <f t="shared" si="28"/>
        <v>0</v>
      </c>
    </row>
    <row r="412" spans="1:9">
      <c r="A412">
        <v>411</v>
      </c>
      <c r="B412">
        <v>7</v>
      </c>
      <c r="C412">
        <v>6000</v>
      </c>
      <c r="D412">
        <v>4143</v>
      </c>
      <c r="E412" s="5">
        <f t="shared" si="25"/>
        <v>1857</v>
      </c>
      <c r="F412" s="5">
        <f t="shared" si="26"/>
        <v>3448449</v>
      </c>
      <c r="G412" s="6">
        <f>SQRT(SUM($F$2:F412)/A412)</f>
        <v>1271.290342061935</v>
      </c>
      <c r="H412" s="5">
        <f t="shared" si="27"/>
        <v>0</v>
      </c>
      <c r="I412" s="5">
        <f t="shared" si="28"/>
        <v>0</v>
      </c>
    </row>
    <row r="413" spans="1:9">
      <c r="A413">
        <v>412</v>
      </c>
      <c r="B413">
        <v>8</v>
      </c>
      <c r="C413">
        <v>6000</v>
      </c>
      <c r="D413">
        <v>5615</v>
      </c>
      <c r="E413" s="5">
        <f t="shared" si="25"/>
        <v>385</v>
      </c>
      <c r="F413" s="5">
        <f t="shared" si="26"/>
        <v>148225</v>
      </c>
      <c r="G413" s="6">
        <f>SQRT(SUM($F$2:F413)/A413)</f>
        <v>1269.8882385271211</v>
      </c>
      <c r="H413" s="5">
        <f t="shared" si="27"/>
        <v>1</v>
      </c>
      <c r="I413" s="5">
        <f t="shared" si="28"/>
        <v>1</v>
      </c>
    </row>
    <row r="414" spans="1:9">
      <c r="A414">
        <v>413</v>
      </c>
      <c r="B414">
        <v>7</v>
      </c>
      <c r="C414">
        <v>6000</v>
      </c>
      <c r="D414">
        <v>4722</v>
      </c>
      <c r="E414" s="5">
        <f t="shared" si="25"/>
        <v>1278</v>
      </c>
      <c r="F414" s="5">
        <f t="shared" si="26"/>
        <v>1633284</v>
      </c>
      <c r="G414" s="6">
        <f>SQRT(SUM($F$2:F414)/A414)</f>
        <v>1269.9079421745746</v>
      </c>
      <c r="H414" s="5">
        <f t="shared" si="27"/>
        <v>0</v>
      </c>
      <c r="I414" s="5">
        <f t="shared" si="28"/>
        <v>0</v>
      </c>
    </row>
    <row r="415" spans="1:9">
      <c r="A415">
        <v>414</v>
      </c>
      <c r="B415">
        <v>8</v>
      </c>
      <c r="C415">
        <v>6000</v>
      </c>
      <c r="D415">
        <v>4524</v>
      </c>
      <c r="E415" s="5">
        <f t="shared" si="25"/>
        <v>1476</v>
      </c>
      <c r="F415" s="5">
        <f t="shared" si="26"/>
        <v>2178576</v>
      </c>
      <c r="G415" s="6">
        <f>SQRT(SUM($F$2:F415)/A415)</f>
        <v>1270.4460293639279</v>
      </c>
      <c r="H415" s="5">
        <f t="shared" si="27"/>
        <v>0</v>
      </c>
      <c r="I415" s="5">
        <f t="shared" si="28"/>
        <v>0</v>
      </c>
    </row>
    <row r="416" spans="1:9">
      <c r="A416">
        <v>415</v>
      </c>
      <c r="B416">
        <v>9</v>
      </c>
      <c r="C416">
        <v>6000</v>
      </c>
      <c r="D416">
        <v>5810</v>
      </c>
      <c r="E416" s="5">
        <f t="shared" si="25"/>
        <v>190</v>
      </c>
      <c r="F416" s="5">
        <f t="shared" si="26"/>
        <v>36100</v>
      </c>
      <c r="G416" s="6">
        <f>SQRT(SUM($F$2:F416)/A416)</f>
        <v>1268.9487243621159</v>
      </c>
      <c r="H416" s="5">
        <f t="shared" si="27"/>
        <v>1</v>
      </c>
      <c r="I416" s="5">
        <f t="shared" si="28"/>
        <v>1</v>
      </c>
    </row>
    <row r="417" spans="1:9">
      <c r="A417">
        <v>416</v>
      </c>
      <c r="B417">
        <v>7</v>
      </c>
      <c r="C417">
        <v>6000</v>
      </c>
      <c r="D417">
        <v>4720</v>
      </c>
      <c r="E417" s="5">
        <f t="shared" si="25"/>
        <v>1280</v>
      </c>
      <c r="F417" s="5">
        <f t="shared" si="26"/>
        <v>1638400</v>
      </c>
      <c r="G417" s="6">
        <f>SQRT(SUM($F$2:F417)/A417)</f>
        <v>1268.975405327827</v>
      </c>
      <c r="H417" s="5">
        <f t="shared" si="27"/>
        <v>0</v>
      </c>
      <c r="I417" s="5">
        <f t="shared" si="28"/>
        <v>0</v>
      </c>
    </row>
    <row r="418" spans="1:9">
      <c r="A418">
        <v>417</v>
      </c>
      <c r="B418">
        <v>9</v>
      </c>
      <c r="C418">
        <v>6000</v>
      </c>
      <c r="D418">
        <v>5506</v>
      </c>
      <c r="E418" s="5">
        <f t="shared" si="25"/>
        <v>494</v>
      </c>
      <c r="F418" s="5">
        <f t="shared" si="26"/>
        <v>244036</v>
      </c>
      <c r="G418" s="6">
        <f>SQRT(SUM($F$2:F418)/A418)</f>
        <v>1267.6837816521079</v>
      </c>
      <c r="H418" s="5">
        <f t="shared" si="27"/>
        <v>1</v>
      </c>
      <c r="I418" s="5">
        <f t="shared" si="28"/>
        <v>1</v>
      </c>
    </row>
    <row r="419" spans="1:9">
      <c r="A419">
        <v>418</v>
      </c>
      <c r="B419">
        <v>8</v>
      </c>
      <c r="C419">
        <v>6000</v>
      </c>
      <c r="D419">
        <v>5740</v>
      </c>
      <c r="E419" s="5">
        <f t="shared" si="25"/>
        <v>260</v>
      </c>
      <c r="F419" s="5">
        <f t="shared" si="26"/>
        <v>67600</v>
      </c>
      <c r="G419" s="6">
        <f>SQRT(SUM($F$2:F419)/A419)</f>
        <v>1266.2303669179882</v>
      </c>
      <c r="H419" s="5">
        <f t="shared" si="27"/>
        <v>1</v>
      </c>
      <c r="I419" s="5">
        <f t="shared" si="28"/>
        <v>1</v>
      </c>
    </row>
    <row r="420" spans="1:9">
      <c r="A420">
        <v>419</v>
      </c>
      <c r="B420">
        <v>8</v>
      </c>
      <c r="C420">
        <v>6000</v>
      </c>
      <c r="D420">
        <v>4993</v>
      </c>
      <c r="E420" s="5">
        <f t="shared" si="25"/>
        <v>1007</v>
      </c>
      <c r="F420" s="5">
        <f t="shared" si="26"/>
        <v>1014049</v>
      </c>
      <c r="G420" s="6">
        <f>SQRT(SUM($F$2:F420)/A420)</f>
        <v>1265.6748876552185</v>
      </c>
      <c r="H420" s="5">
        <f t="shared" si="27"/>
        <v>1</v>
      </c>
      <c r="I420" s="5">
        <f t="shared" si="28"/>
        <v>0</v>
      </c>
    </row>
    <row r="421" spans="1:9">
      <c r="A421">
        <v>420</v>
      </c>
      <c r="B421">
        <v>9</v>
      </c>
      <c r="C421">
        <v>6000</v>
      </c>
      <c r="D421">
        <v>6415</v>
      </c>
      <c r="E421" s="5">
        <f t="shared" si="25"/>
        <v>415</v>
      </c>
      <c r="F421" s="5">
        <f t="shared" si="26"/>
        <v>172225</v>
      </c>
      <c r="G421" s="6">
        <f>SQRT(SUM($F$2:F421)/A421)</f>
        <v>1264.329409118488</v>
      </c>
      <c r="H421" s="5">
        <f t="shared" si="27"/>
        <v>1</v>
      </c>
      <c r="I421" s="5">
        <f t="shared" si="28"/>
        <v>1</v>
      </c>
    </row>
    <row r="422" spans="1:9">
      <c r="A422">
        <v>421</v>
      </c>
      <c r="B422">
        <v>7</v>
      </c>
      <c r="C422">
        <v>6000</v>
      </c>
      <c r="D422">
        <v>5686</v>
      </c>
      <c r="E422" s="5">
        <f t="shared" si="25"/>
        <v>314</v>
      </c>
      <c r="F422" s="5">
        <f t="shared" si="26"/>
        <v>98596</v>
      </c>
      <c r="G422" s="6">
        <f>SQRT(SUM($F$2:F422)/A422)</f>
        <v>1262.9196605024447</v>
      </c>
      <c r="H422" s="5">
        <f t="shared" si="27"/>
        <v>1</v>
      </c>
      <c r="I422" s="5">
        <f t="shared" si="28"/>
        <v>1</v>
      </c>
    </row>
    <row r="423" spans="1:9">
      <c r="A423">
        <v>422</v>
      </c>
      <c r="B423">
        <v>8</v>
      </c>
      <c r="C423">
        <v>6000</v>
      </c>
      <c r="D423">
        <v>4852</v>
      </c>
      <c r="E423" s="5">
        <f t="shared" si="25"/>
        <v>1148</v>
      </c>
      <c r="F423" s="5">
        <f t="shared" si="26"/>
        <v>1317904</v>
      </c>
      <c r="G423" s="6">
        <f>SQRT(SUM($F$2:F423)/A423)</f>
        <v>1262.6597022542069</v>
      </c>
      <c r="H423" s="5">
        <f t="shared" si="27"/>
        <v>1</v>
      </c>
      <c r="I423" s="5">
        <f t="shared" si="28"/>
        <v>0</v>
      </c>
    </row>
    <row r="424" spans="1:9">
      <c r="A424">
        <v>423</v>
      </c>
      <c r="B424">
        <v>9</v>
      </c>
      <c r="C424">
        <v>6000</v>
      </c>
      <c r="D424">
        <v>5261</v>
      </c>
      <c r="E424" s="5">
        <f t="shared" si="25"/>
        <v>739</v>
      </c>
      <c r="F424" s="5">
        <f t="shared" si="26"/>
        <v>546121</v>
      </c>
      <c r="G424" s="6">
        <f>SQRT(SUM($F$2:F424)/A424)</f>
        <v>1261.6780637876786</v>
      </c>
      <c r="H424" s="5">
        <f t="shared" si="27"/>
        <v>1</v>
      </c>
      <c r="I424" s="5">
        <f t="shared" si="28"/>
        <v>0</v>
      </c>
    </row>
    <row r="425" spans="1:9">
      <c r="A425">
        <v>424</v>
      </c>
      <c r="B425">
        <v>9</v>
      </c>
      <c r="C425">
        <v>6000</v>
      </c>
      <c r="D425">
        <v>5562</v>
      </c>
      <c r="E425" s="5">
        <f t="shared" si="25"/>
        <v>438</v>
      </c>
      <c r="F425" s="5">
        <f t="shared" si="26"/>
        <v>191844</v>
      </c>
      <c r="G425" s="6">
        <f>SQRT(SUM($F$2:F425)/A425)</f>
        <v>1260.3688663424225</v>
      </c>
      <c r="H425" s="5">
        <f t="shared" si="27"/>
        <v>1</v>
      </c>
      <c r="I425" s="5">
        <f t="shared" si="28"/>
        <v>1</v>
      </c>
    </row>
    <row r="426" spans="1:9">
      <c r="A426">
        <v>425</v>
      </c>
      <c r="B426">
        <v>9</v>
      </c>
      <c r="C426">
        <v>6000</v>
      </c>
      <c r="D426">
        <v>5703</v>
      </c>
      <c r="E426" s="5">
        <f t="shared" si="25"/>
        <v>297</v>
      </c>
      <c r="F426" s="5">
        <f t="shared" si="26"/>
        <v>88209</v>
      </c>
      <c r="G426" s="6">
        <f>SQRT(SUM($F$2:F426)/A426)</f>
        <v>1258.9676377656324</v>
      </c>
      <c r="H426" s="5">
        <f t="shared" si="27"/>
        <v>1</v>
      </c>
      <c r="I426" s="5">
        <f t="shared" si="28"/>
        <v>1</v>
      </c>
    </row>
    <row r="427" spans="1:9">
      <c r="A427">
        <v>426</v>
      </c>
      <c r="B427">
        <v>9</v>
      </c>
      <c r="C427">
        <v>6000</v>
      </c>
      <c r="D427">
        <v>5174</v>
      </c>
      <c r="E427" s="5">
        <f t="shared" si="25"/>
        <v>826</v>
      </c>
      <c r="F427" s="5">
        <f t="shared" si="26"/>
        <v>682276</v>
      </c>
      <c r="G427" s="6">
        <f>SQRT(SUM($F$2:F427)/A427)</f>
        <v>1258.1257662340327</v>
      </c>
      <c r="H427" s="5">
        <f t="shared" si="27"/>
        <v>1</v>
      </c>
      <c r="I427" s="5">
        <f t="shared" si="28"/>
        <v>0</v>
      </c>
    </row>
    <row r="428" spans="1:9">
      <c r="A428">
        <v>427</v>
      </c>
      <c r="B428">
        <v>10</v>
      </c>
      <c r="C428">
        <v>6000</v>
      </c>
      <c r="D428">
        <v>6440</v>
      </c>
      <c r="E428" s="5">
        <f t="shared" si="25"/>
        <v>440</v>
      </c>
      <c r="F428" s="5">
        <f t="shared" si="26"/>
        <v>193600</v>
      </c>
      <c r="G428" s="6">
        <f>SQRT(SUM($F$2:F428)/A428)</f>
        <v>1256.8320729058348</v>
      </c>
      <c r="H428" s="5">
        <f t="shared" si="27"/>
        <v>1</v>
      </c>
      <c r="I428" s="5">
        <f t="shared" si="28"/>
        <v>1</v>
      </c>
    </row>
    <row r="429" spans="1:9">
      <c r="A429">
        <v>428</v>
      </c>
      <c r="B429">
        <v>8</v>
      </c>
      <c r="C429">
        <v>6000</v>
      </c>
      <c r="D429">
        <v>4854</v>
      </c>
      <c r="E429" s="5">
        <f t="shared" si="25"/>
        <v>1146</v>
      </c>
      <c r="F429" s="5">
        <f t="shared" si="26"/>
        <v>1313316</v>
      </c>
      <c r="G429" s="6">
        <f>SQRT(SUM($F$2:F429)/A429)</f>
        <v>1256.5845128165743</v>
      </c>
      <c r="H429" s="5">
        <f t="shared" si="27"/>
        <v>1</v>
      </c>
      <c r="I429" s="5">
        <f t="shared" si="28"/>
        <v>0</v>
      </c>
    </row>
    <row r="430" spans="1:9">
      <c r="A430">
        <v>429</v>
      </c>
      <c r="B430">
        <v>10</v>
      </c>
      <c r="C430">
        <v>6000</v>
      </c>
      <c r="D430">
        <v>6892</v>
      </c>
      <c r="E430" s="5">
        <f t="shared" si="25"/>
        <v>892</v>
      </c>
      <c r="F430" s="5">
        <f t="shared" si="26"/>
        <v>795664</v>
      </c>
      <c r="G430" s="6">
        <f>SQRT(SUM($F$2:F430)/A430)</f>
        <v>1255.8577423409345</v>
      </c>
      <c r="H430" s="5">
        <f t="shared" si="27"/>
        <v>1</v>
      </c>
      <c r="I430" s="5">
        <f t="shared" si="28"/>
        <v>0</v>
      </c>
    </row>
    <row r="431" spans="1:9">
      <c r="A431">
        <v>430</v>
      </c>
      <c r="B431">
        <v>8</v>
      </c>
      <c r="C431">
        <v>6000</v>
      </c>
      <c r="D431">
        <v>5086</v>
      </c>
      <c r="E431" s="5">
        <f t="shared" si="25"/>
        <v>914</v>
      </c>
      <c r="F431" s="5">
        <f t="shared" si="26"/>
        <v>835396</v>
      </c>
      <c r="G431" s="6">
        <f>SQRT(SUM($F$2:F431)/A431)</f>
        <v>1255.1707425777799</v>
      </c>
      <c r="H431" s="5">
        <f t="shared" si="27"/>
        <v>1</v>
      </c>
      <c r="I431" s="5">
        <f t="shared" si="28"/>
        <v>0</v>
      </c>
    </row>
    <row r="432" spans="1:9">
      <c r="A432">
        <v>431</v>
      </c>
      <c r="B432">
        <v>10</v>
      </c>
      <c r="C432">
        <v>6000</v>
      </c>
      <c r="D432">
        <v>6045</v>
      </c>
      <c r="E432" s="5">
        <f t="shared" si="25"/>
        <v>45</v>
      </c>
      <c r="F432" s="5">
        <f t="shared" si="26"/>
        <v>2025</v>
      </c>
      <c r="G432" s="6">
        <f>SQRT(SUM($F$2:F432)/A432)</f>
        <v>1253.7156562138525</v>
      </c>
      <c r="H432" s="5">
        <f t="shared" si="27"/>
        <v>1</v>
      </c>
      <c r="I432" s="5">
        <f t="shared" si="28"/>
        <v>1</v>
      </c>
    </row>
    <row r="433" spans="1:9">
      <c r="A433">
        <v>432</v>
      </c>
      <c r="B433">
        <v>9</v>
      </c>
      <c r="C433">
        <v>6000</v>
      </c>
      <c r="D433">
        <v>5715</v>
      </c>
      <c r="E433" s="5">
        <f t="shared" si="25"/>
        <v>285</v>
      </c>
      <c r="F433" s="5">
        <f t="shared" si="26"/>
        <v>81225</v>
      </c>
      <c r="G433" s="6">
        <f>SQRT(SUM($F$2:F433)/A433)</f>
        <v>1252.3388258463531</v>
      </c>
      <c r="H433" s="5">
        <f t="shared" si="27"/>
        <v>1</v>
      </c>
      <c r="I433" s="5">
        <f t="shared" si="28"/>
        <v>1</v>
      </c>
    </row>
    <row r="434" spans="1:9">
      <c r="A434">
        <v>433</v>
      </c>
      <c r="B434">
        <v>9</v>
      </c>
      <c r="C434">
        <v>6000</v>
      </c>
      <c r="D434">
        <v>4972</v>
      </c>
      <c r="E434" s="5">
        <f t="shared" si="25"/>
        <v>1028</v>
      </c>
      <c r="F434" s="5">
        <f t="shared" si="26"/>
        <v>1056784</v>
      </c>
      <c r="G434" s="6">
        <f>SQRT(SUM($F$2:F434)/A434)</f>
        <v>1251.8670389226156</v>
      </c>
      <c r="H434" s="5">
        <f t="shared" si="27"/>
        <v>1</v>
      </c>
      <c r="I434" s="5">
        <f t="shared" si="28"/>
        <v>0</v>
      </c>
    </row>
    <row r="435" spans="1:9">
      <c r="A435">
        <v>434</v>
      </c>
      <c r="B435">
        <v>10</v>
      </c>
      <c r="C435">
        <v>6000</v>
      </c>
      <c r="D435">
        <v>6223</v>
      </c>
      <c r="E435" s="5">
        <f t="shared" si="25"/>
        <v>223</v>
      </c>
      <c r="F435" s="5">
        <f t="shared" si="26"/>
        <v>49729</v>
      </c>
      <c r="G435" s="6">
        <f>SQRT(SUM($F$2:F435)/A435)</f>
        <v>1250.4697808468063</v>
      </c>
      <c r="H435" s="5">
        <f t="shared" si="27"/>
        <v>1</v>
      </c>
      <c r="I435" s="5">
        <f t="shared" si="28"/>
        <v>1</v>
      </c>
    </row>
    <row r="436" spans="1:9">
      <c r="A436">
        <v>435</v>
      </c>
      <c r="B436">
        <v>9</v>
      </c>
      <c r="C436">
        <v>6000</v>
      </c>
      <c r="D436">
        <v>5610</v>
      </c>
      <c r="E436" s="5">
        <f t="shared" si="25"/>
        <v>390</v>
      </c>
      <c r="F436" s="5">
        <f t="shared" si="26"/>
        <v>152100</v>
      </c>
      <c r="G436" s="6">
        <f>SQRT(SUM($F$2:F436)/A436)</f>
        <v>1249.1715949232989</v>
      </c>
      <c r="H436" s="5">
        <f t="shared" si="27"/>
        <v>1</v>
      </c>
      <c r="I436" s="5">
        <f t="shared" si="28"/>
        <v>1</v>
      </c>
    </row>
    <row r="437" spans="1:9">
      <c r="A437">
        <v>436</v>
      </c>
      <c r="B437">
        <v>10</v>
      </c>
      <c r="C437">
        <v>6000</v>
      </c>
      <c r="D437">
        <v>5369</v>
      </c>
      <c r="E437" s="5">
        <f t="shared" si="25"/>
        <v>631</v>
      </c>
      <c r="F437" s="5">
        <f t="shared" si="26"/>
        <v>398161</v>
      </c>
      <c r="G437" s="6">
        <f>SQRT(SUM($F$2:F437)/A437)</f>
        <v>1248.1041301609296</v>
      </c>
      <c r="H437" s="5">
        <f t="shared" si="27"/>
        <v>1</v>
      </c>
      <c r="I437" s="5">
        <f t="shared" si="28"/>
        <v>0</v>
      </c>
    </row>
    <row r="438" spans="1:9">
      <c r="A438">
        <v>437</v>
      </c>
      <c r="B438">
        <v>10</v>
      </c>
      <c r="C438">
        <v>6000</v>
      </c>
      <c r="D438">
        <v>4659</v>
      </c>
      <c r="E438" s="5">
        <f t="shared" si="25"/>
        <v>1341</v>
      </c>
      <c r="F438" s="5">
        <f t="shared" si="26"/>
        <v>1798281</v>
      </c>
      <c r="G438" s="6">
        <f>SQRT(SUM($F$2:F438)/A438)</f>
        <v>1248.324598035101</v>
      </c>
      <c r="H438" s="5">
        <f t="shared" si="27"/>
        <v>0</v>
      </c>
      <c r="I438" s="5">
        <f t="shared" si="28"/>
        <v>0</v>
      </c>
    </row>
    <row r="439" spans="1:9">
      <c r="A439">
        <v>438</v>
      </c>
      <c r="B439">
        <v>11</v>
      </c>
      <c r="C439">
        <v>6000</v>
      </c>
      <c r="D439">
        <v>2241</v>
      </c>
      <c r="E439" s="5">
        <f t="shared" si="25"/>
        <v>3759</v>
      </c>
      <c r="F439" s="5">
        <f t="shared" si="26"/>
        <v>14130081</v>
      </c>
      <c r="G439" s="6">
        <f>SQRT(SUM($F$2:F439)/A439)</f>
        <v>1259.7686159582738</v>
      </c>
      <c r="H439" s="5">
        <f t="shared" si="27"/>
        <v>0</v>
      </c>
      <c r="I439" s="5">
        <f t="shared" si="28"/>
        <v>0</v>
      </c>
    </row>
    <row r="440" spans="1:9">
      <c r="A440">
        <v>439</v>
      </c>
      <c r="B440">
        <v>14</v>
      </c>
      <c r="C440">
        <v>6000</v>
      </c>
      <c r="D440">
        <v>3569</v>
      </c>
      <c r="E440" s="5">
        <f t="shared" si="25"/>
        <v>2431</v>
      </c>
      <c r="F440" s="5">
        <f t="shared" si="26"/>
        <v>5909761</v>
      </c>
      <c r="G440" s="6">
        <f>SQRT(SUM($F$2:F440)/A440)</f>
        <v>1263.6707494826135</v>
      </c>
      <c r="H440" s="5">
        <f t="shared" si="27"/>
        <v>0</v>
      </c>
      <c r="I440" s="5">
        <f t="shared" si="28"/>
        <v>0</v>
      </c>
    </row>
    <row r="441" spans="1:9">
      <c r="A441">
        <v>440</v>
      </c>
      <c r="B441">
        <v>14</v>
      </c>
      <c r="C441">
        <v>6000</v>
      </c>
      <c r="D441">
        <v>7770</v>
      </c>
      <c r="E441" s="5">
        <f t="shared" si="25"/>
        <v>1770</v>
      </c>
      <c r="F441" s="5">
        <f t="shared" si="26"/>
        <v>3132900</v>
      </c>
      <c r="G441" s="6">
        <f>SQRT(SUM($F$2:F441)/A441)</f>
        <v>1265.0512853420032</v>
      </c>
      <c r="H441" s="5">
        <f t="shared" si="27"/>
        <v>0</v>
      </c>
      <c r="I441" s="5">
        <f t="shared" si="28"/>
        <v>0</v>
      </c>
    </row>
    <row r="442" spans="1:9">
      <c r="A442">
        <v>441</v>
      </c>
      <c r="B442">
        <v>9</v>
      </c>
      <c r="C442">
        <v>6000</v>
      </c>
      <c r="D442">
        <v>5783</v>
      </c>
      <c r="E442" s="5">
        <f t="shared" si="25"/>
        <v>217</v>
      </c>
      <c r="F442" s="5">
        <f t="shared" si="26"/>
        <v>47089</v>
      </c>
      <c r="G442" s="6">
        <f>SQRT(SUM($F$2:F442)/A442)</f>
        <v>1263.6584229835705</v>
      </c>
      <c r="H442" s="5">
        <f t="shared" si="27"/>
        <v>1</v>
      </c>
      <c r="I442" s="5">
        <f t="shared" si="28"/>
        <v>1</v>
      </c>
    </row>
    <row r="443" spans="1:9">
      <c r="A443">
        <v>442</v>
      </c>
      <c r="B443">
        <v>11</v>
      </c>
      <c r="C443">
        <v>6000</v>
      </c>
      <c r="D443">
        <v>6881</v>
      </c>
      <c r="E443" s="5">
        <f t="shared" si="25"/>
        <v>881</v>
      </c>
      <c r="F443" s="5">
        <f t="shared" si="26"/>
        <v>776161</v>
      </c>
      <c r="G443" s="6">
        <f>SQRT(SUM($F$2:F443)/A443)</f>
        <v>1262.9235475189414</v>
      </c>
      <c r="H443" s="5">
        <f t="shared" si="27"/>
        <v>1</v>
      </c>
      <c r="I443" s="5">
        <f t="shared" si="28"/>
        <v>0</v>
      </c>
    </row>
    <row r="444" spans="1:9">
      <c r="A444">
        <v>443</v>
      </c>
      <c r="B444">
        <v>10</v>
      </c>
      <c r="C444">
        <v>6000</v>
      </c>
      <c r="D444">
        <v>5144</v>
      </c>
      <c r="E444" s="5">
        <f t="shared" si="25"/>
        <v>856</v>
      </c>
      <c r="F444" s="5">
        <f t="shared" si="26"/>
        <v>732736</v>
      </c>
      <c r="G444" s="6">
        <f>SQRT(SUM($F$2:F444)/A444)</f>
        <v>1262.1527330100328</v>
      </c>
      <c r="H444" s="5">
        <f t="shared" si="27"/>
        <v>1</v>
      </c>
      <c r="I444" s="5">
        <f t="shared" si="28"/>
        <v>0</v>
      </c>
    </row>
    <row r="445" spans="1:9">
      <c r="A445">
        <v>444</v>
      </c>
      <c r="B445">
        <v>12</v>
      </c>
      <c r="C445">
        <v>6000</v>
      </c>
      <c r="D445">
        <v>7313</v>
      </c>
      <c r="E445" s="5">
        <f t="shared" si="25"/>
        <v>1313</v>
      </c>
      <c r="F445" s="5">
        <f t="shared" si="26"/>
        <v>1723969</v>
      </c>
      <c r="G445" s="6">
        <f>SQRT(SUM($F$2:F445)/A445)</f>
        <v>1262.2695552773901</v>
      </c>
      <c r="H445" s="5">
        <f t="shared" si="27"/>
        <v>0</v>
      </c>
      <c r="I445" s="5">
        <f t="shared" si="28"/>
        <v>0</v>
      </c>
    </row>
    <row r="446" spans="1:9">
      <c r="A446">
        <v>445</v>
      </c>
      <c r="B446">
        <v>9</v>
      </c>
      <c r="C446">
        <v>6000</v>
      </c>
      <c r="D446">
        <v>5080</v>
      </c>
      <c r="E446" s="5">
        <f t="shared" si="25"/>
        <v>920</v>
      </c>
      <c r="F446" s="5">
        <f t="shared" si="26"/>
        <v>846400</v>
      </c>
      <c r="G446" s="6">
        <f>SQRT(SUM($F$2:F446)/A446)</f>
        <v>1261.6045134330357</v>
      </c>
      <c r="H446" s="5">
        <f t="shared" si="27"/>
        <v>1</v>
      </c>
      <c r="I446" s="5">
        <f t="shared" si="28"/>
        <v>0</v>
      </c>
    </row>
    <row r="447" spans="1:9">
      <c r="A447">
        <v>446</v>
      </c>
      <c r="B447">
        <v>12</v>
      </c>
      <c r="C447">
        <v>6000</v>
      </c>
      <c r="D447">
        <v>6209</v>
      </c>
      <c r="E447" s="5">
        <f t="shared" si="25"/>
        <v>209</v>
      </c>
      <c r="F447" s="5">
        <f t="shared" si="26"/>
        <v>43681</v>
      </c>
      <c r="G447" s="6">
        <f>SQRT(SUM($F$2:F447)/A447)</f>
        <v>1260.2282233341277</v>
      </c>
      <c r="H447" s="5">
        <f t="shared" si="27"/>
        <v>1</v>
      </c>
      <c r="I447" s="5">
        <f t="shared" si="28"/>
        <v>1</v>
      </c>
    </row>
    <row r="448" spans="1:9">
      <c r="A448">
        <v>447</v>
      </c>
      <c r="B448">
        <v>11</v>
      </c>
      <c r="C448">
        <v>6000</v>
      </c>
      <c r="D448">
        <v>6689</v>
      </c>
      <c r="E448" s="5">
        <f t="shared" si="25"/>
        <v>689</v>
      </c>
      <c r="F448" s="5">
        <f t="shared" si="26"/>
        <v>474721</v>
      </c>
      <c r="G448" s="6">
        <f>SQRT(SUM($F$2:F448)/A448)</f>
        <v>1259.2395427204401</v>
      </c>
      <c r="H448" s="5">
        <f t="shared" si="27"/>
        <v>1</v>
      </c>
      <c r="I448" s="5">
        <f t="shared" si="28"/>
        <v>0</v>
      </c>
    </row>
    <row r="449" spans="1:9">
      <c r="A449">
        <v>448</v>
      </c>
      <c r="B449">
        <v>10</v>
      </c>
      <c r="C449">
        <v>6000</v>
      </c>
      <c r="D449">
        <v>5856</v>
      </c>
      <c r="E449" s="5">
        <f t="shared" si="25"/>
        <v>144</v>
      </c>
      <c r="F449" s="5">
        <f t="shared" si="26"/>
        <v>20736</v>
      </c>
      <c r="G449" s="6">
        <f>SQRT(SUM($F$2:F449)/A449)</f>
        <v>1257.851755154966</v>
      </c>
      <c r="H449" s="5">
        <f t="shared" si="27"/>
        <v>1</v>
      </c>
      <c r="I449" s="5">
        <f t="shared" si="28"/>
        <v>1</v>
      </c>
    </row>
    <row r="450" spans="1:9">
      <c r="A450">
        <v>449</v>
      </c>
      <c r="B450">
        <v>11</v>
      </c>
      <c r="C450">
        <v>6000</v>
      </c>
      <c r="D450">
        <v>6813</v>
      </c>
      <c r="E450" s="5">
        <f t="shared" si="25"/>
        <v>813</v>
      </c>
      <c r="F450" s="5">
        <f t="shared" si="26"/>
        <v>660969</v>
      </c>
      <c r="G450" s="6">
        <f>SQRT(SUM($F$2:F450)/A450)</f>
        <v>1257.0359256940603</v>
      </c>
      <c r="H450" s="5">
        <f t="shared" si="27"/>
        <v>1</v>
      </c>
      <c r="I450" s="5">
        <f t="shared" si="28"/>
        <v>0</v>
      </c>
    </row>
    <row r="451" spans="1:9">
      <c r="A451">
        <v>450</v>
      </c>
      <c r="B451">
        <v>10</v>
      </c>
      <c r="C451">
        <v>6000</v>
      </c>
      <c r="D451">
        <v>5656</v>
      </c>
      <c r="E451" s="5">
        <f t="shared" ref="E451:E514" si="29">ABS(C451-D451)</f>
        <v>344</v>
      </c>
      <c r="F451" s="5">
        <f t="shared" ref="F451:F514" si="30">POWER(E451,2)</f>
        <v>118336</v>
      </c>
      <c r="G451" s="6">
        <f>SQRT(SUM($F$2:F451)/A451)</f>
        <v>1255.7431531434549</v>
      </c>
      <c r="H451" s="5">
        <f t="shared" ref="H451:H514" si="31">IF(ABS(E451)/C451&gt;0.2,0,1)</f>
        <v>1</v>
      </c>
      <c r="I451" s="5">
        <f t="shared" ref="I451:I514" si="32">IF(ABS(E451)/C451&gt;0.1,0,1)</f>
        <v>1</v>
      </c>
    </row>
    <row r="452" spans="1:9">
      <c r="A452">
        <v>451</v>
      </c>
      <c r="B452">
        <v>11</v>
      </c>
      <c r="C452">
        <v>6000</v>
      </c>
      <c r="D452">
        <v>6188</v>
      </c>
      <c r="E452" s="5">
        <f t="shared" si="29"/>
        <v>188</v>
      </c>
      <c r="F452" s="5">
        <f t="shared" si="30"/>
        <v>35344</v>
      </c>
      <c r="G452" s="6">
        <f>SQRT(SUM($F$2:F452)/A452)</f>
        <v>1254.3814422498263</v>
      </c>
      <c r="H452" s="5">
        <f t="shared" si="31"/>
        <v>1</v>
      </c>
      <c r="I452" s="5">
        <f t="shared" si="32"/>
        <v>1</v>
      </c>
    </row>
    <row r="453" spans="1:9">
      <c r="A453">
        <v>452</v>
      </c>
      <c r="B453">
        <v>10</v>
      </c>
      <c r="C453">
        <v>6000</v>
      </c>
      <c r="D453">
        <v>6437</v>
      </c>
      <c r="E453" s="5">
        <f t="shared" si="29"/>
        <v>437</v>
      </c>
      <c r="F453" s="5">
        <f t="shared" si="30"/>
        <v>190969</v>
      </c>
      <c r="G453" s="6">
        <f>SQRT(SUM($F$2:F453)/A453)</f>
        <v>1253.1616679140818</v>
      </c>
      <c r="H453" s="5">
        <f t="shared" si="31"/>
        <v>1</v>
      </c>
      <c r="I453" s="5">
        <f t="shared" si="32"/>
        <v>1</v>
      </c>
    </row>
    <row r="454" spans="1:9">
      <c r="A454">
        <v>453</v>
      </c>
      <c r="B454">
        <v>10</v>
      </c>
      <c r="C454">
        <v>6000</v>
      </c>
      <c r="D454">
        <v>6300</v>
      </c>
      <c r="E454" s="5">
        <f t="shared" si="29"/>
        <v>300</v>
      </c>
      <c r="F454" s="5">
        <f t="shared" si="30"/>
        <v>90000</v>
      </c>
      <c r="G454" s="6">
        <f>SQRT(SUM($F$2:F454)/A454)</f>
        <v>1251.8570778998132</v>
      </c>
      <c r="H454" s="5">
        <f t="shared" si="31"/>
        <v>1</v>
      </c>
      <c r="I454" s="5">
        <f t="shared" si="32"/>
        <v>1</v>
      </c>
    </row>
    <row r="455" spans="1:9">
      <c r="A455">
        <v>454</v>
      </c>
      <c r="B455">
        <v>10</v>
      </c>
      <c r="C455">
        <v>6000</v>
      </c>
      <c r="D455">
        <v>6156</v>
      </c>
      <c r="E455" s="5">
        <f t="shared" si="29"/>
        <v>156</v>
      </c>
      <c r="F455" s="5">
        <f t="shared" si="30"/>
        <v>24336</v>
      </c>
      <c r="G455" s="6">
        <f>SQRT(SUM($F$2:F455)/A455)</f>
        <v>1250.4990536821338</v>
      </c>
      <c r="H455" s="5">
        <f t="shared" si="31"/>
        <v>1</v>
      </c>
      <c r="I455" s="5">
        <f t="shared" si="32"/>
        <v>1</v>
      </c>
    </row>
    <row r="456" spans="1:9">
      <c r="A456">
        <v>455</v>
      </c>
      <c r="B456">
        <v>10</v>
      </c>
      <c r="C456">
        <v>6000</v>
      </c>
      <c r="D456">
        <v>6057</v>
      </c>
      <c r="E456" s="5">
        <f t="shared" si="29"/>
        <v>57</v>
      </c>
      <c r="F456" s="5">
        <f t="shared" si="30"/>
        <v>3249</v>
      </c>
      <c r="G456" s="6">
        <f>SQRT(SUM($F$2:F456)/A456)</f>
        <v>1249.1269812891783</v>
      </c>
      <c r="H456" s="5">
        <f t="shared" si="31"/>
        <v>1</v>
      </c>
      <c r="I456" s="5">
        <f t="shared" si="32"/>
        <v>1</v>
      </c>
    </row>
    <row r="457" spans="1:9">
      <c r="A457">
        <v>456</v>
      </c>
      <c r="B457">
        <v>10</v>
      </c>
      <c r="C457">
        <v>6000</v>
      </c>
      <c r="D457">
        <v>6235</v>
      </c>
      <c r="E457" s="5">
        <f t="shared" si="29"/>
        <v>235</v>
      </c>
      <c r="F457" s="5">
        <f t="shared" si="30"/>
        <v>55225</v>
      </c>
      <c r="G457" s="6">
        <f>SQRT(SUM($F$2:F457)/A457)</f>
        <v>1247.8051019163295</v>
      </c>
      <c r="H457" s="5">
        <f t="shared" si="31"/>
        <v>1</v>
      </c>
      <c r="I457" s="5">
        <f t="shared" si="32"/>
        <v>1</v>
      </c>
    </row>
    <row r="458" spans="1:9">
      <c r="A458">
        <v>457</v>
      </c>
      <c r="B458">
        <v>10</v>
      </c>
      <c r="C458">
        <v>6000</v>
      </c>
      <c r="D458">
        <v>6194</v>
      </c>
      <c r="E458" s="5">
        <f t="shared" si="29"/>
        <v>194</v>
      </c>
      <c r="F458" s="5">
        <f t="shared" si="30"/>
        <v>37636</v>
      </c>
      <c r="G458" s="6">
        <f>SQRT(SUM($F$2:F458)/A458)</f>
        <v>1246.4721762696679</v>
      </c>
      <c r="H458" s="5">
        <f t="shared" si="31"/>
        <v>1</v>
      </c>
      <c r="I458" s="5">
        <f t="shared" si="32"/>
        <v>1</v>
      </c>
    </row>
    <row r="459" spans="1:9">
      <c r="A459">
        <v>458</v>
      </c>
      <c r="B459">
        <v>10</v>
      </c>
      <c r="C459">
        <v>6000</v>
      </c>
      <c r="D459">
        <v>6231</v>
      </c>
      <c r="E459" s="5">
        <f t="shared" si="29"/>
        <v>231</v>
      </c>
      <c r="F459" s="5">
        <f t="shared" si="30"/>
        <v>53361</v>
      </c>
      <c r="G459" s="6">
        <f>SQRT(SUM($F$2:F459)/A459)</f>
        <v>1245.1574408088909</v>
      </c>
      <c r="H459" s="5">
        <f t="shared" si="31"/>
        <v>1</v>
      </c>
      <c r="I459" s="5">
        <f t="shared" si="32"/>
        <v>1</v>
      </c>
    </row>
    <row r="460" spans="1:9">
      <c r="A460">
        <v>459</v>
      </c>
      <c r="B460">
        <v>10</v>
      </c>
      <c r="C460">
        <v>6000</v>
      </c>
      <c r="D460">
        <v>5722</v>
      </c>
      <c r="E460" s="5">
        <f t="shared" si="29"/>
        <v>278</v>
      </c>
      <c r="F460" s="5">
        <f t="shared" si="30"/>
        <v>77284</v>
      </c>
      <c r="G460" s="6">
        <f>SQRT(SUM($F$2:F460)/A460)</f>
        <v>1243.8680043318245</v>
      </c>
      <c r="H460" s="5">
        <f t="shared" si="31"/>
        <v>1</v>
      </c>
      <c r="I460" s="5">
        <f t="shared" si="32"/>
        <v>1</v>
      </c>
    </row>
    <row r="461" spans="1:9">
      <c r="A461">
        <v>460</v>
      </c>
      <c r="B461">
        <v>10</v>
      </c>
      <c r="C461">
        <v>6000</v>
      </c>
      <c r="D461">
        <v>6014</v>
      </c>
      <c r="E461" s="5">
        <f t="shared" si="29"/>
        <v>14</v>
      </c>
      <c r="F461" s="5">
        <f t="shared" si="30"/>
        <v>196</v>
      </c>
      <c r="G461" s="6">
        <f>SQRT(SUM($F$2:F461)/A461)</f>
        <v>1242.5154097548493</v>
      </c>
      <c r="H461" s="5">
        <f t="shared" si="31"/>
        <v>1</v>
      </c>
      <c r="I461" s="5">
        <f t="shared" si="32"/>
        <v>1</v>
      </c>
    </row>
    <row r="462" spans="1:9">
      <c r="A462">
        <v>461</v>
      </c>
      <c r="B462">
        <v>10</v>
      </c>
      <c r="C462">
        <v>6000</v>
      </c>
      <c r="D462">
        <v>6330</v>
      </c>
      <c r="E462" s="5">
        <f t="shared" si="29"/>
        <v>330</v>
      </c>
      <c r="F462" s="5">
        <f t="shared" si="30"/>
        <v>108900</v>
      </c>
      <c r="G462" s="6">
        <f>SQRT(SUM($F$2:F462)/A462)</f>
        <v>1241.2622065904372</v>
      </c>
      <c r="H462" s="5">
        <f t="shared" si="31"/>
        <v>1</v>
      </c>
      <c r="I462" s="5">
        <f t="shared" si="32"/>
        <v>1</v>
      </c>
    </row>
    <row r="463" spans="1:9">
      <c r="A463">
        <v>462</v>
      </c>
      <c r="B463">
        <v>10</v>
      </c>
      <c r="C463">
        <v>6000</v>
      </c>
      <c r="D463">
        <v>6019</v>
      </c>
      <c r="E463" s="5">
        <f t="shared" si="29"/>
        <v>19</v>
      </c>
      <c r="F463" s="5">
        <f t="shared" si="30"/>
        <v>361</v>
      </c>
      <c r="G463" s="6">
        <f>SQRT(SUM($F$2:F463)/A463)</f>
        <v>1239.9184366067107</v>
      </c>
      <c r="H463" s="5">
        <f t="shared" si="31"/>
        <v>1</v>
      </c>
      <c r="I463" s="5">
        <f t="shared" si="32"/>
        <v>1</v>
      </c>
    </row>
    <row r="464" spans="1:9">
      <c r="A464">
        <v>463</v>
      </c>
      <c r="B464">
        <v>10</v>
      </c>
      <c r="C464">
        <v>6000</v>
      </c>
      <c r="D464">
        <v>5930</v>
      </c>
      <c r="E464" s="5">
        <f t="shared" si="29"/>
        <v>70</v>
      </c>
      <c r="F464" s="5">
        <f t="shared" si="30"/>
        <v>4900</v>
      </c>
      <c r="G464" s="6">
        <f>SQRT(SUM($F$2:F464)/A464)</f>
        <v>1238.5829803190697</v>
      </c>
      <c r="H464" s="5">
        <f t="shared" si="31"/>
        <v>1</v>
      </c>
      <c r="I464" s="5">
        <f t="shared" si="32"/>
        <v>1</v>
      </c>
    </row>
    <row r="465" spans="1:9">
      <c r="A465">
        <v>464</v>
      </c>
      <c r="B465">
        <v>10</v>
      </c>
      <c r="C465">
        <v>6000</v>
      </c>
      <c r="D465">
        <v>5999</v>
      </c>
      <c r="E465" s="5">
        <f t="shared" si="29"/>
        <v>1</v>
      </c>
      <c r="F465" s="5">
        <f t="shared" si="30"/>
        <v>1</v>
      </c>
      <c r="G465" s="6">
        <f>SQRT(SUM($F$2:F465)/A465)</f>
        <v>1237.2475813620356</v>
      </c>
      <c r="H465" s="5">
        <f t="shared" si="31"/>
        <v>1</v>
      </c>
      <c r="I465" s="5">
        <f t="shared" si="32"/>
        <v>1</v>
      </c>
    </row>
    <row r="466" spans="1:9">
      <c r="A466">
        <v>465</v>
      </c>
      <c r="B466">
        <v>10</v>
      </c>
      <c r="C466">
        <v>6000</v>
      </c>
      <c r="D466">
        <v>6697</v>
      </c>
      <c r="E466" s="5">
        <f t="shared" si="29"/>
        <v>697</v>
      </c>
      <c r="F466" s="5">
        <f t="shared" si="30"/>
        <v>485809</v>
      </c>
      <c r="G466" s="6">
        <f>SQRT(SUM($F$2:F466)/A466)</f>
        <v>1236.3390816160359</v>
      </c>
      <c r="H466" s="5">
        <f t="shared" si="31"/>
        <v>1</v>
      </c>
      <c r="I466" s="5">
        <f t="shared" si="32"/>
        <v>0</v>
      </c>
    </row>
    <row r="467" spans="1:9">
      <c r="A467">
        <v>466</v>
      </c>
      <c r="B467">
        <v>9</v>
      </c>
      <c r="C467">
        <v>6000</v>
      </c>
      <c r="D467">
        <v>5022</v>
      </c>
      <c r="E467" s="5">
        <f t="shared" si="29"/>
        <v>978</v>
      </c>
      <c r="F467" s="5">
        <f t="shared" si="30"/>
        <v>956484</v>
      </c>
      <c r="G467" s="6">
        <f>SQRT(SUM($F$2:F467)/A467)</f>
        <v>1235.8425259421358</v>
      </c>
      <c r="H467" s="5">
        <f t="shared" si="31"/>
        <v>1</v>
      </c>
      <c r="I467" s="5">
        <f t="shared" si="32"/>
        <v>0</v>
      </c>
    </row>
    <row r="468" spans="1:9">
      <c r="A468">
        <v>467</v>
      </c>
      <c r="B468">
        <v>11</v>
      </c>
      <c r="C468">
        <v>6000</v>
      </c>
      <c r="D468">
        <v>6085</v>
      </c>
      <c r="E468" s="5">
        <f t="shared" si="29"/>
        <v>85</v>
      </c>
      <c r="F468" s="5">
        <f t="shared" si="30"/>
        <v>7225</v>
      </c>
      <c r="G468" s="6">
        <f>SQRT(SUM($F$2:F468)/A468)</f>
        <v>1234.5249110036827</v>
      </c>
      <c r="H468" s="5">
        <f t="shared" si="31"/>
        <v>1</v>
      </c>
      <c r="I468" s="5">
        <f t="shared" si="32"/>
        <v>1</v>
      </c>
    </row>
    <row r="469" spans="1:9">
      <c r="A469">
        <v>468</v>
      </c>
      <c r="B469">
        <v>10</v>
      </c>
      <c r="C469">
        <v>6000</v>
      </c>
      <c r="D469">
        <v>6078</v>
      </c>
      <c r="E469" s="5">
        <f t="shared" si="29"/>
        <v>78</v>
      </c>
      <c r="F469" s="5">
        <f t="shared" si="30"/>
        <v>6084</v>
      </c>
      <c r="G469" s="6">
        <f>SQRT(SUM($F$2:F469)/A469)</f>
        <v>1233.2105396252234</v>
      </c>
      <c r="H469" s="5">
        <f t="shared" si="31"/>
        <v>1</v>
      </c>
      <c r="I469" s="5">
        <f t="shared" si="32"/>
        <v>1</v>
      </c>
    </row>
    <row r="470" spans="1:9">
      <c r="A470">
        <v>469</v>
      </c>
      <c r="B470">
        <v>10</v>
      </c>
      <c r="C470">
        <v>6000</v>
      </c>
      <c r="D470">
        <v>6494</v>
      </c>
      <c r="E470" s="5">
        <f t="shared" si="29"/>
        <v>494</v>
      </c>
      <c r="F470" s="5">
        <f t="shared" si="30"/>
        <v>244036</v>
      </c>
      <c r="G470" s="6">
        <f>SQRT(SUM($F$2:F470)/A470)</f>
        <v>1232.106288508978</v>
      </c>
      <c r="H470" s="5">
        <f t="shared" si="31"/>
        <v>1</v>
      </c>
      <c r="I470" s="5">
        <f t="shared" si="32"/>
        <v>1</v>
      </c>
    </row>
    <row r="471" spans="1:9">
      <c r="A471">
        <v>470</v>
      </c>
      <c r="B471">
        <v>10</v>
      </c>
      <c r="C471">
        <v>6000</v>
      </c>
      <c r="D471">
        <v>6155</v>
      </c>
      <c r="E471" s="5">
        <f t="shared" si="29"/>
        <v>155</v>
      </c>
      <c r="F471" s="5">
        <f t="shared" si="30"/>
        <v>24025</v>
      </c>
      <c r="G471" s="6">
        <f>SQRT(SUM($F$2:F471)/A471)</f>
        <v>1230.8156048699941</v>
      </c>
      <c r="H471" s="5">
        <f t="shared" si="31"/>
        <v>1</v>
      </c>
      <c r="I471" s="5">
        <f t="shared" si="32"/>
        <v>1</v>
      </c>
    </row>
    <row r="472" spans="1:9">
      <c r="A472">
        <v>471</v>
      </c>
      <c r="B472">
        <v>10</v>
      </c>
      <c r="C472">
        <v>6000</v>
      </c>
      <c r="D472">
        <v>6134</v>
      </c>
      <c r="E472" s="5">
        <f t="shared" si="29"/>
        <v>134</v>
      </c>
      <c r="F472" s="5">
        <f t="shared" si="30"/>
        <v>17956</v>
      </c>
      <c r="G472" s="6">
        <f>SQRT(SUM($F$2:F472)/A472)</f>
        <v>1229.5238156145988</v>
      </c>
      <c r="H472" s="5">
        <f t="shared" si="31"/>
        <v>1</v>
      </c>
      <c r="I472" s="5">
        <f t="shared" si="32"/>
        <v>1</v>
      </c>
    </row>
    <row r="473" spans="1:9">
      <c r="A473">
        <v>472</v>
      </c>
      <c r="B473">
        <v>10</v>
      </c>
      <c r="C473">
        <v>6000</v>
      </c>
      <c r="D473">
        <v>5684</v>
      </c>
      <c r="E473" s="5">
        <f t="shared" si="29"/>
        <v>316</v>
      </c>
      <c r="F473" s="5">
        <f t="shared" si="30"/>
        <v>99856</v>
      </c>
      <c r="G473" s="6">
        <f>SQRT(SUM($F$2:F473)/A473)</f>
        <v>1228.3067846443696</v>
      </c>
      <c r="H473" s="5">
        <f t="shared" si="31"/>
        <v>1</v>
      </c>
      <c r="I473" s="5">
        <f t="shared" si="32"/>
        <v>1</v>
      </c>
    </row>
    <row r="474" spans="1:9">
      <c r="A474">
        <v>473</v>
      </c>
      <c r="B474">
        <v>10</v>
      </c>
      <c r="C474">
        <v>6000</v>
      </c>
      <c r="D474">
        <v>5800</v>
      </c>
      <c r="E474" s="5">
        <f t="shared" si="29"/>
        <v>200</v>
      </c>
      <c r="F474" s="5">
        <f t="shared" si="30"/>
        <v>40000</v>
      </c>
      <c r="G474" s="6">
        <f>SQRT(SUM($F$2:F474)/A474)</f>
        <v>1227.0421361165625</v>
      </c>
      <c r="H474" s="5">
        <f t="shared" si="31"/>
        <v>1</v>
      </c>
      <c r="I474" s="5">
        <f t="shared" si="32"/>
        <v>1</v>
      </c>
    </row>
    <row r="475" spans="1:9">
      <c r="A475">
        <v>474</v>
      </c>
      <c r="B475">
        <v>10</v>
      </c>
      <c r="C475">
        <v>6000</v>
      </c>
      <c r="D475">
        <v>5815</v>
      </c>
      <c r="E475" s="5">
        <f t="shared" si="29"/>
        <v>185</v>
      </c>
      <c r="F475" s="5">
        <f t="shared" si="30"/>
        <v>34225</v>
      </c>
      <c r="G475" s="6">
        <f>SQRT(SUM($F$2:F475)/A475)</f>
        <v>1225.7765574428201</v>
      </c>
      <c r="H475" s="5">
        <f t="shared" si="31"/>
        <v>1</v>
      </c>
      <c r="I475" s="5">
        <f t="shared" si="32"/>
        <v>1</v>
      </c>
    </row>
    <row r="476" spans="1:9">
      <c r="A476">
        <v>475</v>
      </c>
      <c r="B476">
        <v>10</v>
      </c>
      <c r="C476">
        <v>6000</v>
      </c>
      <c r="D476">
        <v>5781</v>
      </c>
      <c r="E476" s="5">
        <f t="shared" si="29"/>
        <v>219</v>
      </c>
      <c r="F476" s="5">
        <f t="shared" si="30"/>
        <v>47961</v>
      </c>
      <c r="G476" s="6">
        <f>SQRT(SUM($F$2:F476)/A476)</f>
        <v>1224.5268155925633</v>
      </c>
      <c r="H476" s="5">
        <f t="shared" si="31"/>
        <v>1</v>
      </c>
      <c r="I476" s="5">
        <f t="shared" si="32"/>
        <v>1</v>
      </c>
    </row>
    <row r="477" spans="1:9">
      <c r="A477">
        <v>476</v>
      </c>
      <c r="B477">
        <v>10</v>
      </c>
      <c r="C477">
        <v>6000</v>
      </c>
      <c r="D477">
        <v>5582</v>
      </c>
      <c r="E477" s="5">
        <f t="shared" si="29"/>
        <v>418</v>
      </c>
      <c r="F477" s="5">
        <f t="shared" si="30"/>
        <v>174724</v>
      </c>
      <c r="G477" s="6">
        <f>SQRT(SUM($F$2:F477)/A477)</f>
        <v>1223.3899013970715</v>
      </c>
      <c r="H477" s="5">
        <f t="shared" si="31"/>
        <v>1</v>
      </c>
      <c r="I477" s="5">
        <f t="shared" si="32"/>
        <v>1</v>
      </c>
    </row>
    <row r="478" spans="1:9">
      <c r="A478">
        <v>477</v>
      </c>
      <c r="B478">
        <v>11</v>
      </c>
      <c r="C478">
        <v>6000</v>
      </c>
      <c r="D478">
        <v>6802</v>
      </c>
      <c r="E478" s="5">
        <f t="shared" si="29"/>
        <v>802</v>
      </c>
      <c r="F478" s="5">
        <f t="shared" si="30"/>
        <v>643204</v>
      </c>
      <c r="G478" s="6">
        <f>SQRT(SUM($F$2:F478)/A478)</f>
        <v>1222.6584097785026</v>
      </c>
      <c r="H478" s="5">
        <f t="shared" si="31"/>
        <v>1</v>
      </c>
      <c r="I478" s="5">
        <f t="shared" si="32"/>
        <v>0</v>
      </c>
    </row>
    <row r="479" spans="1:9">
      <c r="A479">
        <v>478</v>
      </c>
      <c r="B479">
        <v>9</v>
      </c>
      <c r="C479">
        <v>6000</v>
      </c>
      <c r="D479">
        <v>5746</v>
      </c>
      <c r="E479" s="5">
        <f t="shared" si="29"/>
        <v>254</v>
      </c>
      <c r="F479" s="5">
        <f t="shared" si="30"/>
        <v>64516</v>
      </c>
      <c r="G479" s="6">
        <f>SQRT(SUM($F$2:F479)/A479)</f>
        <v>1221.4340609594799</v>
      </c>
      <c r="H479" s="5">
        <f t="shared" si="31"/>
        <v>1</v>
      </c>
      <c r="I479" s="5">
        <f t="shared" si="32"/>
        <v>1</v>
      </c>
    </row>
    <row r="480" spans="1:9">
      <c r="A480">
        <v>479</v>
      </c>
      <c r="B480">
        <v>10</v>
      </c>
      <c r="C480">
        <v>6000</v>
      </c>
      <c r="D480">
        <v>5481</v>
      </c>
      <c r="E480" s="5">
        <f t="shared" si="29"/>
        <v>519</v>
      </c>
      <c r="F480" s="5">
        <f t="shared" si="30"/>
        <v>269361</v>
      </c>
      <c r="G480" s="6">
        <f>SQRT(SUM($F$2:F480)/A480)</f>
        <v>1220.3888271173325</v>
      </c>
      <c r="H480" s="5">
        <f t="shared" si="31"/>
        <v>1</v>
      </c>
      <c r="I480" s="5">
        <f t="shared" si="32"/>
        <v>1</v>
      </c>
    </row>
    <row r="481" spans="1:9">
      <c r="A481">
        <v>480</v>
      </c>
      <c r="B481">
        <v>11</v>
      </c>
      <c r="C481">
        <v>6000</v>
      </c>
      <c r="D481">
        <v>6928</v>
      </c>
      <c r="E481" s="5">
        <f t="shared" si="29"/>
        <v>928</v>
      </c>
      <c r="F481" s="5">
        <f t="shared" si="30"/>
        <v>861184</v>
      </c>
      <c r="G481" s="6">
        <f>SQRT(SUM($F$2:F481)/A481)</f>
        <v>1219.8525371945577</v>
      </c>
      <c r="H481" s="5">
        <f t="shared" si="31"/>
        <v>1</v>
      </c>
      <c r="I481" s="5">
        <f t="shared" si="32"/>
        <v>0</v>
      </c>
    </row>
    <row r="482" spans="1:9">
      <c r="A482">
        <v>481</v>
      </c>
      <c r="B482">
        <v>9</v>
      </c>
      <c r="C482">
        <v>6000</v>
      </c>
      <c r="D482">
        <v>5212</v>
      </c>
      <c r="E482" s="5">
        <f t="shared" si="29"/>
        <v>788</v>
      </c>
      <c r="F482" s="5">
        <f t="shared" si="30"/>
        <v>620944</v>
      </c>
      <c r="G482" s="6">
        <f>SQRT(SUM($F$2:F482)/A482)</f>
        <v>1219.1134146056788</v>
      </c>
      <c r="H482" s="5">
        <f t="shared" si="31"/>
        <v>1</v>
      </c>
      <c r="I482" s="5">
        <f t="shared" si="32"/>
        <v>0</v>
      </c>
    </row>
    <row r="483" spans="1:9">
      <c r="A483">
        <v>482</v>
      </c>
      <c r="B483">
        <v>11</v>
      </c>
      <c r="C483">
        <v>6000</v>
      </c>
      <c r="D483">
        <v>6736</v>
      </c>
      <c r="E483" s="5">
        <f t="shared" si="29"/>
        <v>736</v>
      </c>
      <c r="F483" s="5">
        <f t="shared" si="30"/>
        <v>541696</v>
      </c>
      <c r="G483" s="6">
        <f>SQRT(SUM($F$2:F483)/A483)</f>
        <v>1218.3094385117456</v>
      </c>
      <c r="H483" s="5">
        <f t="shared" si="31"/>
        <v>1</v>
      </c>
      <c r="I483" s="5">
        <f t="shared" si="32"/>
        <v>0</v>
      </c>
    </row>
    <row r="484" spans="1:9">
      <c r="A484">
        <v>483</v>
      </c>
      <c r="B484">
        <v>9</v>
      </c>
      <c r="C484">
        <v>6000</v>
      </c>
      <c r="D484">
        <v>5860</v>
      </c>
      <c r="E484" s="5">
        <f t="shared" si="29"/>
        <v>140</v>
      </c>
      <c r="F484" s="5">
        <f t="shared" si="30"/>
        <v>19600</v>
      </c>
      <c r="G484" s="6">
        <f>SQRT(SUM($F$2:F484)/A484)</f>
        <v>1217.0642664097195</v>
      </c>
      <c r="H484" s="5">
        <f t="shared" si="31"/>
        <v>1</v>
      </c>
      <c r="I484" s="5">
        <f t="shared" si="32"/>
        <v>1</v>
      </c>
    </row>
    <row r="485" spans="1:9">
      <c r="A485">
        <v>484</v>
      </c>
      <c r="B485">
        <v>10</v>
      </c>
      <c r="C485">
        <v>6000</v>
      </c>
      <c r="D485">
        <v>6622</v>
      </c>
      <c r="E485" s="5">
        <f t="shared" si="29"/>
        <v>622</v>
      </c>
      <c r="F485" s="5">
        <f t="shared" si="30"/>
        <v>386884</v>
      </c>
      <c r="G485" s="6">
        <f>SQRT(SUM($F$2:F485)/A485)</f>
        <v>1216.1350053508324</v>
      </c>
      <c r="H485" s="5">
        <f t="shared" si="31"/>
        <v>1</v>
      </c>
      <c r="I485" s="5">
        <f t="shared" si="32"/>
        <v>0</v>
      </c>
    </row>
    <row r="486" spans="1:9">
      <c r="A486">
        <v>485</v>
      </c>
      <c r="B486">
        <v>9</v>
      </c>
      <c r="C486">
        <v>6000</v>
      </c>
      <c r="D486">
        <v>5491</v>
      </c>
      <c r="E486" s="5">
        <f t="shared" si="29"/>
        <v>509</v>
      </c>
      <c r="F486" s="5">
        <f t="shared" si="30"/>
        <v>259081</v>
      </c>
      <c r="G486" s="6">
        <f>SQRT(SUM($F$2:F486)/A486)</f>
        <v>1215.1004430078767</v>
      </c>
      <c r="H486" s="5">
        <f t="shared" si="31"/>
        <v>1</v>
      </c>
      <c r="I486" s="5">
        <f t="shared" si="32"/>
        <v>1</v>
      </c>
    </row>
    <row r="487" spans="1:9">
      <c r="A487">
        <v>486</v>
      </c>
      <c r="B487">
        <v>11</v>
      </c>
      <c r="C487">
        <v>6000</v>
      </c>
      <c r="D487">
        <v>6164</v>
      </c>
      <c r="E487" s="5">
        <f t="shared" si="29"/>
        <v>164</v>
      </c>
      <c r="F487" s="5">
        <f t="shared" si="30"/>
        <v>26896</v>
      </c>
      <c r="G487" s="6">
        <f>SQRT(SUM($F$2:F487)/A487)</f>
        <v>1213.8724916258404</v>
      </c>
      <c r="H487" s="5">
        <f t="shared" si="31"/>
        <v>1</v>
      </c>
      <c r="I487" s="5">
        <f t="shared" si="32"/>
        <v>1</v>
      </c>
    </row>
    <row r="488" spans="1:9">
      <c r="A488">
        <v>487</v>
      </c>
      <c r="B488">
        <v>10</v>
      </c>
      <c r="C488">
        <v>6000</v>
      </c>
      <c r="D488">
        <v>6256</v>
      </c>
      <c r="E488" s="5">
        <f t="shared" si="29"/>
        <v>256</v>
      </c>
      <c r="F488" s="5">
        <f t="shared" si="30"/>
        <v>65536</v>
      </c>
      <c r="G488" s="6">
        <f>SQRT(SUM($F$2:F488)/A488)</f>
        <v>1212.6810616520436</v>
      </c>
      <c r="H488" s="5">
        <f t="shared" si="31"/>
        <v>1</v>
      </c>
      <c r="I488" s="5">
        <f t="shared" si="32"/>
        <v>1</v>
      </c>
    </row>
    <row r="489" spans="1:9">
      <c r="A489">
        <v>488</v>
      </c>
      <c r="B489">
        <v>10</v>
      </c>
      <c r="C489">
        <v>6000</v>
      </c>
      <c r="D489">
        <v>6224</v>
      </c>
      <c r="E489" s="5">
        <f t="shared" si="29"/>
        <v>224</v>
      </c>
      <c r="F489" s="5">
        <f t="shared" si="30"/>
        <v>50176</v>
      </c>
      <c r="G489" s="6">
        <f>SQRT(SUM($F$2:F489)/A489)</f>
        <v>1211.4803596778802</v>
      </c>
      <c r="H489" s="5">
        <f t="shared" si="31"/>
        <v>1</v>
      </c>
      <c r="I489" s="5">
        <f t="shared" si="32"/>
        <v>1</v>
      </c>
    </row>
    <row r="490" spans="1:9">
      <c r="A490">
        <v>489</v>
      </c>
      <c r="B490">
        <v>10</v>
      </c>
      <c r="C490">
        <v>6000</v>
      </c>
      <c r="D490">
        <v>6229</v>
      </c>
      <c r="E490" s="5">
        <f t="shared" si="29"/>
        <v>229</v>
      </c>
      <c r="F490" s="5">
        <f t="shared" si="30"/>
        <v>52441</v>
      </c>
      <c r="G490" s="6">
        <f>SQRT(SUM($F$2:F490)/A490)</f>
        <v>1210.2852982117417</v>
      </c>
      <c r="H490" s="5">
        <f t="shared" si="31"/>
        <v>1</v>
      </c>
      <c r="I490" s="5">
        <f t="shared" si="32"/>
        <v>1</v>
      </c>
    </row>
    <row r="491" spans="1:9">
      <c r="A491">
        <v>490</v>
      </c>
      <c r="B491">
        <v>10</v>
      </c>
      <c r="C491">
        <v>6000</v>
      </c>
      <c r="D491">
        <v>6191</v>
      </c>
      <c r="E491" s="5">
        <f t="shared" si="29"/>
        <v>191</v>
      </c>
      <c r="F491" s="5">
        <f t="shared" si="30"/>
        <v>36481</v>
      </c>
      <c r="G491" s="6">
        <f>SQRT(SUM($F$2:F491)/A491)</f>
        <v>1209.0804711491646</v>
      </c>
      <c r="H491" s="5">
        <f t="shared" si="31"/>
        <v>1</v>
      </c>
      <c r="I491" s="5">
        <f t="shared" si="32"/>
        <v>1</v>
      </c>
    </row>
    <row r="492" spans="1:9">
      <c r="A492">
        <v>491</v>
      </c>
      <c r="B492">
        <v>10</v>
      </c>
      <c r="C492">
        <v>6000</v>
      </c>
      <c r="D492">
        <v>6437</v>
      </c>
      <c r="E492" s="5">
        <f t="shared" si="29"/>
        <v>437</v>
      </c>
      <c r="F492" s="5">
        <f t="shared" si="30"/>
        <v>190969</v>
      </c>
      <c r="G492" s="6">
        <f>SQRT(SUM($F$2:F492)/A492)</f>
        <v>1208.009594855409</v>
      </c>
      <c r="H492" s="5">
        <f t="shared" si="31"/>
        <v>1</v>
      </c>
      <c r="I492" s="5">
        <f t="shared" si="32"/>
        <v>1</v>
      </c>
    </row>
    <row r="493" spans="1:9">
      <c r="A493">
        <v>492</v>
      </c>
      <c r="B493">
        <v>9</v>
      </c>
      <c r="C493">
        <v>6000</v>
      </c>
      <c r="D493">
        <v>5865</v>
      </c>
      <c r="E493" s="5">
        <f t="shared" si="29"/>
        <v>135</v>
      </c>
      <c r="F493" s="5">
        <f t="shared" si="30"/>
        <v>18225</v>
      </c>
      <c r="G493" s="6">
        <f>SQRT(SUM($F$2:F493)/A493)</f>
        <v>1206.7966660085829</v>
      </c>
      <c r="H493" s="5">
        <f t="shared" si="31"/>
        <v>1</v>
      </c>
      <c r="I493" s="5">
        <f t="shared" si="32"/>
        <v>1</v>
      </c>
    </row>
    <row r="494" spans="1:9">
      <c r="A494">
        <v>493</v>
      </c>
      <c r="B494">
        <v>10</v>
      </c>
      <c r="C494">
        <v>6000</v>
      </c>
      <c r="D494">
        <v>6558</v>
      </c>
      <c r="E494" s="5">
        <f t="shared" si="29"/>
        <v>558</v>
      </c>
      <c r="F494" s="5">
        <f t="shared" si="30"/>
        <v>311364</v>
      </c>
      <c r="G494" s="6">
        <f>SQRT(SUM($F$2:F494)/A494)</f>
        <v>1205.8340224322635</v>
      </c>
      <c r="H494" s="5">
        <f t="shared" si="31"/>
        <v>1</v>
      </c>
      <c r="I494" s="5">
        <f t="shared" si="32"/>
        <v>1</v>
      </c>
    </row>
    <row r="495" spans="1:9">
      <c r="A495">
        <v>494</v>
      </c>
      <c r="B495">
        <v>9</v>
      </c>
      <c r="C495">
        <v>6000</v>
      </c>
      <c r="D495">
        <v>5250</v>
      </c>
      <c r="E495" s="5">
        <f t="shared" si="29"/>
        <v>750</v>
      </c>
      <c r="F495" s="5">
        <f t="shared" si="30"/>
        <v>562500</v>
      </c>
      <c r="G495" s="6">
        <f>SQRT(SUM($F$2:F495)/A495)</f>
        <v>1205.0854581889457</v>
      </c>
      <c r="H495" s="5">
        <f t="shared" si="31"/>
        <v>1</v>
      </c>
      <c r="I495" s="5">
        <f t="shared" si="32"/>
        <v>0</v>
      </c>
    </row>
    <row r="496" spans="1:9">
      <c r="A496">
        <v>495</v>
      </c>
      <c r="B496">
        <v>10</v>
      </c>
      <c r="C496">
        <v>6000</v>
      </c>
      <c r="D496">
        <v>6085</v>
      </c>
      <c r="E496" s="5">
        <f t="shared" si="29"/>
        <v>85</v>
      </c>
      <c r="F496" s="5">
        <f t="shared" si="30"/>
        <v>7225</v>
      </c>
      <c r="G496" s="6">
        <f>SQRT(SUM($F$2:F496)/A496)</f>
        <v>1203.8736468482718</v>
      </c>
      <c r="H496" s="5">
        <f t="shared" si="31"/>
        <v>1</v>
      </c>
      <c r="I496" s="5">
        <f t="shared" si="32"/>
        <v>1</v>
      </c>
    </row>
    <row r="497" spans="1:9">
      <c r="A497">
        <v>496</v>
      </c>
      <c r="B497">
        <v>10</v>
      </c>
      <c r="C497">
        <v>6000</v>
      </c>
      <c r="D497">
        <v>5385</v>
      </c>
      <c r="E497" s="5">
        <f t="shared" si="29"/>
        <v>615</v>
      </c>
      <c r="F497" s="5">
        <f t="shared" si="30"/>
        <v>378225</v>
      </c>
      <c r="G497" s="6">
        <f>SQRT(SUM($F$2:F497)/A497)</f>
        <v>1202.9764372038806</v>
      </c>
      <c r="H497" s="5">
        <f t="shared" si="31"/>
        <v>1</v>
      </c>
      <c r="I497" s="5">
        <f t="shared" si="32"/>
        <v>0</v>
      </c>
    </row>
    <row r="498" spans="1:9">
      <c r="A498">
        <v>497</v>
      </c>
      <c r="B498">
        <v>10</v>
      </c>
      <c r="C498">
        <v>6000</v>
      </c>
      <c r="D498">
        <v>4774</v>
      </c>
      <c r="E498" s="5">
        <f t="shared" si="29"/>
        <v>1226</v>
      </c>
      <c r="F498" s="5">
        <f t="shared" si="30"/>
        <v>1503076</v>
      </c>
      <c r="G498" s="6">
        <f>SQRT(SUM($F$2:F498)/A498)</f>
        <v>1203.0232046747542</v>
      </c>
      <c r="H498" s="5">
        <f t="shared" si="31"/>
        <v>0</v>
      </c>
      <c r="I498" s="5">
        <f t="shared" si="32"/>
        <v>0</v>
      </c>
    </row>
    <row r="499" spans="1:9">
      <c r="A499">
        <v>498</v>
      </c>
      <c r="B499">
        <v>11</v>
      </c>
      <c r="C499">
        <v>6000</v>
      </c>
      <c r="D499">
        <v>2869</v>
      </c>
      <c r="E499" s="5">
        <f t="shared" si="29"/>
        <v>3131</v>
      </c>
      <c r="F499" s="5">
        <f t="shared" si="30"/>
        <v>9803161</v>
      </c>
      <c r="G499" s="6">
        <f>SQRT(SUM($F$2:F499)/A499)</f>
        <v>1209.9767514112918</v>
      </c>
      <c r="H499" s="5">
        <f t="shared" si="31"/>
        <v>0</v>
      </c>
      <c r="I499" s="5">
        <f t="shared" si="32"/>
        <v>0</v>
      </c>
    </row>
    <row r="500" spans="1:9">
      <c r="A500">
        <v>499</v>
      </c>
      <c r="B500">
        <v>14</v>
      </c>
      <c r="C500">
        <v>6000</v>
      </c>
      <c r="D500">
        <v>6755</v>
      </c>
      <c r="E500" s="5">
        <f t="shared" si="29"/>
        <v>755</v>
      </c>
      <c r="F500" s="5">
        <f t="shared" si="30"/>
        <v>570025</v>
      </c>
      <c r="G500" s="6">
        <f>SQRT(SUM($F$2:F500)/A500)</f>
        <v>1209.2361714059305</v>
      </c>
      <c r="H500" s="5">
        <f t="shared" si="31"/>
        <v>1</v>
      </c>
      <c r="I500" s="5">
        <f t="shared" si="32"/>
        <v>0</v>
      </c>
    </row>
    <row r="501" spans="1:9">
      <c r="A501">
        <v>500</v>
      </c>
      <c r="B501">
        <v>10</v>
      </c>
      <c r="C501">
        <v>6000</v>
      </c>
      <c r="D501">
        <v>5833</v>
      </c>
      <c r="E501" s="5">
        <f t="shared" si="29"/>
        <v>167</v>
      </c>
      <c r="F501" s="5">
        <f t="shared" si="30"/>
        <v>27889</v>
      </c>
      <c r="G501" s="6">
        <f>SQRT(SUM($F$2:F501)/A501)</f>
        <v>1208.0494162077973</v>
      </c>
      <c r="H501" s="5">
        <f t="shared" si="31"/>
        <v>1</v>
      </c>
      <c r="I501" s="5">
        <f t="shared" si="32"/>
        <v>1</v>
      </c>
    </row>
    <row r="502" spans="1:9">
      <c r="A502">
        <v>501</v>
      </c>
      <c r="B502">
        <v>11</v>
      </c>
      <c r="C502">
        <v>9000</v>
      </c>
      <c r="D502">
        <v>6131</v>
      </c>
      <c r="E502" s="5">
        <f t="shared" si="29"/>
        <v>2869</v>
      </c>
      <c r="F502" s="5">
        <f t="shared" si="30"/>
        <v>8231161</v>
      </c>
      <c r="G502" s="6">
        <f>SQRT(SUM($F$2:F502)/A502)</f>
        <v>1213.630880528201</v>
      </c>
      <c r="H502" s="5">
        <f t="shared" si="31"/>
        <v>0</v>
      </c>
      <c r="I502" s="5">
        <f t="shared" si="32"/>
        <v>0</v>
      </c>
    </row>
    <row r="503" spans="1:9">
      <c r="A503">
        <v>502</v>
      </c>
      <c r="B503">
        <v>14</v>
      </c>
      <c r="C503">
        <v>9000</v>
      </c>
      <c r="D503">
        <v>7542</v>
      </c>
      <c r="E503" s="5">
        <f t="shared" si="29"/>
        <v>1458</v>
      </c>
      <c r="F503" s="5">
        <f t="shared" si="30"/>
        <v>2125764</v>
      </c>
      <c r="G503" s="6">
        <f>SQRT(SUM($F$2:F503)/A503)</f>
        <v>1214.1665619835871</v>
      </c>
      <c r="H503" s="5">
        <f t="shared" si="31"/>
        <v>1</v>
      </c>
      <c r="I503" s="5">
        <f t="shared" si="32"/>
        <v>0</v>
      </c>
    </row>
    <row r="504" spans="1:9">
      <c r="A504">
        <v>503</v>
      </c>
      <c r="B504">
        <v>13</v>
      </c>
      <c r="C504">
        <v>9000</v>
      </c>
      <c r="D504">
        <v>7492</v>
      </c>
      <c r="E504" s="5">
        <f t="shared" si="29"/>
        <v>1508</v>
      </c>
      <c r="F504" s="5">
        <f t="shared" si="30"/>
        <v>2274064</v>
      </c>
      <c r="G504" s="6">
        <f>SQRT(SUM($F$2:F504)/A504)</f>
        <v>1214.8212322158947</v>
      </c>
      <c r="H504" s="5">
        <f t="shared" si="31"/>
        <v>1</v>
      </c>
      <c r="I504" s="5">
        <f t="shared" si="32"/>
        <v>0</v>
      </c>
    </row>
    <row r="505" spans="1:9">
      <c r="A505">
        <v>504</v>
      </c>
      <c r="B505">
        <v>14</v>
      </c>
      <c r="C505">
        <v>9000</v>
      </c>
      <c r="D505">
        <v>7795</v>
      </c>
      <c r="E505" s="5">
        <f t="shared" si="29"/>
        <v>1205</v>
      </c>
      <c r="F505" s="5">
        <f t="shared" si="30"/>
        <v>1452025</v>
      </c>
      <c r="G505" s="6">
        <f>SQRT(SUM($F$2:F505)/A505)</f>
        <v>1214.8018242586822</v>
      </c>
      <c r="H505" s="5">
        <f t="shared" si="31"/>
        <v>1</v>
      </c>
      <c r="I505" s="5">
        <f t="shared" si="32"/>
        <v>0</v>
      </c>
    </row>
    <row r="506" spans="1:9">
      <c r="A506">
        <v>505</v>
      </c>
      <c r="B506">
        <v>14</v>
      </c>
      <c r="C506">
        <v>9000</v>
      </c>
      <c r="D506">
        <v>7825</v>
      </c>
      <c r="E506" s="5">
        <f t="shared" si="29"/>
        <v>1175</v>
      </c>
      <c r="F506" s="5">
        <f t="shared" si="30"/>
        <v>1380625</v>
      </c>
      <c r="G506" s="6">
        <f>SQRT(SUM($F$2:F506)/A506)</f>
        <v>1214.7242974485532</v>
      </c>
      <c r="H506" s="5">
        <f t="shared" si="31"/>
        <v>1</v>
      </c>
      <c r="I506" s="5">
        <f t="shared" si="32"/>
        <v>0</v>
      </c>
    </row>
    <row r="507" spans="1:9">
      <c r="A507">
        <v>506</v>
      </c>
      <c r="B507">
        <v>14</v>
      </c>
      <c r="C507">
        <v>9000</v>
      </c>
      <c r="D507">
        <v>8051</v>
      </c>
      <c r="E507" s="5">
        <f t="shared" si="29"/>
        <v>949</v>
      </c>
      <c r="F507" s="5">
        <f t="shared" si="30"/>
        <v>900601</v>
      </c>
      <c r="G507" s="6">
        <f>SQRT(SUM($F$2:F507)/A507)</f>
        <v>1214.2564992001494</v>
      </c>
      <c r="H507" s="5">
        <f t="shared" si="31"/>
        <v>1</v>
      </c>
      <c r="I507" s="5">
        <f t="shared" si="32"/>
        <v>0</v>
      </c>
    </row>
    <row r="508" spans="1:9">
      <c r="A508">
        <v>507</v>
      </c>
      <c r="B508">
        <v>14</v>
      </c>
      <c r="C508">
        <v>9000</v>
      </c>
      <c r="D508">
        <v>7420</v>
      </c>
      <c r="E508" s="5">
        <f t="shared" si="29"/>
        <v>1580</v>
      </c>
      <c r="F508" s="5">
        <f t="shared" si="30"/>
        <v>2496400</v>
      </c>
      <c r="G508" s="6">
        <f>SQRT(SUM($F$2:F508)/A508)</f>
        <v>1215.086247050473</v>
      </c>
      <c r="H508" s="5">
        <f t="shared" si="31"/>
        <v>1</v>
      </c>
      <c r="I508" s="5">
        <f t="shared" si="32"/>
        <v>0</v>
      </c>
    </row>
    <row r="509" spans="1:9">
      <c r="A509">
        <v>508</v>
      </c>
      <c r="B509">
        <v>15</v>
      </c>
      <c r="C509">
        <v>9000</v>
      </c>
      <c r="D509">
        <v>9017</v>
      </c>
      <c r="E509" s="5">
        <f t="shared" si="29"/>
        <v>17</v>
      </c>
      <c r="F509" s="5">
        <f t="shared" si="30"/>
        <v>289</v>
      </c>
      <c r="G509" s="6">
        <f>SQRT(SUM($F$2:F509)/A509)</f>
        <v>1213.8899412096957</v>
      </c>
      <c r="H509" s="5">
        <f t="shared" si="31"/>
        <v>1</v>
      </c>
      <c r="I509" s="5">
        <f t="shared" si="32"/>
        <v>1</v>
      </c>
    </row>
    <row r="510" spans="1:9">
      <c r="A510">
        <v>509</v>
      </c>
      <c r="B510">
        <v>14</v>
      </c>
      <c r="C510">
        <v>9000</v>
      </c>
      <c r="D510">
        <v>8707</v>
      </c>
      <c r="E510" s="5">
        <f t="shared" si="29"/>
        <v>293</v>
      </c>
      <c r="F510" s="5">
        <f t="shared" si="30"/>
        <v>85849</v>
      </c>
      <c r="G510" s="6">
        <f>SQRT(SUM($F$2:F510)/A510)</f>
        <v>1212.7664667803751</v>
      </c>
      <c r="H510" s="5">
        <f t="shared" si="31"/>
        <v>1</v>
      </c>
      <c r="I510" s="5">
        <f t="shared" si="32"/>
        <v>1</v>
      </c>
    </row>
    <row r="511" spans="1:9">
      <c r="A511">
        <v>510</v>
      </c>
      <c r="B511">
        <v>14</v>
      </c>
      <c r="C511">
        <v>9000</v>
      </c>
      <c r="D511">
        <v>8464</v>
      </c>
      <c r="E511" s="5">
        <f t="shared" si="29"/>
        <v>536</v>
      </c>
      <c r="F511" s="5">
        <f t="shared" si="30"/>
        <v>287296</v>
      </c>
      <c r="G511" s="6">
        <f>SQRT(SUM($F$2:F511)/A511)</f>
        <v>1211.8093505006407</v>
      </c>
      <c r="H511" s="5">
        <f t="shared" si="31"/>
        <v>1</v>
      </c>
      <c r="I511" s="5">
        <f t="shared" si="32"/>
        <v>1</v>
      </c>
    </row>
    <row r="512" spans="1:9">
      <c r="A512">
        <v>511</v>
      </c>
      <c r="B512">
        <v>14</v>
      </c>
      <c r="C512">
        <v>9000</v>
      </c>
      <c r="D512">
        <v>8047</v>
      </c>
      <c r="E512" s="5">
        <f t="shared" si="29"/>
        <v>953</v>
      </c>
      <c r="F512" s="5">
        <f t="shared" si="30"/>
        <v>908209</v>
      </c>
      <c r="G512" s="6">
        <f>SQRT(SUM($F$2:F512)/A512)</f>
        <v>1211.3568745399134</v>
      </c>
      <c r="H512" s="5">
        <f t="shared" si="31"/>
        <v>1</v>
      </c>
      <c r="I512" s="5">
        <f t="shared" si="32"/>
        <v>0</v>
      </c>
    </row>
    <row r="513" spans="1:9">
      <c r="A513">
        <v>512</v>
      </c>
      <c r="B513">
        <v>15</v>
      </c>
      <c r="C513">
        <v>9000</v>
      </c>
      <c r="D513">
        <v>8786</v>
      </c>
      <c r="E513" s="5">
        <f t="shared" si="29"/>
        <v>214</v>
      </c>
      <c r="F513" s="5">
        <f t="shared" si="30"/>
        <v>45796</v>
      </c>
      <c r="G513" s="6">
        <f>SQRT(SUM($F$2:F513)/A513)</f>
        <v>1210.2102856722361</v>
      </c>
      <c r="H513" s="5">
        <f t="shared" si="31"/>
        <v>1</v>
      </c>
      <c r="I513" s="5">
        <f t="shared" si="32"/>
        <v>1</v>
      </c>
    </row>
    <row r="514" spans="1:9">
      <c r="A514">
        <v>513</v>
      </c>
      <c r="B514">
        <v>14</v>
      </c>
      <c r="C514">
        <v>9000</v>
      </c>
      <c r="D514">
        <v>8536</v>
      </c>
      <c r="E514" s="5">
        <f t="shared" si="29"/>
        <v>464</v>
      </c>
      <c r="F514" s="5">
        <f t="shared" si="30"/>
        <v>215296</v>
      </c>
      <c r="G514" s="6">
        <f>SQRT(SUM($F$2:F514)/A514)</f>
        <v>1209.2037163688804</v>
      </c>
      <c r="H514" s="5">
        <f t="shared" si="31"/>
        <v>1</v>
      </c>
      <c r="I514" s="5">
        <f t="shared" si="32"/>
        <v>1</v>
      </c>
    </row>
    <row r="515" spans="1:9">
      <c r="A515">
        <v>514</v>
      </c>
      <c r="B515">
        <v>15</v>
      </c>
      <c r="C515">
        <v>9000</v>
      </c>
      <c r="D515">
        <v>8179</v>
      </c>
      <c r="E515" s="5">
        <f t="shared" ref="E515:E578" si="33">ABS(C515-D515)</f>
        <v>821</v>
      </c>
      <c r="F515" s="5">
        <f t="shared" ref="F515:F578" si="34">POWER(E515,2)</f>
        <v>674041</v>
      </c>
      <c r="G515" s="6">
        <f>SQRT(SUM($F$2:F515)/A515)</f>
        <v>1208.569524570202</v>
      </c>
      <c r="H515" s="5">
        <f t="shared" ref="H515:H578" si="35">IF(ABS(E515)/C515&gt;0.2,0,1)</f>
        <v>1</v>
      </c>
      <c r="I515" s="5">
        <f t="shared" ref="I515:I578" si="36">IF(ABS(E515)/C515&gt;0.1,0,1)</f>
        <v>1</v>
      </c>
    </row>
    <row r="516" spans="1:9">
      <c r="A516">
        <v>515</v>
      </c>
      <c r="B516">
        <v>15</v>
      </c>
      <c r="C516">
        <v>9000</v>
      </c>
      <c r="D516">
        <v>8729</v>
      </c>
      <c r="E516" s="5">
        <f t="shared" si="33"/>
        <v>271</v>
      </c>
      <c r="F516" s="5">
        <f t="shared" si="34"/>
        <v>73441</v>
      </c>
      <c r="G516" s="6">
        <f>SQRT(SUM($F$2:F516)/A516)</f>
        <v>1207.4546388392273</v>
      </c>
      <c r="H516" s="5">
        <f t="shared" si="35"/>
        <v>1</v>
      </c>
      <c r="I516" s="5">
        <f t="shared" si="36"/>
        <v>1</v>
      </c>
    </row>
    <row r="517" spans="1:9">
      <c r="A517">
        <v>516</v>
      </c>
      <c r="B517">
        <v>15</v>
      </c>
      <c r="C517">
        <v>9000</v>
      </c>
      <c r="D517">
        <v>8738</v>
      </c>
      <c r="E517" s="5">
        <f t="shared" si="33"/>
        <v>262</v>
      </c>
      <c r="F517" s="5">
        <f t="shared" si="34"/>
        <v>68644</v>
      </c>
      <c r="G517" s="6">
        <f>SQRT(SUM($F$2:F517)/A517)</f>
        <v>1206.3391968065773</v>
      </c>
      <c r="H517" s="5">
        <f t="shared" si="35"/>
        <v>1</v>
      </c>
      <c r="I517" s="5">
        <f t="shared" si="36"/>
        <v>1</v>
      </c>
    </row>
    <row r="518" spans="1:9">
      <c r="A518">
        <v>517</v>
      </c>
      <c r="B518">
        <v>15</v>
      </c>
      <c r="C518">
        <v>9000</v>
      </c>
      <c r="D518">
        <v>8233</v>
      </c>
      <c r="E518" s="5">
        <f t="shared" si="33"/>
        <v>767</v>
      </c>
      <c r="F518" s="5">
        <f t="shared" si="34"/>
        <v>588289</v>
      </c>
      <c r="G518" s="6">
        <f>SQRT(SUM($F$2:F518)/A518)</f>
        <v>1205.6439533957644</v>
      </c>
      <c r="H518" s="5">
        <f t="shared" si="35"/>
        <v>1</v>
      </c>
      <c r="I518" s="5">
        <f t="shared" si="36"/>
        <v>1</v>
      </c>
    </row>
    <row r="519" spans="1:9">
      <c r="A519">
        <v>518</v>
      </c>
      <c r="B519">
        <v>16</v>
      </c>
      <c r="C519">
        <v>9000</v>
      </c>
      <c r="D519">
        <v>9102</v>
      </c>
      <c r="E519" s="5">
        <f t="shared" si="33"/>
        <v>102</v>
      </c>
      <c r="F519" s="5">
        <f t="shared" si="34"/>
        <v>10404</v>
      </c>
      <c r="G519" s="6">
        <f>SQRT(SUM($F$2:F519)/A519)</f>
        <v>1204.4879797807421</v>
      </c>
      <c r="H519" s="5">
        <f t="shared" si="35"/>
        <v>1</v>
      </c>
      <c r="I519" s="5">
        <f t="shared" si="36"/>
        <v>1</v>
      </c>
    </row>
    <row r="520" spans="1:9">
      <c r="A520">
        <v>519</v>
      </c>
      <c r="B520">
        <v>15</v>
      </c>
      <c r="C520">
        <v>9000</v>
      </c>
      <c r="D520">
        <v>8986</v>
      </c>
      <c r="E520" s="5">
        <f t="shared" si="33"/>
        <v>14</v>
      </c>
      <c r="F520" s="5">
        <f t="shared" si="34"/>
        <v>196</v>
      </c>
      <c r="G520" s="6">
        <f>SQRT(SUM($F$2:F520)/A520)</f>
        <v>1203.327184160122</v>
      </c>
      <c r="H520" s="5">
        <f t="shared" si="35"/>
        <v>1</v>
      </c>
      <c r="I520" s="5">
        <f t="shared" si="36"/>
        <v>1</v>
      </c>
    </row>
    <row r="521" spans="1:9">
      <c r="A521">
        <v>520</v>
      </c>
      <c r="B521">
        <v>15</v>
      </c>
      <c r="C521">
        <v>9000</v>
      </c>
      <c r="D521">
        <v>9068</v>
      </c>
      <c r="E521" s="5">
        <f t="shared" si="33"/>
        <v>68</v>
      </c>
      <c r="F521" s="5">
        <f t="shared" si="34"/>
        <v>4624</v>
      </c>
      <c r="G521" s="6">
        <f>SQRT(SUM($F$2:F521)/A521)</f>
        <v>1202.173280419194</v>
      </c>
      <c r="H521" s="5">
        <f t="shared" si="35"/>
        <v>1</v>
      </c>
      <c r="I521" s="5">
        <f t="shared" si="36"/>
        <v>1</v>
      </c>
    </row>
    <row r="522" spans="1:9">
      <c r="A522">
        <v>521</v>
      </c>
      <c r="B522">
        <v>15</v>
      </c>
      <c r="C522">
        <v>9000</v>
      </c>
      <c r="D522">
        <v>9311</v>
      </c>
      <c r="E522" s="5">
        <f t="shared" si="33"/>
        <v>311</v>
      </c>
      <c r="F522" s="5">
        <f t="shared" si="34"/>
        <v>96721</v>
      </c>
      <c r="G522" s="6">
        <f>SQRT(SUM($F$2:F522)/A522)</f>
        <v>1201.0962930516193</v>
      </c>
      <c r="H522" s="5">
        <f t="shared" si="35"/>
        <v>1</v>
      </c>
      <c r="I522" s="5">
        <f t="shared" si="36"/>
        <v>1</v>
      </c>
    </row>
    <row r="523" spans="1:9">
      <c r="A523">
        <v>522</v>
      </c>
      <c r="B523">
        <v>14</v>
      </c>
      <c r="C523">
        <v>9000</v>
      </c>
      <c r="D523">
        <v>8520</v>
      </c>
      <c r="E523" s="5">
        <f t="shared" si="33"/>
        <v>480</v>
      </c>
      <c r="F523" s="5">
        <f t="shared" si="34"/>
        <v>230400</v>
      </c>
      <c r="G523" s="6">
        <f>SQRT(SUM($F$2:F523)/A523)</f>
        <v>1200.1291684951236</v>
      </c>
      <c r="H523" s="5">
        <f t="shared" si="35"/>
        <v>1</v>
      </c>
      <c r="I523" s="5">
        <f t="shared" si="36"/>
        <v>1</v>
      </c>
    </row>
    <row r="524" spans="1:9">
      <c r="A524">
        <v>523</v>
      </c>
      <c r="B524">
        <v>15</v>
      </c>
      <c r="C524">
        <v>9000</v>
      </c>
      <c r="D524">
        <v>9114</v>
      </c>
      <c r="E524" s="5">
        <f t="shared" si="33"/>
        <v>114</v>
      </c>
      <c r="F524" s="5">
        <f t="shared" si="34"/>
        <v>12996</v>
      </c>
      <c r="G524" s="6">
        <f>SQRT(SUM($F$2:F524)/A524)</f>
        <v>1198.9916309826137</v>
      </c>
      <c r="H524" s="5">
        <f t="shared" si="35"/>
        <v>1</v>
      </c>
      <c r="I524" s="5">
        <f t="shared" si="36"/>
        <v>1</v>
      </c>
    </row>
    <row r="525" spans="1:9">
      <c r="A525">
        <v>524</v>
      </c>
      <c r="B525">
        <v>15</v>
      </c>
      <c r="C525">
        <v>9000</v>
      </c>
      <c r="D525">
        <v>8980</v>
      </c>
      <c r="E525" s="5">
        <f t="shared" si="33"/>
        <v>20</v>
      </c>
      <c r="F525" s="5">
        <f t="shared" si="34"/>
        <v>400</v>
      </c>
      <c r="G525" s="6">
        <f>SQRT(SUM($F$2:F525)/A525)</f>
        <v>1197.8473272774158</v>
      </c>
      <c r="H525" s="5">
        <f t="shared" si="35"/>
        <v>1</v>
      </c>
      <c r="I525" s="5">
        <f t="shared" si="36"/>
        <v>1</v>
      </c>
    </row>
    <row r="526" spans="1:9">
      <c r="A526">
        <v>525</v>
      </c>
      <c r="B526">
        <v>15</v>
      </c>
      <c r="C526">
        <v>9000</v>
      </c>
      <c r="D526">
        <v>8597</v>
      </c>
      <c r="E526" s="5">
        <f t="shared" si="33"/>
        <v>403</v>
      </c>
      <c r="F526" s="5">
        <f t="shared" si="34"/>
        <v>162409</v>
      </c>
      <c r="G526" s="6">
        <f>SQRT(SUM($F$2:F526)/A526)</f>
        <v>1196.8352203882976</v>
      </c>
      <c r="H526" s="5">
        <f t="shared" si="35"/>
        <v>1</v>
      </c>
      <c r="I526" s="5">
        <f t="shared" si="36"/>
        <v>1</v>
      </c>
    </row>
    <row r="527" spans="1:9">
      <c r="A527">
        <v>526</v>
      </c>
      <c r="B527">
        <v>15</v>
      </c>
      <c r="C527">
        <v>9000</v>
      </c>
      <c r="D527">
        <v>9120</v>
      </c>
      <c r="E527" s="5">
        <f t="shared" si="33"/>
        <v>120</v>
      </c>
      <c r="F527" s="5">
        <f t="shared" si="34"/>
        <v>14400</v>
      </c>
      <c r="G527" s="6">
        <f>SQRT(SUM($F$2:F527)/A527)</f>
        <v>1195.7084509276381</v>
      </c>
      <c r="H527" s="5">
        <f t="shared" si="35"/>
        <v>1</v>
      </c>
      <c r="I527" s="5">
        <f t="shared" si="36"/>
        <v>1</v>
      </c>
    </row>
    <row r="528" spans="1:9">
      <c r="A528">
        <v>527</v>
      </c>
      <c r="B528">
        <v>15</v>
      </c>
      <c r="C528">
        <v>9000</v>
      </c>
      <c r="D528">
        <v>8292</v>
      </c>
      <c r="E528" s="5">
        <f t="shared" si="33"/>
        <v>708</v>
      </c>
      <c r="F528" s="5">
        <f t="shared" si="34"/>
        <v>501264</v>
      </c>
      <c r="G528" s="6">
        <f>SQRT(SUM($F$2:F528)/A528)</f>
        <v>1194.9715168137711</v>
      </c>
      <c r="H528" s="5">
        <f t="shared" si="35"/>
        <v>1</v>
      </c>
      <c r="I528" s="5">
        <f t="shared" si="36"/>
        <v>1</v>
      </c>
    </row>
    <row r="529" spans="1:9">
      <c r="A529">
        <v>528</v>
      </c>
      <c r="B529">
        <v>16</v>
      </c>
      <c r="C529">
        <v>9000</v>
      </c>
      <c r="D529">
        <v>9089</v>
      </c>
      <c r="E529" s="5">
        <f t="shared" si="33"/>
        <v>89</v>
      </c>
      <c r="F529" s="5">
        <f t="shared" si="34"/>
        <v>7921</v>
      </c>
      <c r="G529" s="6">
        <f>SQRT(SUM($F$2:F529)/A529)</f>
        <v>1193.8456617231357</v>
      </c>
      <c r="H529" s="5">
        <f t="shared" si="35"/>
        <v>1</v>
      </c>
      <c r="I529" s="5">
        <f t="shared" si="36"/>
        <v>1</v>
      </c>
    </row>
    <row r="530" spans="1:9">
      <c r="A530">
        <v>529</v>
      </c>
      <c r="B530">
        <v>15</v>
      </c>
      <c r="C530">
        <v>9000</v>
      </c>
      <c r="D530">
        <v>9521</v>
      </c>
      <c r="E530" s="5">
        <f t="shared" si="33"/>
        <v>521</v>
      </c>
      <c r="F530" s="5">
        <f t="shared" si="34"/>
        <v>271441</v>
      </c>
      <c r="G530" s="6">
        <f>SQRT(SUM($F$2:F530)/A530)</f>
        <v>1192.9318159812572</v>
      </c>
      <c r="H530" s="5">
        <f t="shared" si="35"/>
        <v>1</v>
      </c>
      <c r="I530" s="5">
        <f t="shared" si="36"/>
        <v>1</v>
      </c>
    </row>
    <row r="531" spans="1:9">
      <c r="A531">
        <v>530</v>
      </c>
      <c r="B531">
        <v>14</v>
      </c>
      <c r="C531">
        <v>9000</v>
      </c>
      <c r="D531">
        <v>8549</v>
      </c>
      <c r="E531" s="5">
        <f t="shared" si="33"/>
        <v>451</v>
      </c>
      <c r="F531" s="5">
        <f t="shared" si="34"/>
        <v>203401</v>
      </c>
      <c r="G531" s="6">
        <f>SQRT(SUM($F$2:F531)/A531)</f>
        <v>1191.9668722444856</v>
      </c>
      <c r="H531" s="5">
        <f t="shared" si="35"/>
        <v>1</v>
      </c>
      <c r="I531" s="5">
        <f t="shared" si="36"/>
        <v>1</v>
      </c>
    </row>
    <row r="532" spans="1:9">
      <c r="A532">
        <v>531</v>
      </c>
      <c r="B532">
        <v>15</v>
      </c>
      <c r="C532">
        <v>9000</v>
      </c>
      <c r="D532">
        <v>9232</v>
      </c>
      <c r="E532" s="5">
        <f t="shared" si="33"/>
        <v>232</v>
      </c>
      <c r="F532" s="5">
        <f t="shared" si="34"/>
        <v>53824</v>
      </c>
      <c r="G532" s="6">
        <f>SQRT(SUM($F$2:F532)/A532)</f>
        <v>1190.8865227137167</v>
      </c>
      <c r="H532" s="5">
        <f t="shared" si="35"/>
        <v>1</v>
      </c>
      <c r="I532" s="5">
        <f t="shared" si="36"/>
        <v>1</v>
      </c>
    </row>
    <row r="533" spans="1:9">
      <c r="A533">
        <v>532</v>
      </c>
      <c r="B533">
        <v>15</v>
      </c>
      <c r="C533">
        <v>9000</v>
      </c>
      <c r="D533">
        <v>9447</v>
      </c>
      <c r="E533" s="5">
        <f t="shared" si="33"/>
        <v>447</v>
      </c>
      <c r="F533" s="5">
        <f t="shared" si="34"/>
        <v>199809</v>
      </c>
      <c r="G533" s="6">
        <f>SQRT(SUM($F$2:F533)/A533)</f>
        <v>1189.924569543384</v>
      </c>
      <c r="H533" s="5">
        <f t="shared" si="35"/>
        <v>1</v>
      </c>
      <c r="I533" s="5">
        <f t="shared" si="36"/>
        <v>1</v>
      </c>
    </row>
    <row r="534" spans="1:9">
      <c r="A534">
        <v>533</v>
      </c>
      <c r="B534">
        <v>14</v>
      </c>
      <c r="C534">
        <v>9000</v>
      </c>
      <c r="D534">
        <v>7966</v>
      </c>
      <c r="E534" s="5">
        <f t="shared" si="33"/>
        <v>1034</v>
      </c>
      <c r="F534" s="5">
        <f t="shared" si="34"/>
        <v>1069156</v>
      </c>
      <c r="G534" s="6">
        <f>SQRT(SUM($F$2:F534)/A534)</f>
        <v>1189.6511636534419</v>
      </c>
      <c r="H534" s="5">
        <f t="shared" si="35"/>
        <v>1</v>
      </c>
      <c r="I534" s="5">
        <f t="shared" si="36"/>
        <v>0</v>
      </c>
    </row>
    <row r="535" spans="1:9">
      <c r="A535">
        <v>534</v>
      </c>
      <c r="B535">
        <v>16</v>
      </c>
      <c r="C535">
        <v>9000</v>
      </c>
      <c r="D535">
        <v>9589</v>
      </c>
      <c r="E535" s="5">
        <f t="shared" si="33"/>
        <v>589</v>
      </c>
      <c r="F535" s="5">
        <f t="shared" si="34"/>
        <v>346921</v>
      </c>
      <c r="G535" s="6">
        <f>SQRT(SUM($F$2:F535)/A535)</f>
        <v>1188.8100091384306</v>
      </c>
      <c r="H535" s="5">
        <f t="shared" si="35"/>
        <v>1</v>
      </c>
      <c r="I535" s="5">
        <f t="shared" si="36"/>
        <v>1</v>
      </c>
    </row>
    <row r="536" spans="1:9">
      <c r="A536">
        <v>535</v>
      </c>
      <c r="B536">
        <v>14</v>
      </c>
      <c r="C536">
        <v>9000</v>
      </c>
      <c r="D536">
        <v>8603</v>
      </c>
      <c r="E536" s="5">
        <f t="shared" si="33"/>
        <v>397</v>
      </c>
      <c r="F536" s="5">
        <f t="shared" si="34"/>
        <v>157609</v>
      </c>
      <c r="G536" s="6">
        <f>SQRT(SUM($F$2:F536)/A536)</f>
        <v>1187.8224654155158</v>
      </c>
      <c r="H536" s="5">
        <f t="shared" si="35"/>
        <v>1</v>
      </c>
      <c r="I536" s="5">
        <f t="shared" si="36"/>
        <v>1</v>
      </c>
    </row>
    <row r="537" spans="1:9">
      <c r="A537">
        <v>536</v>
      </c>
      <c r="B537">
        <v>15</v>
      </c>
      <c r="C537">
        <v>9000</v>
      </c>
      <c r="D537">
        <v>9133</v>
      </c>
      <c r="E537" s="5">
        <f t="shared" si="33"/>
        <v>133</v>
      </c>
      <c r="F537" s="5">
        <f t="shared" si="34"/>
        <v>17689</v>
      </c>
      <c r="G537" s="6">
        <f>SQRT(SUM($F$2:F537)/A537)</f>
        <v>1186.7278094224962</v>
      </c>
      <c r="H537" s="5">
        <f t="shared" si="35"/>
        <v>1</v>
      </c>
      <c r="I537" s="5">
        <f t="shared" si="36"/>
        <v>1</v>
      </c>
    </row>
    <row r="538" spans="1:9">
      <c r="A538">
        <v>537</v>
      </c>
      <c r="B538">
        <v>15</v>
      </c>
      <c r="C538">
        <v>9000</v>
      </c>
      <c r="D538">
        <v>8985</v>
      </c>
      <c r="E538" s="5">
        <f t="shared" si="33"/>
        <v>15</v>
      </c>
      <c r="F538" s="5">
        <f t="shared" si="34"/>
        <v>225</v>
      </c>
      <c r="G538" s="6">
        <f>SQRT(SUM($F$2:F538)/A538)</f>
        <v>1185.6225105108992</v>
      </c>
      <c r="H538" s="5">
        <f t="shared" si="35"/>
        <v>1</v>
      </c>
      <c r="I538" s="5">
        <f t="shared" si="36"/>
        <v>1</v>
      </c>
    </row>
    <row r="539" spans="1:9">
      <c r="A539">
        <v>538</v>
      </c>
      <c r="B539">
        <v>15</v>
      </c>
      <c r="C539">
        <v>9000</v>
      </c>
      <c r="D539">
        <v>8707</v>
      </c>
      <c r="E539" s="5">
        <f t="shared" si="33"/>
        <v>293</v>
      </c>
      <c r="F539" s="5">
        <f t="shared" si="34"/>
        <v>85849</v>
      </c>
      <c r="G539" s="6">
        <f>SQRT(SUM($F$2:F539)/A539)</f>
        <v>1184.5874730945957</v>
      </c>
      <c r="H539" s="5">
        <f t="shared" si="35"/>
        <v>1</v>
      </c>
      <c r="I539" s="5">
        <f t="shared" si="36"/>
        <v>1</v>
      </c>
    </row>
    <row r="540" spans="1:9">
      <c r="A540">
        <v>539</v>
      </c>
      <c r="B540">
        <v>15</v>
      </c>
      <c r="C540">
        <v>9000</v>
      </c>
      <c r="D540">
        <v>8967</v>
      </c>
      <c r="E540" s="5">
        <f t="shared" si="33"/>
        <v>33</v>
      </c>
      <c r="F540" s="5">
        <f t="shared" si="34"/>
        <v>1089</v>
      </c>
      <c r="G540" s="6">
        <f>SQRT(SUM($F$2:F540)/A540)</f>
        <v>1183.488941313565</v>
      </c>
      <c r="H540" s="5">
        <f t="shared" si="35"/>
        <v>1</v>
      </c>
      <c r="I540" s="5">
        <f t="shared" si="36"/>
        <v>1</v>
      </c>
    </row>
    <row r="541" spans="1:9">
      <c r="A541">
        <v>540</v>
      </c>
      <c r="B541">
        <v>15</v>
      </c>
      <c r="C541">
        <v>9000</v>
      </c>
      <c r="D541">
        <v>9250</v>
      </c>
      <c r="E541" s="5">
        <f t="shared" si="33"/>
        <v>250</v>
      </c>
      <c r="F541" s="5">
        <f t="shared" si="34"/>
        <v>62500</v>
      </c>
      <c r="G541" s="6">
        <f>SQRT(SUM($F$2:F541)/A541)</f>
        <v>1182.4415528582908</v>
      </c>
      <c r="H541" s="5">
        <f t="shared" si="35"/>
        <v>1</v>
      </c>
      <c r="I541" s="5">
        <f t="shared" si="36"/>
        <v>1</v>
      </c>
    </row>
    <row r="542" spans="1:9">
      <c r="A542">
        <v>541</v>
      </c>
      <c r="B542">
        <v>15</v>
      </c>
      <c r="C542">
        <v>9000</v>
      </c>
      <c r="D542">
        <v>8749</v>
      </c>
      <c r="E542" s="5">
        <f t="shared" si="33"/>
        <v>251</v>
      </c>
      <c r="F542" s="5">
        <f t="shared" si="34"/>
        <v>63001</v>
      </c>
      <c r="G542" s="6">
        <f>SQRT(SUM($F$2:F542)/A542)</f>
        <v>1181.3975049470052</v>
      </c>
      <c r="H542" s="5">
        <f t="shared" si="35"/>
        <v>1</v>
      </c>
      <c r="I542" s="5">
        <f t="shared" si="36"/>
        <v>1</v>
      </c>
    </row>
    <row r="543" spans="1:9">
      <c r="A543">
        <v>542</v>
      </c>
      <c r="B543">
        <v>15</v>
      </c>
      <c r="C543">
        <v>9000</v>
      </c>
      <c r="D543">
        <v>8889</v>
      </c>
      <c r="E543" s="5">
        <f t="shared" si="33"/>
        <v>111</v>
      </c>
      <c r="F543" s="5">
        <f t="shared" si="34"/>
        <v>12321</v>
      </c>
      <c r="G543" s="6">
        <f>SQRT(SUM($F$2:F543)/A543)</f>
        <v>1180.3167815451272</v>
      </c>
      <c r="H543" s="5">
        <f t="shared" si="35"/>
        <v>1</v>
      </c>
      <c r="I543" s="5">
        <f t="shared" si="36"/>
        <v>1</v>
      </c>
    </row>
    <row r="544" spans="1:9">
      <c r="A544">
        <v>543</v>
      </c>
      <c r="B544">
        <v>15</v>
      </c>
      <c r="C544">
        <v>9000</v>
      </c>
      <c r="D544">
        <v>8988</v>
      </c>
      <c r="E544" s="5">
        <f t="shared" si="33"/>
        <v>12</v>
      </c>
      <c r="F544" s="5">
        <f t="shared" si="34"/>
        <v>144</v>
      </c>
      <c r="G544" s="6">
        <f>SQRT(SUM($F$2:F544)/A544)</f>
        <v>1179.2295452718224</v>
      </c>
      <c r="H544" s="5">
        <f t="shared" si="35"/>
        <v>1</v>
      </c>
      <c r="I544" s="5">
        <f t="shared" si="36"/>
        <v>1</v>
      </c>
    </row>
    <row r="545" spans="1:9">
      <c r="A545">
        <v>544</v>
      </c>
      <c r="B545">
        <v>15</v>
      </c>
      <c r="C545">
        <v>9000</v>
      </c>
      <c r="D545">
        <v>9397</v>
      </c>
      <c r="E545" s="5">
        <f t="shared" si="33"/>
        <v>397</v>
      </c>
      <c r="F545" s="5">
        <f t="shared" si="34"/>
        <v>157609</v>
      </c>
      <c r="G545" s="6">
        <f>SQRT(SUM($F$2:F545)/A545)</f>
        <v>1178.2681466320164</v>
      </c>
      <c r="H545" s="5">
        <f t="shared" si="35"/>
        <v>1</v>
      </c>
      <c r="I545" s="5">
        <f t="shared" si="36"/>
        <v>1</v>
      </c>
    </row>
    <row r="546" spans="1:9">
      <c r="A546">
        <v>545</v>
      </c>
      <c r="B546">
        <v>15</v>
      </c>
      <c r="C546">
        <v>9000</v>
      </c>
      <c r="D546">
        <v>9173</v>
      </c>
      <c r="E546" s="5">
        <f t="shared" si="33"/>
        <v>173</v>
      </c>
      <c r="F546" s="5">
        <f t="shared" si="34"/>
        <v>29929</v>
      </c>
      <c r="G546" s="6">
        <f>SQRT(SUM($F$2:F546)/A546)</f>
        <v>1177.2099950633549</v>
      </c>
      <c r="H546" s="5">
        <f t="shared" si="35"/>
        <v>1</v>
      </c>
      <c r="I546" s="5">
        <f t="shared" si="36"/>
        <v>1</v>
      </c>
    </row>
    <row r="547" spans="1:9">
      <c r="A547">
        <v>546</v>
      </c>
      <c r="B547">
        <v>15</v>
      </c>
      <c r="C547">
        <v>9000</v>
      </c>
      <c r="D547">
        <v>8544</v>
      </c>
      <c r="E547" s="5">
        <f t="shared" si="33"/>
        <v>456</v>
      </c>
      <c r="F547" s="5">
        <f t="shared" si="34"/>
        <v>207936</v>
      </c>
      <c r="G547" s="6">
        <f>SQRT(SUM($F$2:F547)/A547)</f>
        <v>1176.2933603472688</v>
      </c>
      <c r="H547" s="5">
        <f t="shared" si="35"/>
        <v>1</v>
      </c>
      <c r="I547" s="5">
        <f t="shared" si="36"/>
        <v>1</v>
      </c>
    </row>
    <row r="548" spans="1:9">
      <c r="A548">
        <v>547</v>
      </c>
      <c r="B548">
        <v>15</v>
      </c>
      <c r="C548">
        <v>9000</v>
      </c>
      <c r="D548">
        <v>8840</v>
      </c>
      <c r="E548" s="5">
        <f t="shared" si="33"/>
        <v>160</v>
      </c>
      <c r="F548" s="5">
        <f t="shared" si="34"/>
        <v>25600</v>
      </c>
      <c r="G548" s="6">
        <f>SQRT(SUM($F$2:F548)/A548)</f>
        <v>1175.2375573774721</v>
      </c>
      <c r="H548" s="5">
        <f t="shared" si="35"/>
        <v>1</v>
      </c>
      <c r="I548" s="5">
        <f t="shared" si="36"/>
        <v>1</v>
      </c>
    </row>
    <row r="549" spans="1:9">
      <c r="A549">
        <v>548</v>
      </c>
      <c r="B549">
        <v>15</v>
      </c>
      <c r="C549">
        <v>9000</v>
      </c>
      <c r="D549">
        <v>9010</v>
      </c>
      <c r="E549" s="5">
        <f t="shared" si="33"/>
        <v>10</v>
      </c>
      <c r="F549" s="5">
        <f t="shared" si="34"/>
        <v>100</v>
      </c>
      <c r="G549" s="6">
        <f>SQRT(SUM($F$2:F549)/A549)</f>
        <v>1174.1648484096584</v>
      </c>
      <c r="H549" s="5">
        <f t="shared" si="35"/>
        <v>1</v>
      </c>
      <c r="I549" s="5">
        <f t="shared" si="36"/>
        <v>1</v>
      </c>
    </row>
    <row r="550" spans="1:9">
      <c r="A550">
        <v>549</v>
      </c>
      <c r="B550">
        <v>15</v>
      </c>
      <c r="C550">
        <v>9000</v>
      </c>
      <c r="D550">
        <v>8843</v>
      </c>
      <c r="E550" s="5">
        <f t="shared" si="33"/>
        <v>157</v>
      </c>
      <c r="F550" s="5">
        <f t="shared" si="34"/>
        <v>24649</v>
      </c>
      <c r="G550" s="6">
        <f>SQRT(SUM($F$2:F550)/A550)</f>
        <v>1173.1141305115325</v>
      </c>
      <c r="H550" s="5">
        <f t="shared" si="35"/>
        <v>1</v>
      </c>
      <c r="I550" s="5">
        <f t="shared" si="36"/>
        <v>1</v>
      </c>
    </row>
    <row r="551" spans="1:9">
      <c r="A551">
        <v>550</v>
      </c>
      <c r="B551">
        <v>15</v>
      </c>
      <c r="C551">
        <v>9000</v>
      </c>
      <c r="D551">
        <v>9967</v>
      </c>
      <c r="E551" s="5">
        <f t="shared" si="33"/>
        <v>967</v>
      </c>
      <c r="F551" s="5">
        <f t="shared" si="34"/>
        <v>935089</v>
      </c>
      <c r="G551" s="6">
        <f>SQRT(SUM($F$2:F551)/A551)</f>
        <v>1172.7722494546454</v>
      </c>
      <c r="H551" s="5">
        <f t="shared" si="35"/>
        <v>1</v>
      </c>
      <c r="I551" s="5">
        <f t="shared" si="36"/>
        <v>0</v>
      </c>
    </row>
    <row r="552" spans="1:9">
      <c r="A552">
        <v>551</v>
      </c>
      <c r="B552">
        <v>14</v>
      </c>
      <c r="C552">
        <v>9000</v>
      </c>
      <c r="D552">
        <v>8407</v>
      </c>
      <c r="E552" s="5">
        <f t="shared" si="33"/>
        <v>593</v>
      </c>
      <c r="F552" s="5">
        <f t="shared" si="34"/>
        <v>351649</v>
      </c>
      <c r="G552" s="6">
        <f>SQRT(SUM($F$2:F552)/A552)</f>
        <v>1171.9798510746095</v>
      </c>
      <c r="H552" s="5">
        <f t="shared" si="35"/>
        <v>1</v>
      </c>
      <c r="I552" s="5">
        <f t="shared" si="36"/>
        <v>1</v>
      </c>
    </row>
    <row r="553" spans="1:9">
      <c r="A553">
        <v>552</v>
      </c>
      <c r="B553">
        <v>16</v>
      </c>
      <c r="C553">
        <v>9000</v>
      </c>
      <c r="D553">
        <v>9672</v>
      </c>
      <c r="E553" s="5">
        <f t="shared" si="33"/>
        <v>672</v>
      </c>
      <c r="F553" s="5">
        <f t="shared" si="34"/>
        <v>451584</v>
      </c>
      <c r="G553" s="6">
        <f>SQRT(SUM($F$2:F553)/A553)</f>
        <v>1171.2670775826432</v>
      </c>
      <c r="H553" s="5">
        <f t="shared" si="35"/>
        <v>1</v>
      </c>
      <c r="I553" s="5">
        <f t="shared" si="36"/>
        <v>1</v>
      </c>
    </row>
    <row r="554" spans="1:9">
      <c r="A554">
        <v>553</v>
      </c>
      <c r="B554">
        <v>14</v>
      </c>
      <c r="C554">
        <v>9000</v>
      </c>
      <c r="D554">
        <v>8177</v>
      </c>
      <c r="E554" s="5">
        <f t="shared" si="33"/>
        <v>823</v>
      </c>
      <c r="F554" s="5">
        <f t="shared" si="34"/>
        <v>677329</v>
      </c>
      <c r="G554" s="6">
        <f>SQRT(SUM($F$2:F554)/A554)</f>
        <v>1170.7308068302818</v>
      </c>
      <c r="H554" s="5">
        <f t="shared" si="35"/>
        <v>1</v>
      </c>
      <c r="I554" s="5">
        <f t="shared" si="36"/>
        <v>1</v>
      </c>
    </row>
    <row r="555" spans="1:9">
      <c r="A555">
        <v>554</v>
      </c>
      <c r="B555">
        <v>16</v>
      </c>
      <c r="C555">
        <v>9000</v>
      </c>
      <c r="D555">
        <v>9798</v>
      </c>
      <c r="E555" s="5">
        <f t="shared" si="33"/>
        <v>798</v>
      </c>
      <c r="F555" s="5">
        <f t="shared" si="34"/>
        <v>636804</v>
      </c>
      <c r="G555" s="6">
        <f>SQRT(SUM($F$2:F555)/A555)</f>
        <v>1170.1649718615924</v>
      </c>
      <c r="H555" s="5">
        <f t="shared" si="35"/>
        <v>1</v>
      </c>
      <c r="I555" s="5">
        <f t="shared" si="36"/>
        <v>1</v>
      </c>
    </row>
    <row r="556" spans="1:9">
      <c r="A556">
        <v>555</v>
      </c>
      <c r="B556">
        <v>14</v>
      </c>
      <c r="C556">
        <v>9000</v>
      </c>
      <c r="D556">
        <v>7585</v>
      </c>
      <c r="E556" s="5">
        <f t="shared" si="33"/>
        <v>1415</v>
      </c>
      <c r="F556" s="5">
        <f t="shared" si="34"/>
        <v>2002225</v>
      </c>
      <c r="G556" s="6">
        <f>SQRT(SUM($F$2:F556)/A556)</f>
        <v>1170.652165201898</v>
      </c>
      <c r="H556" s="5">
        <f t="shared" si="35"/>
        <v>1</v>
      </c>
      <c r="I556" s="5">
        <f t="shared" si="36"/>
        <v>0</v>
      </c>
    </row>
    <row r="557" spans="1:9">
      <c r="A557">
        <v>556</v>
      </c>
      <c r="B557">
        <v>17</v>
      </c>
      <c r="C557">
        <v>9000</v>
      </c>
      <c r="D557">
        <v>8487</v>
      </c>
      <c r="E557" s="5">
        <f t="shared" si="33"/>
        <v>513</v>
      </c>
      <c r="F557" s="5">
        <f t="shared" si="34"/>
        <v>263169</v>
      </c>
      <c r="G557" s="6">
        <f>SQRT(SUM($F$2:F557)/A557)</f>
        <v>1169.8012743978072</v>
      </c>
      <c r="H557" s="5">
        <f t="shared" si="35"/>
        <v>1</v>
      </c>
      <c r="I557" s="5">
        <f t="shared" si="36"/>
        <v>1</v>
      </c>
    </row>
    <row r="558" spans="1:9">
      <c r="A558">
        <v>557</v>
      </c>
      <c r="B558">
        <v>16</v>
      </c>
      <c r="C558">
        <v>9000</v>
      </c>
      <c r="D558">
        <v>8849</v>
      </c>
      <c r="E558" s="5">
        <f t="shared" si="33"/>
        <v>151</v>
      </c>
      <c r="F558" s="5">
        <f t="shared" si="34"/>
        <v>22801</v>
      </c>
      <c r="G558" s="6">
        <f>SQRT(SUM($F$2:F558)/A558)</f>
        <v>1168.7682240632196</v>
      </c>
      <c r="H558" s="5">
        <f t="shared" si="35"/>
        <v>1</v>
      </c>
      <c r="I558" s="5">
        <f t="shared" si="36"/>
        <v>1</v>
      </c>
    </row>
    <row r="559" spans="1:9">
      <c r="A559">
        <v>558</v>
      </c>
      <c r="B559">
        <v>16</v>
      </c>
      <c r="C559">
        <v>9000</v>
      </c>
      <c r="D559">
        <v>4605</v>
      </c>
      <c r="E559" s="5">
        <f t="shared" si="33"/>
        <v>4395</v>
      </c>
      <c r="F559" s="5">
        <f t="shared" si="34"/>
        <v>19316025</v>
      </c>
      <c r="G559" s="6">
        <f>SQRT(SUM($F$2:F559)/A559)</f>
        <v>1182.4498428366308</v>
      </c>
      <c r="H559" s="5">
        <f t="shared" si="35"/>
        <v>0</v>
      </c>
      <c r="I559" s="5">
        <f t="shared" si="36"/>
        <v>0</v>
      </c>
    </row>
    <row r="560" spans="1:9">
      <c r="A560">
        <v>559</v>
      </c>
      <c r="B560">
        <v>21</v>
      </c>
      <c r="C560">
        <v>9000</v>
      </c>
      <c r="D560">
        <v>10542</v>
      </c>
      <c r="E560" s="5">
        <f t="shared" si="33"/>
        <v>1542</v>
      </c>
      <c r="F560" s="5">
        <f t="shared" si="34"/>
        <v>2377764</v>
      </c>
      <c r="G560" s="6">
        <f>SQRT(SUM($F$2:F560)/A560)</f>
        <v>1183.1906032325551</v>
      </c>
      <c r="H560" s="5">
        <f t="shared" si="35"/>
        <v>1</v>
      </c>
      <c r="I560" s="5">
        <f t="shared" si="36"/>
        <v>0</v>
      </c>
    </row>
    <row r="561" spans="1:9">
      <c r="A561">
        <v>560</v>
      </c>
      <c r="B561">
        <v>15</v>
      </c>
      <c r="C561">
        <v>9000</v>
      </c>
      <c r="D561">
        <v>8697</v>
      </c>
      <c r="E561" s="5">
        <f t="shared" si="33"/>
        <v>303</v>
      </c>
      <c r="F561" s="5">
        <f t="shared" si="34"/>
        <v>91809</v>
      </c>
      <c r="G561" s="6">
        <f>SQRT(SUM($F$2:F561)/A561)</f>
        <v>1182.2030516612376</v>
      </c>
      <c r="H561" s="5">
        <f t="shared" si="35"/>
        <v>1</v>
      </c>
      <c r="I561" s="5">
        <f t="shared" si="36"/>
        <v>1</v>
      </c>
    </row>
    <row r="562" spans="1:9">
      <c r="A562">
        <v>561</v>
      </c>
      <c r="B562">
        <v>16</v>
      </c>
      <c r="C562">
        <v>9000</v>
      </c>
      <c r="D562">
        <v>9534</v>
      </c>
      <c r="E562" s="5">
        <f t="shared" si="33"/>
        <v>534</v>
      </c>
      <c r="F562" s="5">
        <f t="shared" si="34"/>
        <v>285156</v>
      </c>
      <c r="G562" s="6">
        <f>SQRT(SUM($F$2:F562)/A562)</f>
        <v>1181.3640768181649</v>
      </c>
      <c r="H562" s="5">
        <f t="shared" si="35"/>
        <v>1</v>
      </c>
      <c r="I562" s="5">
        <f t="shared" si="36"/>
        <v>1</v>
      </c>
    </row>
    <row r="563" spans="1:9">
      <c r="A563">
        <v>562</v>
      </c>
      <c r="B563">
        <v>16</v>
      </c>
      <c r="C563">
        <v>9000</v>
      </c>
      <c r="D563">
        <v>9207</v>
      </c>
      <c r="E563" s="5">
        <f t="shared" si="33"/>
        <v>207</v>
      </c>
      <c r="F563" s="5">
        <f t="shared" si="34"/>
        <v>42849</v>
      </c>
      <c r="G563" s="6">
        <f>SQRT(SUM($F$2:F563)/A563)</f>
        <v>1180.3448708893834</v>
      </c>
      <c r="H563" s="5">
        <f t="shared" si="35"/>
        <v>1</v>
      </c>
      <c r="I563" s="5">
        <f t="shared" si="36"/>
        <v>1</v>
      </c>
    </row>
    <row r="564" spans="1:9">
      <c r="A564">
        <v>563</v>
      </c>
      <c r="B564">
        <v>16</v>
      </c>
      <c r="C564">
        <v>9000</v>
      </c>
      <c r="D564">
        <v>9218</v>
      </c>
      <c r="E564" s="5">
        <f t="shared" si="33"/>
        <v>218</v>
      </c>
      <c r="F564" s="5">
        <f t="shared" si="34"/>
        <v>47524</v>
      </c>
      <c r="G564" s="6">
        <f>SQRT(SUM($F$2:F564)/A564)</f>
        <v>1179.3319299780362</v>
      </c>
      <c r="H564" s="5">
        <f t="shared" si="35"/>
        <v>1</v>
      </c>
      <c r="I564" s="5">
        <f t="shared" si="36"/>
        <v>1</v>
      </c>
    </row>
    <row r="565" spans="1:9">
      <c r="A565">
        <v>564</v>
      </c>
      <c r="B565">
        <v>16</v>
      </c>
      <c r="C565">
        <v>9000</v>
      </c>
      <c r="D565">
        <v>8515</v>
      </c>
      <c r="E565" s="5">
        <f t="shared" si="33"/>
        <v>485</v>
      </c>
      <c r="F565" s="5">
        <f t="shared" si="34"/>
        <v>235225</v>
      </c>
      <c r="G565" s="6">
        <f>SQRT(SUM($F$2:F565)/A565)</f>
        <v>1178.4629256032099</v>
      </c>
      <c r="H565" s="5">
        <f t="shared" si="35"/>
        <v>1</v>
      </c>
      <c r="I565" s="5">
        <f t="shared" si="36"/>
        <v>1</v>
      </c>
    </row>
    <row r="566" spans="1:9">
      <c r="A566">
        <v>565</v>
      </c>
      <c r="B566">
        <v>17</v>
      </c>
      <c r="C566">
        <v>9000</v>
      </c>
      <c r="D566">
        <v>9007</v>
      </c>
      <c r="E566" s="5">
        <f t="shared" si="33"/>
        <v>7</v>
      </c>
      <c r="F566" s="5">
        <f t="shared" si="34"/>
        <v>49</v>
      </c>
      <c r="G566" s="6">
        <f>SQRT(SUM($F$2:F566)/A566)</f>
        <v>1177.4196130236421</v>
      </c>
      <c r="H566" s="5">
        <f t="shared" si="35"/>
        <v>1</v>
      </c>
      <c r="I566" s="5">
        <f t="shared" si="36"/>
        <v>1</v>
      </c>
    </row>
    <row r="567" spans="1:9">
      <c r="A567">
        <v>566</v>
      </c>
      <c r="B567">
        <v>16</v>
      </c>
      <c r="C567">
        <v>9000</v>
      </c>
      <c r="D567">
        <v>8874</v>
      </c>
      <c r="E567" s="5">
        <f t="shared" si="33"/>
        <v>126</v>
      </c>
      <c r="F567" s="5">
        <f t="shared" si="34"/>
        <v>15876</v>
      </c>
      <c r="G567" s="6">
        <f>SQRT(SUM($F$2:F567)/A567)</f>
        <v>1176.3909517579996</v>
      </c>
      <c r="H567" s="5">
        <f t="shared" si="35"/>
        <v>1</v>
      </c>
      <c r="I567" s="5">
        <f t="shared" si="36"/>
        <v>1</v>
      </c>
    </row>
    <row r="568" spans="1:9">
      <c r="A568">
        <v>567</v>
      </c>
      <c r="B568">
        <v>16</v>
      </c>
      <c r="C568">
        <v>9000</v>
      </c>
      <c r="D568">
        <v>9180</v>
      </c>
      <c r="E568" s="5">
        <f t="shared" si="33"/>
        <v>180</v>
      </c>
      <c r="F568" s="5">
        <f t="shared" si="34"/>
        <v>32400</v>
      </c>
      <c r="G568" s="6">
        <f>SQRT(SUM($F$2:F568)/A568)</f>
        <v>1175.377420715894</v>
      </c>
      <c r="H568" s="5">
        <f t="shared" si="35"/>
        <v>1</v>
      </c>
      <c r="I568" s="5">
        <f t="shared" si="36"/>
        <v>1</v>
      </c>
    </row>
    <row r="569" spans="1:9">
      <c r="A569">
        <v>568</v>
      </c>
      <c r="B569">
        <v>16</v>
      </c>
      <c r="C569">
        <v>9000</v>
      </c>
      <c r="D569">
        <v>8869</v>
      </c>
      <c r="E569" s="5">
        <f t="shared" si="33"/>
        <v>131</v>
      </c>
      <c r="F569" s="5">
        <f t="shared" si="34"/>
        <v>17161</v>
      </c>
      <c r="G569" s="6">
        <f>SQRT(SUM($F$2:F569)/A569)</f>
        <v>1174.3551654322744</v>
      </c>
      <c r="H569" s="5">
        <f t="shared" si="35"/>
        <v>1</v>
      </c>
      <c r="I569" s="5">
        <f t="shared" si="36"/>
        <v>1</v>
      </c>
    </row>
    <row r="570" spans="1:9">
      <c r="A570">
        <v>569</v>
      </c>
      <c r="B570">
        <v>16</v>
      </c>
      <c r="C570">
        <v>9000</v>
      </c>
      <c r="D570">
        <v>9621</v>
      </c>
      <c r="E570" s="5">
        <f t="shared" si="33"/>
        <v>621</v>
      </c>
      <c r="F570" s="5">
        <f t="shared" si="34"/>
        <v>385641</v>
      </c>
      <c r="G570" s="6">
        <f>SQRT(SUM($F$2:F570)/A570)</f>
        <v>1173.6115470073105</v>
      </c>
      <c r="H570" s="5">
        <f t="shared" si="35"/>
        <v>1</v>
      </c>
      <c r="I570" s="5">
        <f t="shared" si="36"/>
        <v>1</v>
      </c>
    </row>
    <row r="571" spans="1:9">
      <c r="A571">
        <v>570</v>
      </c>
      <c r="B571">
        <v>15</v>
      </c>
      <c r="C571">
        <v>9000</v>
      </c>
      <c r="D571">
        <v>9786</v>
      </c>
      <c r="E571" s="5">
        <f t="shared" si="33"/>
        <v>786</v>
      </c>
      <c r="F571" s="5">
        <f t="shared" si="34"/>
        <v>617796</v>
      </c>
      <c r="G571" s="6">
        <f>SQRT(SUM($F$2:F571)/A571)</f>
        <v>1173.0436853413851</v>
      </c>
      <c r="H571" s="5">
        <f t="shared" si="35"/>
        <v>1</v>
      </c>
      <c r="I571" s="5">
        <f t="shared" si="36"/>
        <v>1</v>
      </c>
    </row>
    <row r="572" spans="1:9">
      <c r="A572">
        <v>571</v>
      </c>
      <c r="B572">
        <v>15</v>
      </c>
      <c r="C572">
        <v>9000</v>
      </c>
      <c r="D572">
        <v>8662</v>
      </c>
      <c r="E572" s="5">
        <f t="shared" si="33"/>
        <v>338</v>
      </c>
      <c r="F572" s="5">
        <f t="shared" si="34"/>
        <v>114244</v>
      </c>
      <c r="G572" s="6">
        <f>SQRT(SUM($F$2:F572)/A572)</f>
        <v>1172.1014044342357</v>
      </c>
      <c r="H572" s="5">
        <f t="shared" si="35"/>
        <v>1</v>
      </c>
      <c r="I572" s="5">
        <f t="shared" si="36"/>
        <v>1</v>
      </c>
    </row>
    <row r="573" spans="1:9">
      <c r="A573">
        <v>572</v>
      </c>
      <c r="B573">
        <v>16</v>
      </c>
      <c r="C573">
        <v>9000</v>
      </c>
      <c r="D573">
        <v>10558</v>
      </c>
      <c r="E573" s="5">
        <f t="shared" si="33"/>
        <v>1558</v>
      </c>
      <c r="F573" s="5">
        <f t="shared" si="34"/>
        <v>2427364</v>
      </c>
      <c r="G573" s="6">
        <f>SQRT(SUM($F$2:F573)/A573)</f>
        <v>1172.8868485239996</v>
      </c>
      <c r="H573" s="5">
        <f t="shared" si="35"/>
        <v>1</v>
      </c>
      <c r="I573" s="5">
        <f t="shared" si="36"/>
        <v>0</v>
      </c>
    </row>
    <row r="574" spans="1:9">
      <c r="A574">
        <v>573</v>
      </c>
      <c r="B574">
        <v>14</v>
      </c>
      <c r="C574">
        <v>9000</v>
      </c>
      <c r="D574">
        <v>8190</v>
      </c>
      <c r="E574" s="5">
        <f t="shared" si="33"/>
        <v>810</v>
      </c>
      <c r="F574" s="5">
        <f t="shared" si="34"/>
        <v>656100</v>
      </c>
      <c r="G574" s="6">
        <f>SQRT(SUM($F$2:F574)/A574)</f>
        <v>1172.3513878587387</v>
      </c>
      <c r="H574" s="5">
        <f t="shared" si="35"/>
        <v>1</v>
      </c>
      <c r="I574" s="5">
        <f t="shared" si="36"/>
        <v>1</v>
      </c>
    </row>
    <row r="575" spans="1:9">
      <c r="A575">
        <v>574</v>
      </c>
      <c r="B575">
        <v>16</v>
      </c>
      <c r="C575">
        <v>9000</v>
      </c>
      <c r="D575">
        <v>9150</v>
      </c>
      <c r="E575" s="5">
        <f t="shared" si="33"/>
        <v>150</v>
      </c>
      <c r="F575" s="5">
        <f t="shared" si="34"/>
        <v>22500</v>
      </c>
      <c r="G575" s="6">
        <f>SQRT(SUM($F$2:F575)/A575)</f>
        <v>1171.3464630865481</v>
      </c>
      <c r="H575" s="5">
        <f t="shared" si="35"/>
        <v>1</v>
      </c>
      <c r="I575" s="5">
        <f t="shared" si="36"/>
        <v>1</v>
      </c>
    </row>
    <row r="576" spans="1:9">
      <c r="A576">
        <v>575</v>
      </c>
      <c r="B576">
        <v>15</v>
      </c>
      <c r="C576">
        <v>9000</v>
      </c>
      <c r="D576">
        <v>9499</v>
      </c>
      <c r="E576" s="5">
        <f t="shared" si="33"/>
        <v>499</v>
      </c>
      <c r="F576" s="5">
        <f t="shared" si="34"/>
        <v>249001</v>
      </c>
      <c r="G576" s="6">
        <f>SQRT(SUM($F$2:F576)/A576)</f>
        <v>1170.5124533631672</v>
      </c>
      <c r="H576" s="5">
        <f t="shared" si="35"/>
        <v>1</v>
      </c>
      <c r="I576" s="5">
        <f t="shared" si="36"/>
        <v>1</v>
      </c>
    </row>
    <row r="577" spans="1:9">
      <c r="A577">
        <v>576</v>
      </c>
      <c r="B577">
        <v>15</v>
      </c>
      <c r="C577">
        <v>9000</v>
      </c>
      <c r="D577">
        <v>9559</v>
      </c>
      <c r="E577" s="5">
        <f t="shared" si="33"/>
        <v>559</v>
      </c>
      <c r="F577" s="5">
        <f t="shared" si="34"/>
        <v>312481</v>
      </c>
      <c r="G577" s="6">
        <f>SQRT(SUM($F$2:F577)/A577)</f>
        <v>1169.7278574167012</v>
      </c>
      <c r="H577" s="5">
        <f t="shared" si="35"/>
        <v>1</v>
      </c>
      <c r="I577" s="5">
        <f t="shared" si="36"/>
        <v>1</v>
      </c>
    </row>
    <row r="578" spans="1:9">
      <c r="A578">
        <v>577</v>
      </c>
      <c r="B578">
        <v>15</v>
      </c>
      <c r="C578">
        <v>9000</v>
      </c>
      <c r="D578">
        <v>9094</v>
      </c>
      <c r="E578" s="5">
        <f t="shared" si="33"/>
        <v>94</v>
      </c>
      <c r="F578" s="5">
        <f t="shared" si="34"/>
        <v>8836</v>
      </c>
      <c r="G578" s="6">
        <f>SQRT(SUM($F$2:F578)/A578)</f>
        <v>1168.7203403589774</v>
      </c>
      <c r="H578" s="5">
        <f t="shared" si="35"/>
        <v>1</v>
      </c>
      <c r="I578" s="5">
        <f t="shared" si="36"/>
        <v>1</v>
      </c>
    </row>
    <row r="579" spans="1:9">
      <c r="A579">
        <v>578</v>
      </c>
      <c r="B579">
        <v>15</v>
      </c>
      <c r="C579">
        <v>9000</v>
      </c>
      <c r="D579">
        <v>8598</v>
      </c>
      <c r="E579" s="5">
        <f t="shared" ref="E579:E642" si="37">ABS(C579-D579)</f>
        <v>402</v>
      </c>
      <c r="F579" s="5">
        <f t="shared" ref="F579:F642" si="38">POWER(E579,2)</f>
        <v>161604</v>
      </c>
      <c r="G579" s="6">
        <f>SQRT(SUM($F$2:F579)/A579)</f>
        <v>1167.8286108671348</v>
      </c>
      <c r="H579" s="5">
        <f t="shared" ref="H579:H642" si="39">IF(ABS(E579)/C579&gt;0.2,0,1)</f>
        <v>1</v>
      </c>
      <c r="I579" s="5">
        <f t="shared" ref="I579:I642" si="40">IF(ABS(E579)/C579&gt;0.1,0,1)</f>
        <v>1</v>
      </c>
    </row>
    <row r="580" spans="1:9">
      <c r="A580">
        <v>579</v>
      </c>
      <c r="B580">
        <v>16</v>
      </c>
      <c r="C580">
        <v>9000</v>
      </c>
      <c r="D580">
        <v>9490</v>
      </c>
      <c r="E580" s="5">
        <f t="shared" si="37"/>
        <v>490</v>
      </c>
      <c r="F580" s="5">
        <f t="shared" si="38"/>
        <v>240100</v>
      </c>
      <c r="G580" s="6">
        <f>SQRT(SUM($F$2:F580)/A580)</f>
        <v>1166.9973708444497</v>
      </c>
      <c r="H580" s="5">
        <f t="shared" si="39"/>
        <v>1</v>
      </c>
      <c r="I580" s="5">
        <f t="shared" si="40"/>
        <v>1</v>
      </c>
    </row>
    <row r="581" spans="1:9">
      <c r="A581">
        <v>580</v>
      </c>
      <c r="B581">
        <v>15</v>
      </c>
      <c r="C581">
        <v>9000</v>
      </c>
      <c r="D581">
        <v>9265</v>
      </c>
      <c r="E581" s="5">
        <f t="shared" si="37"/>
        <v>265</v>
      </c>
      <c r="F581" s="5">
        <f t="shared" si="38"/>
        <v>70225</v>
      </c>
      <c r="G581" s="6">
        <f>SQRT(SUM($F$2:F581)/A581)</f>
        <v>1166.0428239311707</v>
      </c>
      <c r="H581" s="5">
        <f t="shared" si="39"/>
        <v>1</v>
      </c>
      <c r="I581" s="5">
        <f t="shared" si="40"/>
        <v>1</v>
      </c>
    </row>
    <row r="582" spans="1:9">
      <c r="A582">
        <v>581</v>
      </c>
      <c r="B582">
        <v>15</v>
      </c>
      <c r="C582">
        <v>9000</v>
      </c>
      <c r="D582">
        <v>9645</v>
      </c>
      <c r="E582" s="5">
        <f t="shared" si="37"/>
        <v>645</v>
      </c>
      <c r="F582" s="5">
        <f t="shared" si="38"/>
        <v>416025</v>
      </c>
      <c r="G582" s="6">
        <f>SQRT(SUM($F$2:F582)/A582)</f>
        <v>1165.3461793510353</v>
      </c>
      <c r="H582" s="5">
        <f t="shared" si="39"/>
        <v>1</v>
      </c>
      <c r="I582" s="5">
        <f t="shared" si="40"/>
        <v>1</v>
      </c>
    </row>
    <row r="583" spans="1:9">
      <c r="A583">
        <v>582</v>
      </c>
      <c r="B583">
        <v>14</v>
      </c>
      <c r="C583">
        <v>9000</v>
      </c>
      <c r="D583">
        <v>7758</v>
      </c>
      <c r="E583" s="5">
        <f t="shared" si="37"/>
        <v>1242</v>
      </c>
      <c r="F583" s="5">
        <f t="shared" si="38"/>
        <v>1542564</v>
      </c>
      <c r="G583" s="6">
        <f>SQRT(SUM($F$2:F583)/A583)</f>
        <v>1165.4822107201612</v>
      </c>
      <c r="H583" s="5">
        <f t="shared" si="39"/>
        <v>1</v>
      </c>
      <c r="I583" s="5">
        <f t="shared" si="40"/>
        <v>0</v>
      </c>
    </row>
    <row r="584" spans="1:9">
      <c r="A584">
        <v>583</v>
      </c>
      <c r="B584">
        <v>17</v>
      </c>
      <c r="C584">
        <v>9000</v>
      </c>
      <c r="D584">
        <v>10271</v>
      </c>
      <c r="E584" s="5">
        <f t="shared" si="37"/>
        <v>1271</v>
      </c>
      <c r="F584" s="5">
        <f t="shared" si="38"/>
        <v>1615441</v>
      </c>
      <c r="G584" s="6">
        <f>SQRT(SUM($F$2:F584)/A584)</f>
        <v>1165.671379509927</v>
      </c>
      <c r="H584" s="5">
        <f t="shared" si="39"/>
        <v>1</v>
      </c>
      <c r="I584" s="5">
        <f t="shared" si="40"/>
        <v>0</v>
      </c>
    </row>
    <row r="585" spans="1:9">
      <c r="A585">
        <v>584</v>
      </c>
      <c r="B585">
        <v>14</v>
      </c>
      <c r="C585">
        <v>9000</v>
      </c>
      <c r="D585">
        <v>8949</v>
      </c>
      <c r="E585" s="5">
        <f t="shared" si="37"/>
        <v>51</v>
      </c>
      <c r="F585" s="5">
        <f t="shared" si="38"/>
        <v>2601</v>
      </c>
      <c r="G585" s="6">
        <f>SQRT(SUM($F$2:F585)/A585)</f>
        <v>1164.6748576201869</v>
      </c>
      <c r="H585" s="5">
        <f t="shared" si="39"/>
        <v>1</v>
      </c>
      <c r="I585" s="5">
        <f t="shared" si="40"/>
        <v>1</v>
      </c>
    </row>
    <row r="586" spans="1:9">
      <c r="A586">
        <v>585</v>
      </c>
      <c r="B586">
        <v>15</v>
      </c>
      <c r="C586">
        <v>9000</v>
      </c>
      <c r="D586">
        <v>8974</v>
      </c>
      <c r="E586" s="5">
        <f t="shared" si="37"/>
        <v>26</v>
      </c>
      <c r="F586" s="5">
        <f t="shared" si="38"/>
        <v>676</v>
      </c>
      <c r="G586" s="6">
        <f>SQRT(SUM($F$2:F586)/A586)</f>
        <v>1163.6794797640507</v>
      </c>
      <c r="H586" s="5">
        <f t="shared" si="39"/>
        <v>1</v>
      </c>
      <c r="I586" s="5">
        <f t="shared" si="40"/>
        <v>1</v>
      </c>
    </row>
    <row r="587" spans="1:9">
      <c r="A587">
        <v>586</v>
      </c>
      <c r="B587">
        <v>15</v>
      </c>
      <c r="C587">
        <v>9000</v>
      </c>
      <c r="D587">
        <v>9474</v>
      </c>
      <c r="E587" s="5">
        <f t="shared" si="37"/>
        <v>474</v>
      </c>
      <c r="F587" s="5">
        <f t="shared" si="38"/>
        <v>224676</v>
      </c>
      <c r="G587" s="6">
        <f>SQRT(SUM($F$2:F587)/A587)</f>
        <v>1162.8510230061652</v>
      </c>
      <c r="H587" s="5">
        <f t="shared" si="39"/>
        <v>1</v>
      </c>
      <c r="I587" s="5">
        <f t="shared" si="40"/>
        <v>1</v>
      </c>
    </row>
    <row r="588" spans="1:9">
      <c r="A588">
        <v>587</v>
      </c>
      <c r="B588">
        <v>14</v>
      </c>
      <c r="C588">
        <v>9000</v>
      </c>
      <c r="D588">
        <v>9144</v>
      </c>
      <c r="E588" s="5">
        <f t="shared" si="37"/>
        <v>144</v>
      </c>
      <c r="F588" s="5">
        <f t="shared" si="38"/>
        <v>20736</v>
      </c>
      <c r="G588" s="6">
        <f>SQRT(SUM($F$2:F588)/A588)</f>
        <v>1161.8752993517039</v>
      </c>
      <c r="H588" s="5">
        <f t="shared" si="39"/>
        <v>1</v>
      </c>
      <c r="I588" s="5">
        <f t="shared" si="40"/>
        <v>1</v>
      </c>
    </row>
    <row r="589" spans="1:9">
      <c r="A589">
        <v>588</v>
      </c>
      <c r="B589">
        <v>15</v>
      </c>
      <c r="C589">
        <v>9000</v>
      </c>
      <c r="D589">
        <v>9281</v>
      </c>
      <c r="E589" s="5">
        <f t="shared" si="37"/>
        <v>281</v>
      </c>
      <c r="F589" s="5">
        <f t="shared" si="38"/>
        <v>78961</v>
      </c>
      <c r="G589" s="6">
        <f>SQRT(SUM($F$2:F589)/A589)</f>
        <v>1160.9447265754152</v>
      </c>
      <c r="H589" s="5">
        <f t="shared" si="39"/>
        <v>1</v>
      </c>
      <c r="I589" s="5">
        <f t="shared" si="40"/>
        <v>1</v>
      </c>
    </row>
    <row r="590" spans="1:9">
      <c r="A590">
        <v>589</v>
      </c>
      <c r="B590">
        <v>15</v>
      </c>
      <c r="C590">
        <v>9000</v>
      </c>
      <c r="D590">
        <v>9406</v>
      </c>
      <c r="E590" s="5">
        <f t="shared" si="37"/>
        <v>406</v>
      </c>
      <c r="F590" s="5">
        <f t="shared" si="38"/>
        <v>164836</v>
      </c>
      <c r="G590" s="6">
        <f>SQRT(SUM($F$2:F590)/A590)</f>
        <v>1160.0794122750306</v>
      </c>
      <c r="H590" s="5">
        <f t="shared" si="39"/>
        <v>1</v>
      </c>
      <c r="I590" s="5">
        <f t="shared" si="40"/>
        <v>1</v>
      </c>
    </row>
    <row r="591" spans="1:9">
      <c r="A591">
        <v>590</v>
      </c>
      <c r="B591">
        <v>14</v>
      </c>
      <c r="C591">
        <v>9000</v>
      </c>
      <c r="D591">
        <v>8663</v>
      </c>
      <c r="E591" s="5">
        <f t="shared" si="37"/>
        <v>337</v>
      </c>
      <c r="F591" s="5">
        <f t="shared" si="38"/>
        <v>113569</v>
      </c>
      <c r="G591" s="6">
        <f>SQRT(SUM($F$2:F591)/A591)</f>
        <v>1159.1789086991193</v>
      </c>
      <c r="H591" s="5">
        <f t="shared" si="39"/>
        <v>1</v>
      </c>
      <c r="I591" s="5">
        <f t="shared" si="40"/>
        <v>1</v>
      </c>
    </row>
    <row r="592" spans="1:9">
      <c r="A592">
        <v>591</v>
      </c>
      <c r="B592">
        <v>15</v>
      </c>
      <c r="C592">
        <v>9000</v>
      </c>
      <c r="D592">
        <v>9595</v>
      </c>
      <c r="E592" s="5">
        <f t="shared" si="37"/>
        <v>595</v>
      </c>
      <c r="F592" s="5">
        <f t="shared" si="38"/>
        <v>354025</v>
      </c>
      <c r="G592" s="6">
        <f>SQRT(SUM($F$2:F592)/A592)</f>
        <v>1158.456374918293</v>
      </c>
      <c r="H592" s="5">
        <f t="shared" si="39"/>
        <v>1</v>
      </c>
      <c r="I592" s="5">
        <f t="shared" si="40"/>
        <v>1</v>
      </c>
    </row>
    <row r="593" spans="1:9">
      <c r="A593">
        <v>592</v>
      </c>
      <c r="B593">
        <v>14</v>
      </c>
      <c r="C593">
        <v>9000</v>
      </c>
      <c r="D593">
        <v>8435</v>
      </c>
      <c r="E593" s="5">
        <f t="shared" si="37"/>
        <v>565</v>
      </c>
      <c r="F593" s="5">
        <f t="shared" si="38"/>
        <v>319225</v>
      </c>
      <c r="G593" s="6">
        <f>SQRT(SUM($F$2:F593)/A593)</f>
        <v>1157.7104458159438</v>
      </c>
      <c r="H593" s="5">
        <f t="shared" si="39"/>
        <v>1</v>
      </c>
      <c r="I593" s="5">
        <f t="shared" si="40"/>
        <v>1</v>
      </c>
    </row>
    <row r="594" spans="1:9">
      <c r="A594">
        <v>593</v>
      </c>
      <c r="B594">
        <v>15</v>
      </c>
      <c r="C594">
        <v>9000</v>
      </c>
      <c r="D594">
        <v>8398</v>
      </c>
      <c r="E594" s="5">
        <f t="shared" si="37"/>
        <v>602</v>
      </c>
      <c r="F594" s="5">
        <f t="shared" si="38"/>
        <v>362404</v>
      </c>
      <c r="G594" s="6">
        <f>SQRT(SUM($F$2:F594)/A594)</f>
        <v>1156.9980214266402</v>
      </c>
      <c r="H594" s="5">
        <f t="shared" si="39"/>
        <v>1</v>
      </c>
      <c r="I594" s="5">
        <f t="shared" si="40"/>
        <v>1</v>
      </c>
    </row>
    <row r="595" spans="1:9">
      <c r="A595">
        <v>594</v>
      </c>
      <c r="B595">
        <v>16</v>
      </c>
      <c r="C595">
        <v>9000</v>
      </c>
      <c r="D595">
        <v>9368</v>
      </c>
      <c r="E595" s="5">
        <f t="shared" si="37"/>
        <v>368</v>
      </c>
      <c r="F595" s="5">
        <f t="shared" si="38"/>
        <v>135424</v>
      </c>
      <c r="G595" s="6">
        <f>SQRT(SUM($F$2:F595)/A595)</f>
        <v>1156.1223109947312</v>
      </c>
      <c r="H595" s="5">
        <f t="shared" si="39"/>
        <v>1</v>
      </c>
      <c r="I595" s="5">
        <f t="shared" si="40"/>
        <v>1</v>
      </c>
    </row>
    <row r="596" spans="1:9">
      <c r="A596">
        <v>595</v>
      </c>
      <c r="B596">
        <v>14</v>
      </c>
      <c r="C596">
        <v>9000</v>
      </c>
      <c r="D596">
        <v>8013</v>
      </c>
      <c r="E596" s="5">
        <f t="shared" si="37"/>
        <v>987</v>
      </c>
      <c r="F596" s="5">
        <f t="shared" si="38"/>
        <v>974169</v>
      </c>
      <c r="G596" s="6">
        <f>SQRT(SUM($F$2:F596)/A596)</f>
        <v>1155.8588316293051</v>
      </c>
      <c r="H596" s="5">
        <f t="shared" si="39"/>
        <v>1</v>
      </c>
      <c r="I596" s="5">
        <f t="shared" si="40"/>
        <v>0</v>
      </c>
    </row>
    <row r="597" spans="1:9">
      <c r="A597">
        <v>596</v>
      </c>
      <c r="B597">
        <v>16</v>
      </c>
      <c r="C597">
        <v>9000</v>
      </c>
      <c r="D597">
        <v>8948</v>
      </c>
      <c r="E597" s="5">
        <f t="shared" si="37"/>
        <v>52</v>
      </c>
      <c r="F597" s="5">
        <f t="shared" si="38"/>
        <v>2704</v>
      </c>
      <c r="G597" s="6">
        <f>SQRT(SUM($F$2:F597)/A597)</f>
        <v>1154.8907085338067</v>
      </c>
      <c r="H597" s="5">
        <f t="shared" si="39"/>
        <v>1</v>
      </c>
      <c r="I597" s="5">
        <f t="shared" si="40"/>
        <v>1</v>
      </c>
    </row>
    <row r="598" spans="1:9">
      <c r="A598">
        <v>597</v>
      </c>
      <c r="B598">
        <v>15</v>
      </c>
      <c r="C598">
        <v>9000</v>
      </c>
      <c r="D598">
        <v>9120</v>
      </c>
      <c r="E598" s="5">
        <f t="shared" si="37"/>
        <v>120</v>
      </c>
      <c r="F598" s="5">
        <f t="shared" si="38"/>
        <v>14400</v>
      </c>
      <c r="G598" s="6">
        <f>SQRT(SUM($F$2:F598)/A598)</f>
        <v>1153.9335095180354</v>
      </c>
      <c r="H598" s="5">
        <f t="shared" si="39"/>
        <v>1</v>
      </c>
      <c r="I598" s="5">
        <f t="shared" si="40"/>
        <v>1</v>
      </c>
    </row>
    <row r="599" spans="1:9">
      <c r="A599">
        <v>598</v>
      </c>
      <c r="B599">
        <v>15</v>
      </c>
      <c r="C599">
        <v>9000</v>
      </c>
      <c r="D599">
        <v>9550</v>
      </c>
      <c r="E599" s="5">
        <f t="shared" si="37"/>
        <v>550</v>
      </c>
      <c r="F599" s="5">
        <f t="shared" si="38"/>
        <v>302500</v>
      </c>
      <c r="G599" s="6">
        <f>SQRT(SUM($F$2:F599)/A599)</f>
        <v>1153.187627410812</v>
      </c>
      <c r="H599" s="5">
        <f t="shared" si="39"/>
        <v>1</v>
      </c>
      <c r="I599" s="5">
        <f t="shared" si="40"/>
        <v>1</v>
      </c>
    </row>
    <row r="600" spans="1:9">
      <c r="A600">
        <v>599</v>
      </c>
      <c r="B600">
        <v>14</v>
      </c>
      <c r="C600">
        <v>9000</v>
      </c>
      <c r="D600">
        <v>8776</v>
      </c>
      <c r="E600" s="5">
        <f t="shared" si="37"/>
        <v>224</v>
      </c>
      <c r="F600" s="5">
        <f t="shared" si="38"/>
        <v>50176</v>
      </c>
      <c r="G600" s="6">
        <f>SQRT(SUM($F$2:F600)/A600)</f>
        <v>1152.2609805416471</v>
      </c>
      <c r="H600" s="5">
        <f t="shared" si="39"/>
        <v>1</v>
      </c>
      <c r="I600" s="5">
        <f t="shared" si="40"/>
        <v>1</v>
      </c>
    </row>
    <row r="601" spans="1:9">
      <c r="A601">
        <v>600</v>
      </c>
      <c r="B601">
        <v>15</v>
      </c>
      <c r="C601">
        <v>9000</v>
      </c>
      <c r="D601">
        <v>9362</v>
      </c>
      <c r="E601" s="5">
        <f t="shared" si="37"/>
        <v>362</v>
      </c>
      <c r="F601" s="5">
        <f t="shared" si="38"/>
        <v>131044</v>
      </c>
      <c r="G601" s="6">
        <f>SQRT(SUM($F$2:F601)/A601)</f>
        <v>1151.3952108927094</v>
      </c>
      <c r="H601" s="5">
        <f t="shared" si="39"/>
        <v>1</v>
      </c>
      <c r="I601" s="5">
        <f t="shared" si="40"/>
        <v>1</v>
      </c>
    </row>
    <row r="602" spans="1:9">
      <c r="A602">
        <v>601</v>
      </c>
      <c r="B602">
        <v>1</v>
      </c>
      <c r="C602">
        <v>5000</v>
      </c>
      <c r="D602">
        <v>915</v>
      </c>
      <c r="E602" s="5">
        <f t="shared" si="37"/>
        <v>4085</v>
      </c>
      <c r="F602" s="5">
        <f t="shared" si="38"/>
        <v>16687225</v>
      </c>
      <c r="G602" s="6">
        <f>SQRT(SUM($F$2:F602)/A602)</f>
        <v>1162.441764236499</v>
      </c>
      <c r="H602" s="5">
        <f t="shared" si="39"/>
        <v>0</v>
      </c>
      <c r="I602" s="5">
        <f t="shared" si="40"/>
        <v>0</v>
      </c>
    </row>
    <row r="603" spans="1:9">
      <c r="A603">
        <v>602</v>
      </c>
      <c r="B603">
        <v>5</v>
      </c>
      <c r="C603">
        <v>5000</v>
      </c>
      <c r="D603">
        <v>4166</v>
      </c>
      <c r="E603" s="5">
        <f t="shared" si="37"/>
        <v>834</v>
      </c>
      <c r="F603" s="5">
        <f t="shared" si="38"/>
        <v>695556</v>
      </c>
      <c r="G603" s="6">
        <f>SQRT(SUM($F$2:F603)/A603)</f>
        <v>1161.9731614400466</v>
      </c>
      <c r="H603" s="5">
        <f t="shared" si="39"/>
        <v>1</v>
      </c>
      <c r="I603" s="5">
        <f t="shared" si="40"/>
        <v>0</v>
      </c>
    </row>
    <row r="604" spans="1:9">
      <c r="A604">
        <v>603</v>
      </c>
      <c r="B604">
        <v>2</v>
      </c>
      <c r="C604">
        <v>5000</v>
      </c>
      <c r="D604">
        <v>1876</v>
      </c>
      <c r="E604" s="5">
        <f t="shared" si="37"/>
        <v>3124</v>
      </c>
      <c r="F604" s="5">
        <f t="shared" si="38"/>
        <v>9759376</v>
      </c>
      <c r="G604" s="6">
        <f>SQRT(SUM($F$2:F604)/A604)</f>
        <v>1167.9585711319546</v>
      </c>
      <c r="H604" s="5">
        <f t="shared" si="39"/>
        <v>0</v>
      </c>
      <c r="I604" s="5">
        <f t="shared" si="40"/>
        <v>0</v>
      </c>
    </row>
    <row r="605" spans="1:9">
      <c r="A605">
        <v>604</v>
      </c>
      <c r="B605">
        <v>5</v>
      </c>
      <c r="C605">
        <v>5000</v>
      </c>
      <c r="D605">
        <v>4200</v>
      </c>
      <c r="E605" s="5">
        <f t="shared" si="37"/>
        <v>800</v>
      </c>
      <c r="F605" s="5">
        <f t="shared" si="38"/>
        <v>640000</v>
      </c>
      <c r="G605" s="6">
        <f>SQRT(SUM($F$2:F605)/A605)</f>
        <v>1167.4452183071994</v>
      </c>
      <c r="H605" s="5">
        <f t="shared" si="39"/>
        <v>1</v>
      </c>
      <c r="I605" s="5">
        <f t="shared" si="40"/>
        <v>0</v>
      </c>
    </row>
    <row r="606" spans="1:9">
      <c r="A606">
        <v>605</v>
      </c>
      <c r="B606">
        <v>3</v>
      </c>
      <c r="C606">
        <v>5000</v>
      </c>
      <c r="D606">
        <v>1909</v>
      </c>
      <c r="E606" s="5">
        <f t="shared" si="37"/>
        <v>3091</v>
      </c>
      <c r="F606" s="5">
        <f t="shared" si="38"/>
        <v>9554281</v>
      </c>
      <c r="G606" s="6">
        <f>SQRT(SUM($F$2:F606)/A606)</f>
        <v>1173.229629542471</v>
      </c>
      <c r="H606" s="5">
        <f t="shared" si="39"/>
        <v>0</v>
      </c>
      <c r="I606" s="5">
        <f t="shared" si="40"/>
        <v>0</v>
      </c>
    </row>
    <row r="607" spans="1:9">
      <c r="A607">
        <v>606</v>
      </c>
      <c r="B607">
        <v>6</v>
      </c>
      <c r="C607">
        <v>5000</v>
      </c>
      <c r="D607">
        <v>3450</v>
      </c>
      <c r="E607" s="5">
        <f t="shared" si="37"/>
        <v>1550</v>
      </c>
      <c r="F607" s="5">
        <f t="shared" si="38"/>
        <v>2402500</v>
      </c>
      <c r="G607" s="6">
        <f>SQRT(SUM($F$2:F607)/A607)</f>
        <v>1173.9509726298684</v>
      </c>
      <c r="H607" s="5">
        <f t="shared" si="39"/>
        <v>0</v>
      </c>
      <c r="I607" s="5">
        <f t="shared" si="40"/>
        <v>0</v>
      </c>
    </row>
    <row r="608" spans="1:9">
      <c r="A608">
        <v>607</v>
      </c>
      <c r="B608">
        <v>5</v>
      </c>
      <c r="C608">
        <v>5000</v>
      </c>
      <c r="D608">
        <v>604</v>
      </c>
      <c r="E608" s="5">
        <f t="shared" si="37"/>
        <v>4396</v>
      </c>
      <c r="F608" s="5">
        <f t="shared" si="38"/>
        <v>19324816</v>
      </c>
      <c r="G608" s="6">
        <f>SQRT(SUM($F$2:F608)/A608)</f>
        <v>1186.4767336693608</v>
      </c>
      <c r="H608" s="5">
        <f t="shared" si="39"/>
        <v>0</v>
      </c>
      <c r="I608" s="5">
        <f t="shared" si="40"/>
        <v>0</v>
      </c>
    </row>
    <row r="609" spans="1:9">
      <c r="A609">
        <v>608</v>
      </c>
      <c r="B609">
        <v>9</v>
      </c>
      <c r="C609">
        <v>5000</v>
      </c>
      <c r="D609">
        <v>2622</v>
      </c>
      <c r="E609" s="5">
        <f t="shared" si="37"/>
        <v>2378</v>
      </c>
      <c r="F609" s="5">
        <f t="shared" si="38"/>
        <v>5654884</v>
      </c>
      <c r="G609" s="6">
        <f>SQRT(SUM($F$2:F609)/A609)</f>
        <v>1189.4168718602361</v>
      </c>
      <c r="H609" s="5">
        <f t="shared" si="39"/>
        <v>0</v>
      </c>
      <c r="I609" s="5">
        <f t="shared" si="40"/>
        <v>0</v>
      </c>
    </row>
    <row r="610" spans="1:9">
      <c r="A610">
        <v>609</v>
      </c>
      <c r="B610">
        <v>7</v>
      </c>
      <c r="C610">
        <v>5000</v>
      </c>
      <c r="D610">
        <v>3896</v>
      </c>
      <c r="E610" s="5">
        <f t="shared" si="37"/>
        <v>1104</v>
      </c>
      <c r="F610" s="5">
        <f t="shared" si="38"/>
        <v>1218816</v>
      </c>
      <c r="G610" s="6">
        <f>SQRT(SUM($F$2:F610)/A610)</f>
        <v>1189.2816428181218</v>
      </c>
      <c r="H610" s="5">
        <f t="shared" si="39"/>
        <v>0</v>
      </c>
      <c r="I610" s="5">
        <f t="shared" si="40"/>
        <v>0</v>
      </c>
    </row>
    <row r="611" spans="1:9">
      <c r="A611">
        <v>610</v>
      </c>
      <c r="B611">
        <v>6</v>
      </c>
      <c r="C611">
        <v>5000</v>
      </c>
      <c r="D611">
        <v>3191</v>
      </c>
      <c r="E611" s="5">
        <f t="shared" si="37"/>
        <v>1809</v>
      </c>
      <c r="F611" s="5">
        <f t="shared" si="38"/>
        <v>3272481</v>
      </c>
      <c r="G611" s="6">
        <f>SQRT(SUM($F$2:F611)/A611)</f>
        <v>1190.5615798478616</v>
      </c>
      <c r="H611" s="5">
        <f t="shared" si="39"/>
        <v>0</v>
      </c>
      <c r="I611" s="5">
        <f t="shared" si="40"/>
        <v>0</v>
      </c>
    </row>
    <row r="612" spans="1:9">
      <c r="A612">
        <v>611</v>
      </c>
      <c r="B612">
        <v>7</v>
      </c>
      <c r="C612">
        <v>5000</v>
      </c>
      <c r="D612">
        <v>3560</v>
      </c>
      <c r="E612" s="5">
        <f t="shared" si="37"/>
        <v>1440</v>
      </c>
      <c r="F612" s="5">
        <f t="shared" si="38"/>
        <v>2073600</v>
      </c>
      <c r="G612" s="6">
        <f>SQRT(SUM($F$2:F612)/A612)</f>
        <v>1191.0125071316531</v>
      </c>
      <c r="H612" s="5">
        <f t="shared" si="39"/>
        <v>0</v>
      </c>
      <c r="I612" s="5">
        <f t="shared" si="40"/>
        <v>0</v>
      </c>
    </row>
    <row r="613" spans="1:9">
      <c r="A613">
        <v>612</v>
      </c>
      <c r="B613">
        <v>7</v>
      </c>
      <c r="C613">
        <v>5000</v>
      </c>
      <c r="D613">
        <v>4013</v>
      </c>
      <c r="E613" s="5">
        <f t="shared" si="37"/>
        <v>987</v>
      </c>
      <c r="F613" s="5">
        <f t="shared" si="38"/>
        <v>974169</v>
      </c>
      <c r="G613" s="6">
        <f>SQRT(SUM($F$2:F613)/A613)</f>
        <v>1190.7076649892081</v>
      </c>
      <c r="H613" s="5">
        <f t="shared" si="39"/>
        <v>1</v>
      </c>
      <c r="I613" s="5">
        <f t="shared" si="40"/>
        <v>0</v>
      </c>
    </row>
    <row r="614" spans="1:9">
      <c r="A614">
        <v>613</v>
      </c>
      <c r="B614">
        <v>7</v>
      </c>
      <c r="C614">
        <v>5000</v>
      </c>
      <c r="D614">
        <v>3980</v>
      </c>
      <c r="E614" s="5">
        <f t="shared" si="37"/>
        <v>1020</v>
      </c>
      <c r="F614" s="5">
        <f t="shared" si="38"/>
        <v>1040400</v>
      </c>
      <c r="G614" s="6">
        <f>SQRT(SUM($F$2:F614)/A614)</f>
        <v>1190.4491201505466</v>
      </c>
      <c r="H614" s="5">
        <f t="shared" si="39"/>
        <v>0</v>
      </c>
      <c r="I614" s="5">
        <f t="shared" si="40"/>
        <v>0</v>
      </c>
    </row>
    <row r="615" spans="1:9">
      <c r="A615">
        <v>614</v>
      </c>
      <c r="B615">
        <v>8</v>
      </c>
      <c r="C615">
        <v>5000</v>
      </c>
      <c r="D615">
        <v>5846</v>
      </c>
      <c r="E615" s="5">
        <f t="shared" si="37"/>
        <v>846</v>
      </c>
      <c r="F615" s="5">
        <f t="shared" si="38"/>
        <v>715716</v>
      </c>
      <c r="G615" s="6">
        <f>SQRT(SUM($F$2:F615)/A615)</f>
        <v>1189.9691911540253</v>
      </c>
      <c r="H615" s="5">
        <f t="shared" si="39"/>
        <v>1</v>
      </c>
      <c r="I615" s="5">
        <f t="shared" si="40"/>
        <v>0</v>
      </c>
    </row>
    <row r="616" spans="1:9">
      <c r="A616">
        <v>615</v>
      </c>
      <c r="B616">
        <v>5</v>
      </c>
      <c r="C616">
        <v>5000</v>
      </c>
      <c r="D616">
        <v>3805</v>
      </c>
      <c r="E616" s="5">
        <f t="shared" si="37"/>
        <v>1195</v>
      </c>
      <c r="F616" s="5">
        <f t="shared" si="38"/>
        <v>1428025</v>
      </c>
      <c r="G616" s="6">
        <f>SQRT(SUM($F$2:F616)/A616)</f>
        <v>1189.9773885943605</v>
      </c>
      <c r="H616" s="5">
        <f t="shared" si="39"/>
        <v>0</v>
      </c>
      <c r="I616" s="5">
        <f t="shared" si="40"/>
        <v>0</v>
      </c>
    </row>
    <row r="617" spans="1:9">
      <c r="A617">
        <v>616</v>
      </c>
      <c r="B617">
        <v>8</v>
      </c>
      <c r="C617">
        <v>5000</v>
      </c>
      <c r="D617">
        <v>5802</v>
      </c>
      <c r="E617" s="5">
        <f t="shared" si="37"/>
        <v>802</v>
      </c>
      <c r="F617" s="5">
        <f t="shared" si="38"/>
        <v>643204</v>
      </c>
      <c r="G617" s="6">
        <f>SQRT(SUM($F$2:F617)/A617)</f>
        <v>1189.4501130474414</v>
      </c>
      <c r="H617" s="5">
        <f t="shared" si="39"/>
        <v>1</v>
      </c>
      <c r="I617" s="5">
        <f t="shared" si="40"/>
        <v>0</v>
      </c>
    </row>
    <row r="618" spans="1:9">
      <c r="A618">
        <v>617</v>
      </c>
      <c r="B618">
        <v>6</v>
      </c>
      <c r="C618">
        <v>5000</v>
      </c>
      <c r="D618">
        <v>4395</v>
      </c>
      <c r="E618" s="5">
        <f t="shared" si="37"/>
        <v>605</v>
      </c>
      <c r="F618" s="5">
        <f t="shared" si="38"/>
        <v>366025</v>
      </c>
      <c r="G618" s="6">
        <f>SQRT(SUM($F$2:F618)/A618)</f>
        <v>1188.7353732779782</v>
      </c>
      <c r="H618" s="5">
        <f t="shared" si="39"/>
        <v>1</v>
      </c>
      <c r="I618" s="5">
        <f t="shared" si="40"/>
        <v>0</v>
      </c>
    </row>
    <row r="619" spans="1:9">
      <c r="A619">
        <v>618</v>
      </c>
      <c r="B619">
        <v>7</v>
      </c>
      <c r="C619">
        <v>5000</v>
      </c>
      <c r="D619">
        <v>4727</v>
      </c>
      <c r="E619" s="5">
        <f t="shared" si="37"/>
        <v>273</v>
      </c>
      <c r="F619" s="5">
        <f t="shared" si="38"/>
        <v>74529</v>
      </c>
      <c r="G619" s="6">
        <f>SQRT(SUM($F$2:F619)/A619)</f>
        <v>1187.8239888463966</v>
      </c>
      <c r="H619" s="5">
        <f t="shared" si="39"/>
        <v>1</v>
      </c>
      <c r="I619" s="5">
        <f t="shared" si="40"/>
        <v>1</v>
      </c>
    </row>
    <row r="620" spans="1:9">
      <c r="A620">
        <v>619</v>
      </c>
      <c r="B620">
        <v>7</v>
      </c>
      <c r="C620">
        <v>5000</v>
      </c>
      <c r="D620">
        <v>4759</v>
      </c>
      <c r="E620" s="5">
        <f t="shared" si="37"/>
        <v>241</v>
      </c>
      <c r="F620" s="5">
        <f t="shared" si="38"/>
        <v>58081</v>
      </c>
      <c r="G620" s="6">
        <f>SQRT(SUM($F$2:F620)/A620)</f>
        <v>1186.9036589538875</v>
      </c>
      <c r="H620" s="5">
        <f t="shared" si="39"/>
        <v>1</v>
      </c>
      <c r="I620" s="5">
        <f t="shared" si="40"/>
        <v>1</v>
      </c>
    </row>
    <row r="621" spans="1:9">
      <c r="A621">
        <v>620</v>
      </c>
      <c r="B621">
        <v>7</v>
      </c>
      <c r="C621">
        <v>5000</v>
      </c>
      <c r="D621">
        <v>4984</v>
      </c>
      <c r="E621" s="5">
        <f t="shared" si="37"/>
        <v>16</v>
      </c>
      <c r="F621" s="5">
        <f t="shared" si="38"/>
        <v>256</v>
      </c>
      <c r="G621" s="6">
        <f>SQRT(SUM($F$2:F621)/A621)</f>
        <v>1185.9462663941372</v>
      </c>
      <c r="H621" s="5">
        <f t="shared" si="39"/>
        <v>1</v>
      </c>
      <c r="I621" s="5">
        <f t="shared" si="40"/>
        <v>1</v>
      </c>
    </row>
    <row r="622" spans="1:9">
      <c r="A622">
        <v>621</v>
      </c>
      <c r="B622">
        <v>7</v>
      </c>
      <c r="C622">
        <v>5000</v>
      </c>
      <c r="D622">
        <v>5000</v>
      </c>
      <c r="E622" s="5">
        <f t="shared" si="37"/>
        <v>0</v>
      </c>
      <c r="F622" s="5">
        <f t="shared" si="38"/>
        <v>0</v>
      </c>
      <c r="G622" s="6">
        <f>SQRT(SUM($F$2:F622)/A622)</f>
        <v>1184.9910135074433</v>
      </c>
      <c r="H622" s="5">
        <f t="shared" si="39"/>
        <v>1</v>
      </c>
      <c r="I622" s="5">
        <f t="shared" si="40"/>
        <v>1</v>
      </c>
    </row>
    <row r="623" spans="1:9">
      <c r="A623">
        <v>622</v>
      </c>
      <c r="B623">
        <v>7</v>
      </c>
      <c r="C623">
        <v>5000</v>
      </c>
      <c r="D623">
        <v>5233</v>
      </c>
      <c r="E623" s="5">
        <f t="shared" si="37"/>
        <v>233</v>
      </c>
      <c r="F623" s="5">
        <f t="shared" si="38"/>
        <v>54289</v>
      </c>
      <c r="G623" s="6">
        <f>SQRT(SUM($F$2:F623)/A623)</f>
        <v>1184.0749221319843</v>
      </c>
      <c r="H623" s="5">
        <f t="shared" si="39"/>
        <v>1</v>
      </c>
      <c r="I623" s="5">
        <f t="shared" si="40"/>
        <v>1</v>
      </c>
    </row>
    <row r="624" spans="1:9">
      <c r="A624">
        <v>623</v>
      </c>
      <c r="B624">
        <v>6</v>
      </c>
      <c r="C624">
        <v>5000</v>
      </c>
      <c r="D624">
        <v>4339</v>
      </c>
      <c r="E624" s="5">
        <f t="shared" si="37"/>
        <v>661</v>
      </c>
      <c r="F624" s="5">
        <f t="shared" si="38"/>
        <v>436921</v>
      </c>
      <c r="G624" s="6">
        <f>SQRT(SUM($F$2:F624)/A624)</f>
        <v>1183.4205863128921</v>
      </c>
      <c r="H624" s="5">
        <f t="shared" si="39"/>
        <v>1</v>
      </c>
      <c r="I624" s="5">
        <f t="shared" si="40"/>
        <v>0</v>
      </c>
    </row>
    <row r="625" spans="1:9">
      <c r="A625">
        <v>624</v>
      </c>
      <c r="B625">
        <v>7</v>
      </c>
      <c r="C625">
        <v>5000</v>
      </c>
      <c r="D625">
        <v>4704</v>
      </c>
      <c r="E625" s="5">
        <f t="shared" si="37"/>
        <v>296</v>
      </c>
      <c r="F625" s="5">
        <f t="shared" si="38"/>
        <v>87616</v>
      </c>
      <c r="G625" s="6">
        <f>SQRT(SUM($F$2:F625)/A625)</f>
        <v>1182.5313224289837</v>
      </c>
      <c r="H625" s="5">
        <f t="shared" si="39"/>
        <v>1</v>
      </c>
      <c r="I625" s="5">
        <f t="shared" si="40"/>
        <v>1</v>
      </c>
    </row>
    <row r="626" spans="1:9">
      <c r="A626">
        <v>625</v>
      </c>
      <c r="B626">
        <v>7</v>
      </c>
      <c r="C626">
        <v>5000</v>
      </c>
      <c r="D626">
        <v>5239</v>
      </c>
      <c r="E626" s="5">
        <f t="shared" si="37"/>
        <v>239</v>
      </c>
      <c r="F626" s="5">
        <f t="shared" si="38"/>
        <v>57121</v>
      </c>
      <c r="G626" s="6">
        <f>SQRT(SUM($F$2:F626)/A626)</f>
        <v>1181.6235921815373</v>
      </c>
      <c r="H626" s="5">
        <f t="shared" si="39"/>
        <v>1</v>
      </c>
      <c r="I626" s="5">
        <f t="shared" si="40"/>
        <v>1</v>
      </c>
    </row>
    <row r="627" spans="1:9">
      <c r="A627">
        <v>626</v>
      </c>
      <c r="B627">
        <v>7</v>
      </c>
      <c r="C627">
        <v>5000</v>
      </c>
      <c r="D627">
        <v>5179</v>
      </c>
      <c r="E627" s="5">
        <f t="shared" si="37"/>
        <v>179</v>
      </c>
      <c r="F627" s="5">
        <f t="shared" si="38"/>
        <v>32041</v>
      </c>
      <c r="G627" s="6">
        <f>SQRT(SUM($F$2:F627)/A627)</f>
        <v>1180.7011014877191</v>
      </c>
      <c r="H627" s="5">
        <f t="shared" si="39"/>
        <v>1</v>
      </c>
      <c r="I627" s="5">
        <f t="shared" si="40"/>
        <v>1</v>
      </c>
    </row>
    <row r="628" spans="1:9">
      <c r="A628">
        <v>627</v>
      </c>
      <c r="B628">
        <v>7</v>
      </c>
      <c r="C628">
        <v>5000</v>
      </c>
      <c r="D628">
        <v>5289</v>
      </c>
      <c r="E628" s="5">
        <f t="shared" si="37"/>
        <v>289</v>
      </c>
      <c r="F628" s="5">
        <f t="shared" si="38"/>
        <v>83521</v>
      </c>
      <c r="G628" s="6">
        <f>SQRT(SUM($F$2:F628)/A628)</f>
        <v>1179.8156318001013</v>
      </c>
      <c r="H628" s="5">
        <f t="shared" si="39"/>
        <v>1</v>
      </c>
      <c r="I628" s="5">
        <f t="shared" si="40"/>
        <v>1</v>
      </c>
    </row>
    <row r="629" spans="1:9">
      <c r="A629">
        <v>628</v>
      </c>
      <c r="B629">
        <v>6</v>
      </c>
      <c r="C629">
        <v>5000</v>
      </c>
      <c r="D629">
        <v>4695</v>
      </c>
      <c r="E629" s="5">
        <f t="shared" si="37"/>
        <v>305</v>
      </c>
      <c r="F629" s="5">
        <f t="shared" si="38"/>
        <v>93025</v>
      </c>
      <c r="G629" s="6">
        <f>SQRT(SUM($F$2:F629)/A629)</f>
        <v>1178.9387385963096</v>
      </c>
      <c r="H629" s="5">
        <f t="shared" si="39"/>
        <v>1</v>
      </c>
      <c r="I629" s="5">
        <f t="shared" si="40"/>
        <v>1</v>
      </c>
    </row>
    <row r="630" spans="1:9">
      <c r="A630">
        <v>629</v>
      </c>
      <c r="B630">
        <v>7</v>
      </c>
      <c r="C630">
        <v>5000</v>
      </c>
      <c r="D630">
        <v>4643</v>
      </c>
      <c r="E630" s="5">
        <f t="shared" si="37"/>
        <v>357</v>
      </c>
      <c r="F630" s="5">
        <f t="shared" si="38"/>
        <v>127449</v>
      </c>
      <c r="G630" s="6">
        <f>SQRT(SUM($F$2:F630)/A630)</f>
        <v>1178.0872117705721</v>
      </c>
      <c r="H630" s="5">
        <f t="shared" si="39"/>
        <v>1</v>
      </c>
      <c r="I630" s="5">
        <f t="shared" si="40"/>
        <v>1</v>
      </c>
    </row>
    <row r="631" spans="1:9">
      <c r="A631">
        <v>630</v>
      </c>
      <c r="B631">
        <v>7</v>
      </c>
      <c r="C631">
        <v>5000</v>
      </c>
      <c r="D631">
        <v>5281</v>
      </c>
      <c r="E631" s="5">
        <f t="shared" si="37"/>
        <v>281</v>
      </c>
      <c r="F631" s="5">
        <f t="shared" si="38"/>
        <v>78961</v>
      </c>
      <c r="G631" s="6">
        <f>SQRT(SUM($F$2:F631)/A631)</f>
        <v>1177.2050859071728</v>
      </c>
      <c r="H631" s="5">
        <f t="shared" si="39"/>
        <v>1</v>
      </c>
      <c r="I631" s="5">
        <f t="shared" si="40"/>
        <v>1</v>
      </c>
    </row>
    <row r="632" spans="1:9">
      <c r="A632">
        <v>631</v>
      </c>
      <c r="B632">
        <v>6</v>
      </c>
      <c r="C632">
        <v>5000</v>
      </c>
      <c r="D632">
        <v>4768</v>
      </c>
      <c r="E632" s="5">
        <f t="shared" si="37"/>
        <v>232</v>
      </c>
      <c r="F632" s="5">
        <f t="shared" si="38"/>
        <v>53824</v>
      </c>
      <c r="G632" s="6">
        <f>SQRT(SUM($F$2:F632)/A632)</f>
        <v>1176.3081647993831</v>
      </c>
      <c r="H632" s="5">
        <f t="shared" si="39"/>
        <v>1</v>
      </c>
      <c r="I632" s="5">
        <f t="shared" si="40"/>
        <v>1</v>
      </c>
    </row>
    <row r="633" spans="1:9">
      <c r="A633">
        <v>632</v>
      </c>
      <c r="B633">
        <v>7</v>
      </c>
      <c r="C633">
        <v>5000</v>
      </c>
      <c r="D633">
        <v>5485</v>
      </c>
      <c r="E633" s="5">
        <f t="shared" si="37"/>
        <v>485</v>
      </c>
      <c r="F633" s="5">
        <f t="shared" si="38"/>
        <v>235225</v>
      </c>
      <c r="G633" s="6">
        <f>SQRT(SUM($F$2:F633)/A633)</f>
        <v>1175.5354906906969</v>
      </c>
      <c r="H633" s="5">
        <f t="shared" si="39"/>
        <v>1</v>
      </c>
      <c r="I633" s="5">
        <f t="shared" si="40"/>
        <v>1</v>
      </c>
    </row>
    <row r="634" spans="1:9">
      <c r="A634">
        <v>633</v>
      </c>
      <c r="B634">
        <v>6</v>
      </c>
      <c r="C634">
        <v>5000</v>
      </c>
      <c r="D634">
        <v>4681</v>
      </c>
      <c r="E634" s="5">
        <f t="shared" si="37"/>
        <v>319</v>
      </c>
      <c r="F634" s="5">
        <f t="shared" si="38"/>
        <v>101761</v>
      </c>
      <c r="G634" s="6">
        <f>SQRT(SUM($F$2:F634)/A634)</f>
        <v>1174.6750100120967</v>
      </c>
      <c r="H634" s="5">
        <f t="shared" si="39"/>
        <v>1</v>
      </c>
      <c r="I634" s="5">
        <f t="shared" si="40"/>
        <v>1</v>
      </c>
    </row>
    <row r="635" spans="1:9">
      <c r="A635">
        <v>634</v>
      </c>
      <c r="B635">
        <v>7</v>
      </c>
      <c r="C635">
        <v>5000</v>
      </c>
      <c r="D635">
        <v>4987</v>
      </c>
      <c r="E635" s="5">
        <f t="shared" si="37"/>
        <v>13</v>
      </c>
      <c r="F635" s="5">
        <f t="shared" si="38"/>
        <v>169</v>
      </c>
      <c r="G635" s="6">
        <f>SQRT(SUM($F$2:F635)/A635)</f>
        <v>1173.7483581253234</v>
      </c>
      <c r="H635" s="5">
        <f t="shared" si="39"/>
        <v>1</v>
      </c>
      <c r="I635" s="5">
        <f t="shared" si="40"/>
        <v>1</v>
      </c>
    </row>
    <row r="636" spans="1:9">
      <c r="A636">
        <v>635</v>
      </c>
      <c r="B636">
        <v>7</v>
      </c>
      <c r="C636">
        <v>5000</v>
      </c>
      <c r="D636">
        <v>4626</v>
      </c>
      <c r="E636" s="5">
        <f t="shared" si="37"/>
        <v>374</v>
      </c>
      <c r="F636" s="5">
        <f t="shared" si="38"/>
        <v>139876</v>
      </c>
      <c r="G636" s="6">
        <f>SQRT(SUM($F$2:F636)/A636)</f>
        <v>1172.9176878034557</v>
      </c>
      <c r="H636" s="5">
        <f t="shared" si="39"/>
        <v>1</v>
      </c>
      <c r="I636" s="5">
        <f t="shared" si="40"/>
        <v>1</v>
      </c>
    </row>
    <row r="637" spans="1:9">
      <c r="A637">
        <v>636</v>
      </c>
      <c r="B637">
        <v>7</v>
      </c>
      <c r="C637">
        <v>5000</v>
      </c>
      <c r="D637">
        <v>4304</v>
      </c>
      <c r="E637" s="5">
        <f t="shared" si="37"/>
        <v>696</v>
      </c>
      <c r="F637" s="5">
        <f t="shared" si="38"/>
        <v>484416</v>
      </c>
      <c r="G637" s="6">
        <f>SQRT(SUM($F$2:F637)/A637)</f>
        <v>1172.3201166809527</v>
      </c>
      <c r="H637" s="5">
        <f t="shared" si="39"/>
        <v>1</v>
      </c>
      <c r="I637" s="5">
        <f t="shared" si="40"/>
        <v>0</v>
      </c>
    </row>
    <row r="638" spans="1:9">
      <c r="A638">
        <v>637</v>
      </c>
      <c r="B638">
        <v>8</v>
      </c>
      <c r="C638">
        <v>5000</v>
      </c>
      <c r="D638">
        <v>5790</v>
      </c>
      <c r="E638" s="5">
        <f t="shared" si="37"/>
        <v>790</v>
      </c>
      <c r="F638" s="5">
        <f t="shared" si="38"/>
        <v>624100</v>
      </c>
      <c r="G638" s="6">
        <f>SQRT(SUM($F$2:F638)/A638)</f>
        <v>1171.8176879862972</v>
      </c>
      <c r="H638" s="5">
        <f t="shared" si="39"/>
        <v>1</v>
      </c>
      <c r="I638" s="5">
        <f t="shared" si="40"/>
        <v>0</v>
      </c>
    </row>
    <row r="639" spans="1:9">
      <c r="A639">
        <v>638</v>
      </c>
      <c r="B639">
        <v>6</v>
      </c>
      <c r="C639">
        <v>5000</v>
      </c>
      <c r="D639">
        <v>3692</v>
      </c>
      <c r="E639" s="5">
        <f t="shared" si="37"/>
        <v>1308</v>
      </c>
      <c r="F639" s="5">
        <f t="shared" si="38"/>
        <v>1710864</v>
      </c>
      <c r="G639" s="6">
        <f>SQRT(SUM($F$2:F639)/A639)</f>
        <v>1172.0435212371515</v>
      </c>
      <c r="H639" s="5">
        <f t="shared" si="39"/>
        <v>0</v>
      </c>
      <c r="I639" s="5">
        <f t="shared" si="40"/>
        <v>0</v>
      </c>
    </row>
    <row r="640" spans="1:9">
      <c r="A640">
        <v>639</v>
      </c>
      <c r="B640">
        <v>9</v>
      </c>
      <c r="C640">
        <v>5000</v>
      </c>
      <c r="D640">
        <v>5731</v>
      </c>
      <c r="E640" s="5">
        <f t="shared" si="37"/>
        <v>731</v>
      </c>
      <c r="F640" s="5">
        <f t="shared" si="38"/>
        <v>534361</v>
      </c>
      <c r="G640" s="6">
        <f>SQRT(SUM($F$2:F640)/A640)</f>
        <v>1171.4830421294498</v>
      </c>
      <c r="H640" s="5">
        <f t="shared" si="39"/>
        <v>1</v>
      </c>
      <c r="I640" s="5">
        <f t="shared" si="40"/>
        <v>0</v>
      </c>
    </row>
    <row r="641" spans="1:9">
      <c r="A641">
        <v>640</v>
      </c>
      <c r="B641">
        <v>6</v>
      </c>
      <c r="C641">
        <v>5000</v>
      </c>
      <c r="D641">
        <v>3570</v>
      </c>
      <c r="E641" s="5">
        <f t="shared" si="37"/>
        <v>1430</v>
      </c>
      <c r="F641" s="5">
        <f t="shared" si="38"/>
        <v>2044900</v>
      </c>
      <c r="G641" s="6">
        <f>SQRT(SUM($F$2:F641)/A641)</f>
        <v>1171.9314579733323</v>
      </c>
      <c r="H641" s="5">
        <f t="shared" si="39"/>
        <v>0</v>
      </c>
      <c r="I641" s="5">
        <f t="shared" si="40"/>
        <v>0</v>
      </c>
    </row>
    <row r="642" spans="1:9">
      <c r="A642">
        <v>641</v>
      </c>
      <c r="B642">
        <v>9</v>
      </c>
      <c r="C642">
        <v>5000</v>
      </c>
      <c r="D642">
        <v>5740</v>
      </c>
      <c r="E642" s="5">
        <f t="shared" si="37"/>
        <v>740</v>
      </c>
      <c r="F642" s="5">
        <f t="shared" si="38"/>
        <v>547600</v>
      </c>
      <c r="G642" s="6">
        <f>SQRT(SUM($F$2:F642)/A642)</f>
        <v>1171.3816654874915</v>
      </c>
      <c r="H642" s="5">
        <f t="shared" si="39"/>
        <v>1</v>
      </c>
      <c r="I642" s="5">
        <f t="shared" si="40"/>
        <v>0</v>
      </c>
    </row>
    <row r="643" spans="1:9">
      <c r="A643">
        <v>642</v>
      </c>
      <c r="B643">
        <v>6</v>
      </c>
      <c r="C643">
        <v>5000</v>
      </c>
      <c r="D643">
        <v>3999</v>
      </c>
      <c r="E643" s="5">
        <f t="shared" ref="E643:E706" si="41">ABS(C643-D643)</f>
        <v>1001</v>
      </c>
      <c r="F643" s="5">
        <f t="shared" ref="F643:F706" si="42">POWER(E643,2)</f>
        <v>1002001</v>
      </c>
      <c r="G643" s="6">
        <f>SQRT(SUM($F$2:F643)/A643)</f>
        <v>1171.1355487390215</v>
      </c>
      <c r="H643" s="5">
        <f t="shared" ref="H643:H706" si="43">IF(ABS(E643)/C643&gt;0.2,0,1)</f>
        <v>0</v>
      </c>
      <c r="I643" s="5">
        <f t="shared" ref="I643:I706" si="44">IF(ABS(E643)/C643&gt;0.1,0,1)</f>
        <v>0</v>
      </c>
    </row>
    <row r="644" spans="1:9">
      <c r="A644">
        <v>643</v>
      </c>
      <c r="B644">
        <v>8</v>
      </c>
      <c r="C644">
        <v>5000</v>
      </c>
      <c r="D644">
        <v>4439</v>
      </c>
      <c r="E644" s="5">
        <f t="shared" si="41"/>
        <v>561</v>
      </c>
      <c r="F644" s="5">
        <f t="shared" si="42"/>
        <v>314721</v>
      </c>
      <c r="G644" s="6">
        <f>SQRT(SUM($F$2:F644)/A644)</f>
        <v>1170.4336245009213</v>
      </c>
      <c r="H644" s="5">
        <f t="shared" si="43"/>
        <v>1</v>
      </c>
      <c r="I644" s="5">
        <f t="shared" si="44"/>
        <v>0</v>
      </c>
    </row>
    <row r="645" spans="1:9">
      <c r="A645">
        <v>644</v>
      </c>
      <c r="B645">
        <v>8</v>
      </c>
      <c r="C645">
        <v>5000</v>
      </c>
      <c r="D645">
        <v>5530</v>
      </c>
      <c r="E645" s="5">
        <f t="shared" si="41"/>
        <v>530</v>
      </c>
      <c r="F645" s="5">
        <f t="shared" si="42"/>
        <v>280900</v>
      </c>
      <c r="G645" s="6">
        <f>SQRT(SUM($F$2:F645)/A645)</f>
        <v>1169.7110123806103</v>
      </c>
      <c r="H645" s="5">
        <f t="shared" si="43"/>
        <v>1</v>
      </c>
      <c r="I645" s="5">
        <f t="shared" si="44"/>
        <v>0</v>
      </c>
    </row>
    <row r="646" spans="1:9">
      <c r="A646">
        <v>645</v>
      </c>
      <c r="B646">
        <v>7</v>
      </c>
      <c r="C646">
        <v>5000</v>
      </c>
      <c r="D646">
        <v>4993</v>
      </c>
      <c r="E646" s="5">
        <f t="shared" si="41"/>
        <v>7</v>
      </c>
      <c r="F646" s="5">
        <f t="shared" si="42"/>
        <v>49</v>
      </c>
      <c r="G646" s="6">
        <f>SQRT(SUM($F$2:F646)/A646)</f>
        <v>1168.8039404291853</v>
      </c>
      <c r="H646" s="5">
        <f t="shared" si="43"/>
        <v>1</v>
      </c>
      <c r="I646" s="5">
        <f t="shared" si="44"/>
        <v>1</v>
      </c>
    </row>
    <row r="647" spans="1:9">
      <c r="A647">
        <v>646</v>
      </c>
      <c r="B647">
        <v>7</v>
      </c>
      <c r="C647">
        <v>5000</v>
      </c>
      <c r="D647">
        <v>5039</v>
      </c>
      <c r="E647" s="5">
        <f t="shared" si="41"/>
        <v>39</v>
      </c>
      <c r="F647" s="5">
        <f t="shared" si="42"/>
        <v>1521</v>
      </c>
      <c r="G647" s="6">
        <f>SQRT(SUM($F$2:F647)/A647)</f>
        <v>1167.8999510513024</v>
      </c>
      <c r="H647" s="5">
        <f t="shared" si="43"/>
        <v>1</v>
      </c>
      <c r="I647" s="5">
        <f t="shared" si="44"/>
        <v>1</v>
      </c>
    </row>
    <row r="648" spans="1:9">
      <c r="A648">
        <v>647</v>
      </c>
      <c r="B648">
        <v>7</v>
      </c>
      <c r="C648">
        <v>5000</v>
      </c>
      <c r="D648">
        <v>4895</v>
      </c>
      <c r="E648" s="5">
        <f t="shared" si="41"/>
        <v>105</v>
      </c>
      <c r="F648" s="5">
        <f t="shared" si="42"/>
        <v>11025</v>
      </c>
      <c r="G648" s="6">
        <f>SQRT(SUM($F$2:F648)/A648)</f>
        <v>1167.0043526895222</v>
      </c>
      <c r="H648" s="5">
        <f t="shared" si="43"/>
        <v>1</v>
      </c>
      <c r="I648" s="5">
        <f t="shared" si="44"/>
        <v>1</v>
      </c>
    </row>
    <row r="649" spans="1:9">
      <c r="A649">
        <v>648</v>
      </c>
      <c r="B649">
        <v>8</v>
      </c>
      <c r="C649">
        <v>5000</v>
      </c>
      <c r="D649">
        <v>5750</v>
      </c>
      <c r="E649" s="5">
        <f t="shared" si="41"/>
        <v>750</v>
      </c>
      <c r="F649" s="5">
        <f t="shared" si="42"/>
        <v>562500</v>
      </c>
      <c r="G649" s="6">
        <f>SQRT(SUM($F$2:F649)/A649)</f>
        <v>1166.475682780622</v>
      </c>
      <c r="H649" s="5">
        <f t="shared" si="43"/>
        <v>1</v>
      </c>
      <c r="I649" s="5">
        <f t="shared" si="44"/>
        <v>0</v>
      </c>
    </row>
    <row r="650" spans="1:9">
      <c r="A650">
        <v>649</v>
      </c>
      <c r="B650">
        <v>6</v>
      </c>
      <c r="C650">
        <v>5000</v>
      </c>
      <c r="D650">
        <v>4630</v>
      </c>
      <c r="E650" s="5">
        <f t="shared" si="41"/>
        <v>370</v>
      </c>
      <c r="F650" s="5">
        <f t="shared" si="42"/>
        <v>136900</v>
      </c>
      <c r="G650" s="6">
        <f>SQRT(SUM($F$2:F650)/A650)</f>
        <v>1165.6671486263772</v>
      </c>
      <c r="H650" s="5">
        <f t="shared" si="43"/>
        <v>1</v>
      </c>
      <c r="I650" s="5">
        <f t="shared" si="44"/>
        <v>1</v>
      </c>
    </row>
    <row r="651" spans="1:9">
      <c r="A651">
        <v>650</v>
      </c>
      <c r="B651">
        <v>8</v>
      </c>
      <c r="C651">
        <v>5000</v>
      </c>
      <c r="D651">
        <v>5596</v>
      </c>
      <c r="E651" s="5">
        <f t="shared" si="41"/>
        <v>596</v>
      </c>
      <c r="F651" s="5">
        <f t="shared" si="42"/>
        <v>355216</v>
      </c>
      <c r="G651" s="6">
        <f>SQRT(SUM($F$2:F651)/A651)</f>
        <v>1165.0047025326021</v>
      </c>
      <c r="H651" s="5">
        <f t="shared" si="43"/>
        <v>1</v>
      </c>
      <c r="I651" s="5">
        <f t="shared" si="44"/>
        <v>0</v>
      </c>
    </row>
    <row r="652" spans="1:9">
      <c r="A652">
        <v>651</v>
      </c>
      <c r="B652">
        <v>7</v>
      </c>
      <c r="C652">
        <v>5000</v>
      </c>
      <c r="D652">
        <v>4894</v>
      </c>
      <c r="E652" s="5">
        <f t="shared" si="41"/>
        <v>106</v>
      </c>
      <c r="F652" s="5">
        <f t="shared" si="42"/>
        <v>11236</v>
      </c>
      <c r="G652" s="6">
        <f>SQRT(SUM($F$2:F652)/A652)</f>
        <v>1164.116990969376</v>
      </c>
      <c r="H652" s="5">
        <f t="shared" si="43"/>
        <v>1</v>
      </c>
      <c r="I652" s="5">
        <f t="shared" si="44"/>
        <v>1</v>
      </c>
    </row>
    <row r="653" spans="1:9">
      <c r="A653">
        <v>652</v>
      </c>
      <c r="B653">
        <v>7</v>
      </c>
      <c r="C653">
        <v>5000</v>
      </c>
      <c r="D653">
        <v>4724</v>
      </c>
      <c r="E653" s="5">
        <f t="shared" si="41"/>
        <v>276</v>
      </c>
      <c r="F653" s="5">
        <f t="shared" si="42"/>
        <v>76176</v>
      </c>
      <c r="G653" s="6">
        <f>SQRT(SUM($F$2:F653)/A653)</f>
        <v>1163.2741396276203</v>
      </c>
      <c r="H653" s="5">
        <f t="shared" si="43"/>
        <v>1</v>
      </c>
      <c r="I653" s="5">
        <f t="shared" si="44"/>
        <v>1</v>
      </c>
    </row>
    <row r="654" spans="1:9">
      <c r="A654">
        <v>653</v>
      </c>
      <c r="B654">
        <v>8</v>
      </c>
      <c r="C654">
        <v>5000</v>
      </c>
      <c r="D654">
        <v>5722</v>
      </c>
      <c r="E654" s="5">
        <f t="shared" si="41"/>
        <v>722</v>
      </c>
      <c r="F654" s="5">
        <f t="shared" si="42"/>
        <v>521284</v>
      </c>
      <c r="G654" s="6">
        <f>SQRT(SUM($F$2:F654)/A654)</f>
        <v>1162.7264178721339</v>
      </c>
      <c r="H654" s="5">
        <f t="shared" si="43"/>
        <v>1</v>
      </c>
      <c r="I654" s="5">
        <f t="shared" si="44"/>
        <v>0</v>
      </c>
    </row>
    <row r="655" spans="1:9">
      <c r="A655">
        <v>654</v>
      </c>
      <c r="B655">
        <v>6</v>
      </c>
      <c r="C655">
        <v>5000</v>
      </c>
      <c r="D655">
        <v>4785</v>
      </c>
      <c r="E655" s="5">
        <f t="shared" si="41"/>
        <v>215</v>
      </c>
      <c r="F655" s="5">
        <f t="shared" si="42"/>
        <v>46225</v>
      </c>
      <c r="G655" s="6">
        <f>SQRT(SUM($F$2:F655)/A655)</f>
        <v>1161.8675603650986</v>
      </c>
      <c r="H655" s="5">
        <f t="shared" si="43"/>
        <v>1</v>
      </c>
      <c r="I655" s="5">
        <f t="shared" si="44"/>
        <v>1</v>
      </c>
    </row>
    <row r="656" spans="1:9">
      <c r="A656">
        <v>655</v>
      </c>
      <c r="B656">
        <v>7</v>
      </c>
      <c r="C656">
        <v>5000</v>
      </c>
      <c r="D656">
        <v>5122</v>
      </c>
      <c r="E656" s="5">
        <f t="shared" si="41"/>
        <v>122</v>
      </c>
      <c r="F656" s="5">
        <f t="shared" si="42"/>
        <v>14884</v>
      </c>
      <c r="G656" s="6">
        <f>SQRT(SUM($F$2:F656)/A656)</f>
        <v>1160.9900861560668</v>
      </c>
      <c r="H656" s="5">
        <f t="shared" si="43"/>
        <v>1</v>
      </c>
      <c r="I656" s="5">
        <f t="shared" si="44"/>
        <v>1</v>
      </c>
    </row>
    <row r="657" spans="1:9">
      <c r="A657">
        <v>656</v>
      </c>
      <c r="B657">
        <v>7</v>
      </c>
      <c r="C657">
        <v>5000</v>
      </c>
      <c r="D657">
        <v>4782</v>
      </c>
      <c r="E657" s="5">
        <f t="shared" si="41"/>
        <v>218</v>
      </c>
      <c r="F657" s="5">
        <f t="shared" si="42"/>
        <v>47524</v>
      </c>
      <c r="G657" s="6">
        <f>SQRT(SUM($F$2:F657)/A657)</f>
        <v>1160.1360707882081</v>
      </c>
      <c r="H657" s="5">
        <f t="shared" si="43"/>
        <v>1</v>
      </c>
      <c r="I657" s="5">
        <f t="shared" si="44"/>
        <v>1</v>
      </c>
    </row>
    <row r="658" spans="1:9">
      <c r="A658">
        <v>657</v>
      </c>
      <c r="B658">
        <v>7</v>
      </c>
      <c r="C658">
        <v>5000</v>
      </c>
      <c r="D658">
        <v>5126</v>
      </c>
      <c r="E658" s="5">
        <f t="shared" si="41"/>
        <v>126</v>
      </c>
      <c r="F658" s="5">
        <f t="shared" si="42"/>
        <v>15876</v>
      </c>
      <c r="G658" s="6">
        <f>SQRT(SUM($F$2:F658)/A658)</f>
        <v>1159.2632527572428</v>
      </c>
      <c r="H658" s="5">
        <f t="shared" si="43"/>
        <v>1</v>
      </c>
      <c r="I658" s="5">
        <f t="shared" si="44"/>
        <v>1</v>
      </c>
    </row>
    <row r="659" spans="1:9">
      <c r="A659">
        <v>658</v>
      </c>
      <c r="B659">
        <v>7</v>
      </c>
      <c r="C659">
        <v>5000</v>
      </c>
      <c r="D659">
        <v>5758</v>
      </c>
      <c r="E659" s="5">
        <f t="shared" si="41"/>
        <v>758</v>
      </c>
      <c r="F659" s="5">
        <f t="shared" si="42"/>
        <v>574564</v>
      </c>
      <c r="G659" s="6">
        <f>SQRT(SUM($F$2:F659)/A659)</f>
        <v>1158.7588613616704</v>
      </c>
      <c r="H659" s="5">
        <f t="shared" si="43"/>
        <v>1</v>
      </c>
      <c r="I659" s="5">
        <f t="shared" si="44"/>
        <v>0</v>
      </c>
    </row>
    <row r="660" spans="1:9">
      <c r="A660">
        <v>659</v>
      </c>
      <c r="B660">
        <v>6</v>
      </c>
      <c r="C660">
        <v>5000</v>
      </c>
      <c r="D660">
        <v>4499</v>
      </c>
      <c r="E660" s="5">
        <f t="shared" si="41"/>
        <v>501</v>
      </c>
      <c r="F660" s="5">
        <f t="shared" si="42"/>
        <v>251001</v>
      </c>
      <c r="G660" s="6">
        <f>SQRT(SUM($F$2:F660)/A660)</f>
        <v>1158.04380999052</v>
      </c>
      <c r="H660" s="5">
        <f t="shared" si="43"/>
        <v>1</v>
      </c>
      <c r="I660" s="5">
        <f t="shared" si="44"/>
        <v>0</v>
      </c>
    </row>
    <row r="661" spans="1:9">
      <c r="A661">
        <v>660</v>
      </c>
      <c r="B661">
        <v>8</v>
      </c>
      <c r="C661">
        <v>5000</v>
      </c>
      <c r="D661">
        <v>5933</v>
      </c>
      <c r="E661" s="5">
        <f t="shared" si="41"/>
        <v>933</v>
      </c>
      <c r="F661" s="5">
        <f t="shared" si="42"/>
        <v>870489</v>
      </c>
      <c r="G661" s="6">
        <f>SQRT(SUM($F$2:F661)/A661)</f>
        <v>1157.7359246443557</v>
      </c>
      <c r="H661" s="5">
        <f t="shared" si="43"/>
        <v>1</v>
      </c>
      <c r="I661" s="5">
        <f t="shared" si="44"/>
        <v>0</v>
      </c>
    </row>
    <row r="662" spans="1:9">
      <c r="A662">
        <v>661</v>
      </c>
      <c r="B662">
        <v>6</v>
      </c>
      <c r="C662">
        <v>5000</v>
      </c>
      <c r="D662">
        <v>4645</v>
      </c>
      <c r="E662" s="5">
        <f t="shared" si="41"/>
        <v>355</v>
      </c>
      <c r="F662" s="5">
        <f t="shared" si="42"/>
        <v>126025</v>
      </c>
      <c r="G662" s="6">
        <f>SQRT(SUM($F$2:F662)/A662)</f>
        <v>1156.9422477371515</v>
      </c>
      <c r="H662" s="5">
        <f t="shared" si="43"/>
        <v>1</v>
      </c>
      <c r="I662" s="5">
        <f t="shared" si="44"/>
        <v>1</v>
      </c>
    </row>
    <row r="663" spans="1:9">
      <c r="A663">
        <v>662</v>
      </c>
      <c r="B663">
        <v>7</v>
      </c>
      <c r="C663">
        <v>5000</v>
      </c>
      <c r="D663">
        <v>6047</v>
      </c>
      <c r="E663" s="5">
        <f t="shared" si="41"/>
        <v>1047</v>
      </c>
      <c r="F663" s="5">
        <f t="shared" si="42"/>
        <v>1096209</v>
      </c>
      <c r="G663" s="6">
        <f>SQRT(SUM($F$2:F663)/A663)</f>
        <v>1156.7840519735314</v>
      </c>
      <c r="H663" s="5">
        <f t="shared" si="43"/>
        <v>0</v>
      </c>
      <c r="I663" s="5">
        <f t="shared" si="44"/>
        <v>0</v>
      </c>
    </row>
    <row r="664" spans="1:9">
      <c r="A664">
        <v>663</v>
      </c>
      <c r="B664">
        <v>6</v>
      </c>
      <c r="C664">
        <v>5000</v>
      </c>
      <c r="D664">
        <v>4469</v>
      </c>
      <c r="E664" s="5">
        <f t="shared" si="41"/>
        <v>531</v>
      </c>
      <c r="F664" s="5">
        <f t="shared" si="42"/>
        <v>281961</v>
      </c>
      <c r="G664" s="6">
        <f>SQRT(SUM($F$2:F664)/A664)</f>
        <v>1156.0952809533192</v>
      </c>
      <c r="H664" s="5">
        <f t="shared" si="43"/>
        <v>1</v>
      </c>
      <c r="I664" s="5">
        <f t="shared" si="44"/>
        <v>0</v>
      </c>
    </row>
    <row r="665" spans="1:9">
      <c r="A665">
        <v>664</v>
      </c>
      <c r="B665">
        <v>7</v>
      </c>
      <c r="C665">
        <v>5000</v>
      </c>
      <c r="D665">
        <v>4915</v>
      </c>
      <c r="E665" s="5">
        <f t="shared" si="41"/>
        <v>85</v>
      </c>
      <c r="F665" s="5">
        <f t="shared" si="42"/>
        <v>7225</v>
      </c>
      <c r="G665" s="6">
        <f>SQRT(SUM($F$2:F665)/A665)</f>
        <v>1155.2291087376127</v>
      </c>
      <c r="H665" s="5">
        <f t="shared" si="43"/>
        <v>1</v>
      </c>
      <c r="I665" s="5">
        <f t="shared" si="44"/>
        <v>1</v>
      </c>
    </row>
    <row r="666" spans="1:9">
      <c r="A666">
        <v>665</v>
      </c>
      <c r="B666">
        <v>7</v>
      </c>
      <c r="C666">
        <v>5000</v>
      </c>
      <c r="D666">
        <v>3971</v>
      </c>
      <c r="E666" s="5">
        <f t="shared" si="41"/>
        <v>1029</v>
      </c>
      <c r="F666" s="5">
        <f t="shared" si="42"/>
        <v>1058841</v>
      </c>
      <c r="G666" s="6">
        <f>SQRT(SUM($F$2:F666)/A666)</f>
        <v>1155.0496470793128</v>
      </c>
      <c r="H666" s="5">
        <f t="shared" si="43"/>
        <v>0</v>
      </c>
      <c r="I666" s="5">
        <f t="shared" si="44"/>
        <v>0</v>
      </c>
    </row>
    <row r="667" spans="1:9">
      <c r="A667">
        <v>666</v>
      </c>
      <c r="B667">
        <v>8</v>
      </c>
      <c r="C667">
        <v>5000</v>
      </c>
      <c r="D667">
        <v>4714</v>
      </c>
      <c r="E667" s="5">
        <f t="shared" si="41"/>
        <v>286</v>
      </c>
      <c r="F667" s="5">
        <f t="shared" si="42"/>
        <v>81796</v>
      </c>
      <c r="G667" s="6">
        <f>SQRT(SUM($F$2:F667)/A667)</f>
        <v>1154.2353708370279</v>
      </c>
      <c r="H667" s="5">
        <f t="shared" si="43"/>
        <v>1</v>
      </c>
      <c r="I667" s="5">
        <f t="shared" si="44"/>
        <v>1</v>
      </c>
    </row>
    <row r="668" spans="1:9">
      <c r="A668">
        <v>667</v>
      </c>
      <c r="B668">
        <v>7</v>
      </c>
      <c r="C668">
        <v>5000</v>
      </c>
      <c r="D668">
        <v>1515</v>
      </c>
      <c r="E668" s="5">
        <f t="shared" si="41"/>
        <v>3485</v>
      </c>
      <c r="F668" s="5">
        <f t="shared" si="42"/>
        <v>12145225</v>
      </c>
      <c r="G668" s="6">
        <f>SQRT(SUM($F$2:F668)/A668)</f>
        <v>1161.2366831025054</v>
      </c>
      <c r="H668" s="5">
        <f t="shared" si="43"/>
        <v>0</v>
      </c>
      <c r="I668" s="5">
        <f t="shared" si="44"/>
        <v>0</v>
      </c>
    </row>
    <row r="669" spans="1:9">
      <c r="A669">
        <v>668</v>
      </c>
      <c r="B669">
        <v>12</v>
      </c>
      <c r="C669">
        <v>5000</v>
      </c>
      <c r="D669">
        <v>6600</v>
      </c>
      <c r="E669" s="5">
        <f t="shared" si="41"/>
        <v>1600</v>
      </c>
      <c r="F669" s="5">
        <f t="shared" si="42"/>
        <v>2560000</v>
      </c>
      <c r="G669" s="6">
        <f>SQRT(SUM($F$2:F669)/A669)</f>
        <v>1162.0173410488346</v>
      </c>
      <c r="H669" s="5">
        <f t="shared" si="43"/>
        <v>0</v>
      </c>
      <c r="I669" s="5">
        <f t="shared" si="44"/>
        <v>0</v>
      </c>
    </row>
    <row r="670" spans="1:9">
      <c r="A670">
        <v>669</v>
      </c>
      <c r="B670">
        <v>6</v>
      </c>
      <c r="C670">
        <v>5000</v>
      </c>
      <c r="D670">
        <v>3299</v>
      </c>
      <c r="E670" s="5">
        <f t="shared" si="41"/>
        <v>1701</v>
      </c>
      <c r="F670" s="5">
        <f t="shared" si="42"/>
        <v>2893401</v>
      </c>
      <c r="G670" s="6">
        <f>SQRT(SUM($F$2:F670)/A670)</f>
        <v>1163.0094164881295</v>
      </c>
      <c r="H670" s="5">
        <f t="shared" si="43"/>
        <v>0</v>
      </c>
      <c r="I670" s="5">
        <f t="shared" si="44"/>
        <v>0</v>
      </c>
    </row>
    <row r="671" spans="1:9">
      <c r="A671">
        <v>670</v>
      </c>
      <c r="B671">
        <v>10</v>
      </c>
      <c r="C671">
        <v>5000</v>
      </c>
      <c r="D671">
        <v>5882</v>
      </c>
      <c r="E671" s="5">
        <f t="shared" si="41"/>
        <v>882</v>
      </c>
      <c r="F671" s="5">
        <f t="shared" si="42"/>
        <v>777924</v>
      </c>
      <c r="G671" s="6">
        <f>SQRT(SUM($F$2:F671)/A671)</f>
        <v>1162.6406113003177</v>
      </c>
      <c r="H671" s="5">
        <f t="shared" si="43"/>
        <v>1</v>
      </c>
      <c r="I671" s="5">
        <f t="shared" si="44"/>
        <v>0</v>
      </c>
    </row>
    <row r="672" spans="1:9">
      <c r="A672">
        <v>671</v>
      </c>
      <c r="B672">
        <v>7</v>
      </c>
      <c r="C672">
        <v>5000</v>
      </c>
      <c r="D672">
        <v>4282</v>
      </c>
      <c r="E672" s="5">
        <f t="shared" si="41"/>
        <v>718</v>
      </c>
      <c r="F672" s="5">
        <f t="shared" si="42"/>
        <v>515524</v>
      </c>
      <c r="G672" s="6">
        <f>SQRT(SUM($F$2:F672)/A672)</f>
        <v>1162.1045467793788</v>
      </c>
      <c r="H672" s="5">
        <f t="shared" si="43"/>
        <v>1</v>
      </c>
      <c r="I672" s="5">
        <f t="shared" si="44"/>
        <v>0</v>
      </c>
    </row>
    <row r="673" spans="1:9">
      <c r="A673">
        <v>672</v>
      </c>
      <c r="B673">
        <v>9</v>
      </c>
      <c r="C673">
        <v>5000</v>
      </c>
      <c r="D673">
        <v>6479</v>
      </c>
      <c r="E673" s="5">
        <f t="shared" si="41"/>
        <v>1479</v>
      </c>
      <c r="F673" s="5">
        <f t="shared" si="42"/>
        <v>2187441</v>
      </c>
      <c r="G673" s="6">
        <f>SQRT(SUM($F$2:F673)/A673)</f>
        <v>1162.6402904340086</v>
      </c>
      <c r="H673" s="5">
        <f t="shared" si="43"/>
        <v>0</v>
      </c>
      <c r="I673" s="5">
        <f t="shared" si="44"/>
        <v>0</v>
      </c>
    </row>
    <row r="674" spans="1:9">
      <c r="A674">
        <v>673</v>
      </c>
      <c r="B674">
        <v>6</v>
      </c>
      <c r="C674">
        <v>5000</v>
      </c>
      <c r="D674">
        <v>4281</v>
      </c>
      <c r="E674" s="5">
        <f t="shared" si="41"/>
        <v>719</v>
      </c>
      <c r="F674" s="5">
        <f t="shared" si="42"/>
        <v>516961</v>
      </c>
      <c r="G674" s="6">
        <f>SQRT(SUM($F$2:F674)/A674)</f>
        <v>1162.1067383517045</v>
      </c>
      <c r="H674" s="5">
        <f t="shared" si="43"/>
        <v>1</v>
      </c>
      <c r="I674" s="5">
        <f t="shared" si="44"/>
        <v>0</v>
      </c>
    </row>
    <row r="675" spans="1:9">
      <c r="A675">
        <v>674</v>
      </c>
      <c r="B675">
        <v>9</v>
      </c>
      <c r="C675">
        <v>5000</v>
      </c>
      <c r="D675">
        <v>6222</v>
      </c>
      <c r="E675" s="5">
        <f t="shared" si="41"/>
        <v>1222</v>
      </c>
      <c r="F675" s="5">
        <f t="shared" si="42"/>
        <v>1493284</v>
      </c>
      <c r="G675" s="6">
        <f>SQRT(SUM($F$2:F675)/A675)</f>
        <v>1162.1978871015824</v>
      </c>
      <c r="H675" s="5">
        <f t="shared" si="43"/>
        <v>0</v>
      </c>
      <c r="I675" s="5">
        <f t="shared" si="44"/>
        <v>0</v>
      </c>
    </row>
    <row r="676" spans="1:9">
      <c r="A676">
        <v>675</v>
      </c>
      <c r="B676">
        <v>6</v>
      </c>
      <c r="C676">
        <v>5000</v>
      </c>
      <c r="D676">
        <v>4348</v>
      </c>
      <c r="E676" s="5">
        <f t="shared" si="41"/>
        <v>652</v>
      </c>
      <c r="F676" s="5">
        <f t="shared" si="42"/>
        <v>425104</v>
      </c>
      <c r="G676" s="6">
        <f>SQRT(SUM($F$2:F676)/A676)</f>
        <v>1161.6077950967915</v>
      </c>
      <c r="H676" s="5">
        <f t="shared" si="43"/>
        <v>1</v>
      </c>
      <c r="I676" s="5">
        <f t="shared" si="44"/>
        <v>0</v>
      </c>
    </row>
    <row r="677" spans="1:9">
      <c r="A677">
        <v>676</v>
      </c>
      <c r="B677">
        <v>8</v>
      </c>
      <c r="C677">
        <v>5000</v>
      </c>
      <c r="D677">
        <v>6037</v>
      </c>
      <c r="E677" s="5">
        <f t="shared" si="41"/>
        <v>1037</v>
      </c>
      <c r="F677" s="5">
        <f t="shared" si="42"/>
        <v>1075369</v>
      </c>
      <c r="G677" s="6">
        <f>SQRT(SUM($F$2:F677)/A677)</f>
        <v>1161.4333377034577</v>
      </c>
      <c r="H677" s="5">
        <f t="shared" si="43"/>
        <v>0</v>
      </c>
      <c r="I677" s="5">
        <f t="shared" si="44"/>
        <v>0</v>
      </c>
    </row>
    <row r="678" spans="1:9">
      <c r="A678">
        <v>677</v>
      </c>
      <c r="B678">
        <v>6</v>
      </c>
      <c r="C678">
        <v>5000</v>
      </c>
      <c r="D678">
        <v>4663</v>
      </c>
      <c r="E678" s="5">
        <f t="shared" si="41"/>
        <v>337</v>
      </c>
      <c r="F678" s="5">
        <f t="shared" si="42"/>
        <v>113569</v>
      </c>
      <c r="G678" s="6">
        <f>SQRT(SUM($F$2:F678)/A678)</f>
        <v>1160.6475106670953</v>
      </c>
      <c r="H678" s="5">
        <f t="shared" si="43"/>
        <v>1</v>
      </c>
      <c r="I678" s="5">
        <f t="shared" si="44"/>
        <v>1</v>
      </c>
    </row>
    <row r="679" spans="1:9">
      <c r="A679">
        <v>678</v>
      </c>
      <c r="B679">
        <v>8</v>
      </c>
      <c r="C679">
        <v>5000</v>
      </c>
      <c r="D679">
        <v>6308</v>
      </c>
      <c r="E679" s="5">
        <f t="shared" si="41"/>
        <v>1308</v>
      </c>
      <c r="F679" s="5">
        <f t="shared" si="42"/>
        <v>1710864</v>
      </c>
      <c r="G679" s="6">
        <f>SQRT(SUM($F$2:F679)/A679)</f>
        <v>1160.8786177683437</v>
      </c>
      <c r="H679" s="5">
        <f t="shared" si="43"/>
        <v>0</v>
      </c>
      <c r="I679" s="5">
        <f t="shared" si="44"/>
        <v>0</v>
      </c>
    </row>
    <row r="680" spans="1:9">
      <c r="A680">
        <v>679</v>
      </c>
      <c r="B680">
        <v>6</v>
      </c>
      <c r="C680">
        <v>5000</v>
      </c>
      <c r="D680">
        <v>4857</v>
      </c>
      <c r="E680" s="5">
        <f t="shared" si="41"/>
        <v>143</v>
      </c>
      <c r="F680" s="5">
        <f t="shared" si="42"/>
        <v>20449</v>
      </c>
      <c r="G680" s="6">
        <f>SQRT(SUM($F$2:F680)/A680)</f>
        <v>1160.0364392986698</v>
      </c>
      <c r="H680" s="5">
        <f t="shared" si="43"/>
        <v>1</v>
      </c>
      <c r="I680" s="5">
        <f t="shared" si="44"/>
        <v>1</v>
      </c>
    </row>
    <row r="681" spans="1:9">
      <c r="A681">
        <v>680</v>
      </c>
      <c r="B681">
        <v>7</v>
      </c>
      <c r="C681">
        <v>5000</v>
      </c>
      <c r="D681">
        <v>5624</v>
      </c>
      <c r="E681" s="5">
        <f t="shared" si="41"/>
        <v>624</v>
      </c>
      <c r="F681" s="5">
        <f t="shared" si="42"/>
        <v>389376</v>
      </c>
      <c r="G681" s="6">
        <f>SQRT(SUM($F$2:F681)/A681)</f>
        <v>1159.4301205384327</v>
      </c>
      <c r="H681" s="5">
        <f t="shared" si="43"/>
        <v>1</v>
      </c>
      <c r="I681" s="5">
        <f t="shared" si="44"/>
        <v>0</v>
      </c>
    </row>
    <row r="682" spans="1:9">
      <c r="A682">
        <v>681</v>
      </c>
      <c r="B682">
        <v>6</v>
      </c>
      <c r="C682">
        <v>5000</v>
      </c>
      <c r="D682">
        <v>4705</v>
      </c>
      <c r="E682" s="5">
        <f t="shared" si="41"/>
        <v>295</v>
      </c>
      <c r="F682" s="5">
        <f t="shared" si="42"/>
        <v>87025</v>
      </c>
      <c r="G682" s="6">
        <f>SQRT(SUM($F$2:F682)/A682)</f>
        <v>1158.6336856923958</v>
      </c>
      <c r="H682" s="5">
        <f t="shared" si="43"/>
        <v>1</v>
      </c>
      <c r="I682" s="5">
        <f t="shared" si="44"/>
        <v>1</v>
      </c>
    </row>
    <row r="683" spans="1:9">
      <c r="A683">
        <v>682</v>
      </c>
      <c r="B683">
        <v>7</v>
      </c>
      <c r="C683">
        <v>5000</v>
      </c>
      <c r="D683">
        <v>5394</v>
      </c>
      <c r="E683" s="5">
        <f t="shared" si="41"/>
        <v>394</v>
      </c>
      <c r="F683" s="5">
        <f t="shared" si="42"/>
        <v>155236</v>
      </c>
      <c r="G683" s="6">
        <f>SQRT(SUM($F$2:F683)/A683)</f>
        <v>1157.8822310567978</v>
      </c>
      <c r="H683" s="5">
        <f t="shared" si="43"/>
        <v>1</v>
      </c>
      <c r="I683" s="5">
        <f t="shared" si="44"/>
        <v>1</v>
      </c>
    </row>
    <row r="684" spans="1:9">
      <c r="A684">
        <v>683</v>
      </c>
      <c r="B684">
        <v>7</v>
      </c>
      <c r="C684">
        <v>5000</v>
      </c>
      <c r="D684">
        <v>5129</v>
      </c>
      <c r="E684" s="5">
        <f t="shared" si="41"/>
        <v>129</v>
      </c>
      <c r="F684" s="5">
        <f t="shared" si="42"/>
        <v>16641</v>
      </c>
      <c r="G684" s="6">
        <f>SQRT(SUM($F$2:F684)/A684)</f>
        <v>1157.0448050183329</v>
      </c>
      <c r="H684" s="5">
        <f t="shared" si="43"/>
        <v>1</v>
      </c>
      <c r="I684" s="5">
        <f t="shared" si="44"/>
        <v>1</v>
      </c>
    </row>
    <row r="685" spans="1:9">
      <c r="A685">
        <v>684</v>
      </c>
      <c r="B685">
        <v>7</v>
      </c>
      <c r="C685">
        <v>5000</v>
      </c>
      <c r="D685">
        <v>5086</v>
      </c>
      <c r="E685" s="5">
        <f t="shared" si="41"/>
        <v>86</v>
      </c>
      <c r="F685" s="5">
        <f t="shared" si="42"/>
        <v>7396</v>
      </c>
      <c r="G685" s="6">
        <f>SQRT(SUM($F$2:F685)/A685)</f>
        <v>1156.2033787028893</v>
      </c>
      <c r="H685" s="5">
        <f t="shared" si="43"/>
        <v>1</v>
      </c>
      <c r="I685" s="5">
        <f t="shared" si="44"/>
        <v>1</v>
      </c>
    </row>
    <row r="686" spans="1:9">
      <c r="A686">
        <v>685</v>
      </c>
      <c r="B686">
        <v>7</v>
      </c>
      <c r="C686">
        <v>5000</v>
      </c>
      <c r="D686">
        <v>4877</v>
      </c>
      <c r="E686" s="5">
        <f t="shared" si="41"/>
        <v>123</v>
      </c>
      <c r="F686" s="5">
        <f t="shared" si="42"/>
        <v>15129</v>
      </c>
      <c r="G686" s="6">
        <f>SQRT(SUM($F$2:F686)/A686)</f>
        <v>1155.3686844814049</v>
      </c>
      <c r="H686" s="5">
        <f t="shared" si="43"/>
        <v>1</v>
      </c>
      <c r="I686" s="5">
        <f t="shared" si="44"/>
        <v>1</v>
      </c>
    </row>
    <row r="687" spans="1:9">
      <c r="A687">
        <v>686</v>
      </c>
      <c r="B687">
        <v>7</v>
      </c>
      <c r="C687">
        <v>5000</v>
      </c>
      <c r="D687">
        <v>4236</v>
      </c>
      <c r="E687" s="5">
        <f t="shared" si="41"/>
        <v>764</v>
      </c>
      <c r="F687" s="5">
        <f t="shared" si="42"/>
        <v>583696</v>
      </c>
      <c r="G687" s="6">
        <f>SQRT(SUM($F$2:F687)/A687)</f>
        <v>1154.8947057377602</v>
      </c>
      <c r="H687" s="5">
        <f t="shared" si="43"/>
        <v>1</v>
      </c>
      <c r="I687" s="5">
        <f t="shared" si="44"/>
        <v>0</v>
      </c>
    </row>
    <row r="688" spans="1:9">
      <c r="A688">
        <v>687</v>
      </c>
      <c r="B688">
        <v>8</v>
      </c>
      <c r="C688">
        <v>5000</v>
      </c>
      <c r="D688">
        <v>5453</v>
      </c>
      <c r="E688" s="5">
        <f t="shared" si="41"/>
        <v>453</v>
      </c>
      <c r="F688" s="5">
        <f t="shared" si="42"/>
        <v>205209</v>
      </c>
      <c r="G688" s="6">
        <f>SQRT(SUM($F$2:F688)/A688)</f>
        <v>1154.1832723622681</v>
      </c>
      <c r="H688" s="5">
        <f t="shared" si="43"/>
        <v>1</v>
      </c>
      <c r="I688" s="5">
        <f t="shared" si="44"/>
        <v>1</v>
      </c>
    </row>
    <row r="689" spans="1:9">
      <c r="A689">
        <v>688</v>
      </c>
      <c r="B689">
        <v>7</v>
      </c>
      <c r="C689">
        <v>5000</v>
      </c>
      <c r="D689">
        <v>4741</v>
      </c>
      <c r="E689" s="5">
        <f t="shared" si="41"/>
        <v>259</v>
      </c>
      <c r="F689" s="5">
        <f t="shared" si="42"/>
        <v>67081</v>
      </c>
      <c r="G689" s="6">
        <f>SQRT(SUM($F$2:F689)/A689)</f>
        <v>1153.3864396071974</v>
      </c>
      <c r="H689" s="5">
        <f t="shared" si="43"/>
        <v>1</v>
      </c>
      <c r="I689" s="5">
        <f t="shared" si="44"/>
        <v>1</v>
      </c>
    </row>
    <row r="690" spans="1:9">
      <c r="A690">
        <v>689</v>
      </c>
      <c r="B690">
        <v>7</v>
      </c>
      <c r="C690">
        <v>5000</v>
      </c>
      <c r="D690">
        <v>4455</v>
      </c>
      <c r="E690" s="5">
        <f t="shared" si="41"/>
        <v>545</v>
      </c>
      <c r="F690" s="5">
        <f t="shared" si="42"/>
        <v>297025</v>
      </c>
      <c r="G690" s="6">
        <f>SQRT(SUM($F$2:F690)/A690)</f>
        <v>1152.7361385958905</v>
      </c>
      <c r="H690" s="5">
        <f t="shared" si="43"/>
        <v>1</v>
      </c>
      <c r="I690" s="5">
        <f t="shared" si="44"/>
        <v>0</v>
      </c>
    </row>
    <row r="691" spans="1:9">
      <c r="A691">
        <v>690</v>
      </c>
      <c r="B691">
        <v>8</v>
      </c>
      <c r="C691">
        <v>5000</v>
      </c>
      <c r="D691">
        <v>5817</v>
      </c>
      <c r="E691" s="5">
        <f t="shared" si="41"/>
        <v>817</v>
      </c>
      <c r="F691" s="5">
        <f t="shared" si="42"/>
        <v>667489</v>
      </c>
      <c r="G691" s="6">
        <f>SQRT(SUM($F$2:F691)/A691)</f>
        <v>1152.3203472163007</v>
      </c>
      <c r="H691" s="5">
        <f t="shared" si="43"/>
        <v>1</v>
      </c>
      <c r="I691" s="5">
        <f t="shared" si="44"/>
        <v>0</v>
      </c>
    </row>
    <row r="692" spans="1:9">
      <c r="A692">
        <v>691</v>
      </c>
      <c r="B692">
        <v>6</v>
      </c>
      <c r="C692">
        <v>5000</v>
      </c>
      <c r="D692">
        <v>4001</v>
      </c>
      <c r="E692" s="5">
        <f t="shared" si="41"/>
        <v>999</v>
      </c>
      <c r="F692" s="5">
        <f t="shared" si="42"/>
        <v>998001</v>
      </c>
      <c r="G692" s="6">
        <f>SQRT(SUM($F$2:F692)/A692)</f>
        <v>1152.1132078510234</v>
      </c>
      <c r="H692" s="5">
        <f t="shared" si="43"/>
        <v>1</v>
      </c>
      <c r="I692" s="5">
        <f t="shared" si="44"/>
        <v>0</v>
      </c>
    </row>
    <row r="693" spans="1:9">
      <c r="A693">
        <v>692</v>
      </c>
      <c r="B693">
        <v>8</v>
      </c>
      <c r="C693">
        <v>5000</v>
      </c>
      <c r="D693">
        <v>5962</v>
      </c>
      <c r="E693" s="5">
        <f t="shared" si="41"/>
        <v>962</v>
      </c>
      <c r="F693" s="5">
        <f t="shared" si="42"/>
        <v>925444</v>
      </c>
      <c r="G693" s="6">
        <f>SQRT(SUM($F$2:F693)/A693)</f>
        <v>1151.8611171651703</v>
      </c>
      <c r="H693" s="5">
        <f t="shared" si="43"/>
        <v>1</v>
      </c>
      <c r="I693" s="5">
        <f t="shared" si="44"/>
        <v>0</v>
      </c>
    </row>
    <row r="694" spans="1:9">
      <c r="A694">
        <v>693</v>
      </c>
      <c r="B694">
        <v>6</v>
      </c>
      <c r="C694">
        <v>5000</v>
      </c>
      <c r="D694">
        <v>4149</v>
      </c>
      <c r="E694" s="5">
        <f t="shared" si="41"/>
        <v>851</v>
      </c>
      <c r="F694" s="5">
        <f t="shared" si="42"/>
        <v>724201</v>
      </c>
      <c r="G694" s="6">
        <f>SQRT(SUM($F$2:F694)/A694)</f>
        <v>1151.4836104133246</v>
      </c>
      <c r="H694" s="5">
        <f t="shared" si="43"/>
        <v>1</v>
      </c>
      <c r="I694" s="5">
        <f t="shared" si="44"/>
        <v>0</v>
      </c>
    </row>
    <row r="695" spans="1:9">
      <c r="A695">
        <v>694</v>
      </c>
      <c r="B695">
        <v>8</v>
      </c>
      <c r="C695">
        <v>5000</v>
      </c>
      <c r="D695">
        <v>5286</v>
      </c>
      <c r="E695" s="5">
        <f t="shared" si="41"/>
        <v>286</v>
      </c>
      <c r="F695" s="5">
        <f t="shared" si="42"/>
        <v>81796</v>
      </c>
      <c r="G695" s="6">
        <f>SQRT(SUM($F$2:F695)/A695)</f>
        <v>1150.7049261601937</v>
      </c>
      <c r="H695" s="5">
        <f t="shared" si="43"/>
        <v>1</v>
      </c>
      <c r="I695" s="5">
        <f t="shared" si="44"/>
        <v>1</v>
      </c>
    </row>
    <row r="696" spans="1:9">
      <c r="A696">
        <v>695</v>
      </c>
      <c r="B696">
        <v>7</v>
      </c>
      <c r="C696">
        <v>5000</v>
      </c>
      <c r="D696">
        <v>5017</v>
      </c>
      <c r="E696" s="5">
        <f t="shared" si="41"/>
        <v>17</v>
      </c>
      <c r="F696" s="5">
        <f t="shared" si="42"/>
        <v>289</v>
      </c>
      <c r="G696" s="6">
        <f>SQRT(SUM($F$2:F696)/A696)</f>
        <v>1149.8769637029329</v>
      </c>
      <c r="H696" s="5">
        <f t="shared" si="43"/>
        <v>1</v>
      </c>
      <c r="I696" s="5">
        <f t="shared" si="44"/>
        <v>1</v>
      </c>
    </row>
    <row r="697" spans="1:9">
      <c r="A697">
        <v>696</v>
      </c>
      <c r="B697">
        <v>7</v>
      </c>
      <c r="C697">
        <v>5000</v>
      </c>
      <c r="D697">
        <v>4963</v>
      </c>
      <c r="E697" s="5">
        <f t="shared" si="41"/>
        <v>37</v>
      </c>
      <c r="F697" s="5">
        <f t="shared" si="42"/>
        <v>1369</v>
      </c>
      <c r="G697" s="6">
        <f>SQRT(SUM($F$2:F697)/A697)</f>
        <v>1149.0514616387957</v>
      </c>
      <c r="H697" s="5">
        <f t="shared" si="43"/>
        <v>1</v>
      </c>
      <c r="I697" s="5">
        <f t="shared" si="44"/>
        <v>1</v>
      </c>
    </row>
    <row r="698" spans="1:9">
      <c r="A698">
        <v>697</v>
      </c>
      <c r="B698">
        <v>7</v>
      </c>
      <c r="C698">
        <v>5000</v>
      </c>
      <c r="D698">
        <v>5120</v>
      </c>
      <c r="E698" s="5">
        <f t="shared" si="41"/>
        <v>120</v>
      </c>
      <c r="F698" s="5">
        <f t="shared" si="42"/>
        <v>14400</v>
      </c>
      <c r="G698" s="6">
        <f>SQRT(SUM($F$2:F698)/A698)</f>
        <v>1148.2358785160918</v>
      </c>
      <c r="H698" s="5">
        <f t="shared" si="43"/>
        <v>1</v>
      </c>
      <c r="I698" s="5">
        <f t="shared" si="44"/>
        <v>1</v>
      </c>
    </row>
    <row r="699" spans="1:9">
      <c r="A699">
        <v>698</v>
      </c>
      <c r="B699">
        <v>7</v>
      </c>
      <c r="C699">
        <v>5000</v>
      </c>
      <c r="D699">
        <v>4983</v>
      </c>
      <c r="E699" s="5">
        <f t="shared" si="41"/>
        <v>17</v>
      </c>
      <c r="F699" s="5">
        <f t="shared" si="42"/>
        <v>289</v>
      </c>
      <c r="G699" s="6">
        <f>SQRT(SUM($F$2:F699)/A699)</f>
        <v>1147.413245592214</v>
      </c>
      <c r="H699" s="5">
        <f t="shared" si="43"/>
        <v>1</v>
      </c>
      <c r="I699" s="5">
        <f t="shared" si="44"/>
        <v>1</v>
      </c>
    </row>
    <row r="700" spans="1:9">
      <c r="A700">
        <v>699</v>
      </c>
      <c r="B700">
        <v>7</v>
      </c>
      <c r="C700">
        <v>5000</v>
      </c>
      <c r="D700">
        <v>4801</v>
      </c>
      <c r="E700" s="5">
        <f t="shared" si="41"/>
        <v>199</v>
      </c>
      <c r="F700" s="5">
        <f t="shared" si="42"/>
        <v>39601</v>
      </c>
      <c r="G700" s="6">
        <f>SQRT(SUM($F$2:F700)/A700)</f>
        <v>1146.6169034682102</v>
      </c>
      <c r="H700" s="5">
        <f t="shared" si="43"/>
        <v>1</v>
      </c>
      <c r="I700" s="5">
        <f t="shared" si="44"/>
        <v>1</v>
      </c>
    </row>
    <row r="701" spans="1:9">
      <c r="A701">
        <v>700</v>
      </c>
      <c r="B701">
        <v>7</v>
      </c>
      <c r="C701">
        <v>5000</v>
      </c>
      <c r="D701">
        <v>4610</v>
      </c>
      <c r="E701" s="5">
        <f t="shared" si="41"/>
        <v>390</v>
      </c>
      <c r="F701" s="5">
        <f t="shared" si="42"/>
        <v>152100</v>
      </c>
      <c r="G701" s="6">
        <f>SQRT(SUM($F$2:F701)/A701)</f>
        <v>1145.8924132994086</v>
      </c>
      <c r="H701" s="5">
        <f t="shared" si="43"/>
        <v>1</v>
      </c>
      <c r="I701" s="5">
        <f t="shared" si="44"/>
        <v>1</v>
      </c>
    </row>
    <row r="702" spans="1:9">
      <c r="A702">
        <v>701</v>
      </c>
      <c r="B702">
        <v>8</v>
      </c>
      <c r="C702">
        <v>6000</v>
      </c>
      <c r="D702">
        <v>5306</v>
      </c>
      <c r="E702" s="5">
        <f t="shared" si="41"/>
        <v>694</v>
      </c>
      <c r="F702" s="5">
        <f t="shared" si="42"/>
        <v>481636</v>
      </c>
      <c r="G702" s="6">
        <f>SQRT(SUM($F$2:F702)/A702)</f>
        <v>1145.3747662694718</v>
      </c>
      <c r="H702" s="5">
        <f t="shared" si="43"/>
        <v>1</v>
      </c>
      <c r="I702" s="5">
        <f t="shared" si="44"/>
        <v>0</v>
      </c>
    </row>
    <row r="703" spans="1:9">
      <c r="A703">
        <v>702</v>
      </c>
      <c r="B703">
        <v>8</v>
      </c>
      <c r="C703">
        <v>6000</v>
      </c>
      <c r="D703">
        <v>5200</v>
      </c>
      <c r="E703" s="5">
        <f t="shared" si="41"/>
        <v>800</v>
      </c>
      <c r="F703" s="5">
        <f t="shared" si="42"/>
        <v>640000</v>
      </c>
      <c r="G703" s="6">
        <f>SQRT(SUM($F$2:F703)/A703)</f>
        <v>1144.9568797165491</v>
      </c>
      <c r="H703" s="5">
        <f t="shared" si="43"/>
        <v>1</v>
      </c>
      <c r="I703" s="5">
        <f t="shared" si="44"/>
        <v>0</v>
      </c>
    </row>
    <row r="704" spans="1:9">
      <c r="A704">
        <v>703</v>
      </c>
      <c r="B704">
        <v>9</v>
      </c>
      <c r="C704">
        <v>6000</v>
      </c>
      <c r="D704">
        <v>5696</v>
      </c>
      <c r="E704" s="5">
        <f t="shared" si="41"/>
        <v>304</v>
      </c>
      <c r="F704" s="5">
        <f t="shared" si="42"/>
        <v>92416</v>
      </c>
      <c r="G704" s="6">
        <f>SQRT(SUM($F$2:F704)/A704)</f>
        <v>1144.199701058898</v>
      </c>
      <c r="H704" s="5">
        <f t="shared" si="43"/>
        <v>1</v>
      </c>
      <c r="I704" s="5">
        <f t="shared" si="44"/>
        <v>1</v>
      </c>
    </row>
    <row r="705" spans="1:9">
      <c r="A705">
        <v>704</v>
      </c>
      <c r="B705">
        <v>8</v>
      </c>
      <c r="C705">
        <v>6000</v>
      </c>
      <c r="D705">
        <v>4970</v>
      </c>
      <c r="E705" s="5">
        <f t="shared" si="41"/>
        <v>1030</v>
      </c>
      <c r="F705" s="5">
        <f t="shared" si="42"/>
        <v>1060900</v>
      </c>
      <c r="G705" s="6">
        <f>SQRT(SUM($F$2:F705)/A705)</f>
        <v>1144.0455703534953</v>
      </c>
      <c r="H705" s="5">
        <f t="shared" si="43"/>
        <v>1</v>
      </c>
      <c r="I705" s="5">
        <f t="shared" si="44"/>
        <v>0</v>
      </c>
    </row>
    <row r="706" spans="1:9">
      <c r="A706">
        <v>705</v>
      </c>
      <c r="B706">
        <v>9</v>
      </c>
      <c r="C706">
        <v>6000</v>
      </c>
      <c r="D706">
        <v>5761</v>
      </c>
      <c r="E706" s="5">
        <f t="shared" si="41"/>
        <v>239</v>
      </c>
      <c r="F706" s="5">
        <f t="shared" si="42"/>
        <v>57121</v>
      </c>
      <c r="G706" s="6">
        <f>SQRT(SUM($F$2:F706)/A706)</f>
        <v>1143.269337786772</v>
      </c>
      <c r="H706" s="5">
        <f t="shared" si="43"/>
        <v>1</v>
      </c>
      <c r="I706" s="5">
        <f t="shared" si="44"/>
        <v>1</v>
      </c>
    </row>
    <row r="707" spans="1:9">
      <c r="A707">
        <v>706</v>
      </c>
      <c r="B707">
        <v>8</v>
      </c>
      <c r="C707">
        <v>6000</v>
      </c>
      <c r="D707">
        <v>5045</v>
      </c>
      <c r="E707" s="5">
        <f t="shared" ref="E707:E770" si="45">ABS(C707-D707)</f>
        <v>955</v>
      </c>
      <c r="F707" s="5">
        <f t="shared" ref="F707:F770" si="46">POWER(E707,2)</f>
        <v>912025</v>
      </c>
      <c r="G707" s="6">
        <f>SQRT(SUM($F$2:F707)/A707)</f>
        <v>1143.0245982893882</v>
      </c>
      <c r="H707" s="5">
        <f t="shared" ref="H707:H770" si="47">IF(ABS(E707)/C707&gt;0.2,0,1)</f>
        <v>1</v>
      </c>
      <c r="I707" s="5">
        <f t="shared" ref="I707:I770" si="48">IF(ABS(E707)/C707&gt;0.1,0,1)</f>
        <v>0</v>
      </c>
    </row>
    <row r="708" spans="1:9">
      <c r="A708">
        <v>707</v>
      </c>
      <c r="B708">
        <v>9</v>
      </c>
      <c r="C708">
        <v>6000</v>
      </c>
      <c r="D708">
        <v>5911</v>
      </c>
      <c r="E708" s="5">
        <f t="shared" si="45"/>
        <v>89</v>
      </c>
      <c r="F708" s="5">
        <f t="shared" si="46"/>
        <v>7921</v>
      </c>
      <c r="G708" s="6">
        <f>SQRT(SUM($F$2:F708)/A708)</f>
        <v>1142.2208540780571</v>
      </c>
      <c r="H708" s="5">
        <f t="shared" si="47"/>
        <v>1</v>
      </c>
      <c r="I708" s="5">
        <f t="shared" si="48"/>
        <v>1</v>
      </c>
    </row>
    <row r="709" spans="1:9">
      <c r="A709">
        <v>708</v>
      </c>
      <c r="B709">
        <v>8</v>
      </c>
      <c r="C709">
        <v>6000</v>
      </c>
      <c r="D709">
        <v>5661</v>
      </c>
      <c r="E709" s="5">
        <f t="shared" si="45"/>
        <v>339</v>
      </c>
      <c r="F709" s="5">
        <f t="shared" si="46"/>
        <v>114921</v>
      </c>
      <c r="G709" s="6">
        <f>SQRT(SUM($F$2:F709)/A709)</f>
        <v>1141.4850175090955</v>
      </c>
      <c r="H709" s="5">
        <f t="shared" si="47"/>
        <v>1</v>
      </c>
      <c r="I709" s="5">
        <f t="shared" si="48"/>
        <v>1</v>
      </c>
    </row>
    <row r="710" spans="1:9">
      <c r="A710">
        <v>709</v>
      </c>
      <c r="B710">
        <v>9</v>
      </c>
      <c r="C710">
        <v>6000</v>
      </c>
      <c r="D710">
        <v>6796</v>
      </c>
      <c r="E710" s="5">
        <f t="shared" si="45"/>
        <v>796</v>
      </c>
      <c r="F710" s="5">
        <f t="shared" si="46"/>
        <v>633616</v>
      </c>
      <c r="G710" s="6">
        <f>SQRT(SUM($F$2:F710)/A710)</f>
        <v>1141.0713991423856</v>
      </c>
      <c r="H710" s="5">
        <f t="shared" si="47"/>
        <v>1</v>
      </c>
      <c r="I710" s="5">
        <f t="shared" si="48"/>
        <v>0</v>
      </c>
    </row>
    <row r="711" spans="1:9">
      <c r="A711">
        <v>710</v>
      </c>
      <c r="B711">
        <v>7</v>
      </c>
      <c r="C711">
        <v>6000</v>
      </c>
      <c r="D711">
        <v>5699</v>
      </c>
      <c r="E711" s="5">
        <f t="shared" si="45"/>
        <v>301</v>
      </c>
      <c r="F711" s="5">
        <f t="shared" si="46"/>
        <v>90601</v>
      </c>
      <c r="G711" s="6">
        <f>SQRT(SUM($F$2:F711)/A711)</f>
        <v>1140.3234980836316</v>
      </c>
      <c r="H711" s="5">
        <f t="shared" si="47"/>
        <v>1</v>
      </c>
      <c r="I711" s="5">
        <f t="shared" si="48"/>
        <v>1</v>
      </c>
    </row>
    <row r="712" spans="1:9">
      <c r="A712">
        <v>711</v>
      </c>
      <c r="B712">
        <v>9</v>
      </c>
      <c r="C712">
        <v>6000</v>
      </c>
      <c r="D712">
        <v>7187</v>
      </c>
      <c r="E712" s="5">
        <f t="shared" si="45"/>
        <v>1187</v>
      </c>
      <c r="F712" s="5">
        <f t="shared" si="46"/>
        <v>1408969</v>
      </c>
      <c r="G712" s="6">
        <f>SQRT(SUM($F$2:F712)/A712)</f>
        <v>1140.3904888010775</v>
      </c>
      <c r="H712" s="5">
        <f t="shared" si="47"/>
        <v>1</v>
      </c>
      <c r="I712" s="5">
        <f t="shared" si="48"/>
        <v>0</v>
      </c>
    </row>
    <row r="713" spans="1:9">
      <c r="A713">
        <v>712</v>
      </c>
      <c r="B713">
        <v>7</v>
      </c>
      <c r="C713">
        <v>6000</v>
      </c>
      <c r="D713">
        <v>5797</v>
      </c>
      <c r="E713" s="5">
        <f t="shared" si="45"/>
        <v>203</v>
      </c>
      <c r="F713" s="5">
        <f t="shared" si="46"/>
        <v>41209</v>
      </c>
      <c r="G713" s="6">
        <f>SQRT(SUM($F$2:F713)/A713)</f>
        <v>1139.614765261598</v>
      </c>
      <c r="H713" s="5">
        <f t="shared" si="47"/>
        <v>1</v>
      </c>
      <c r="I713" s="5">
        <f t="shared" si="48"/>
        <v>1</v>
      </c>
    </row>
    <row r="714" spans="1:9">
      <c r="A714">
        <v>713</v>
      </c>
      <c r="B714">
        <v>8</v>
      </c>
      <c r="C714">
        <v>6000</v>
      </c>
      <c r="D714">
        <v>5930</v>
      </c>
      <c r="E714" s="5">
        <f t="shared" si="45"/>
        <v>70</v>
      </c>
      <c r="F714" s="5">
        <f t="shared" si="46"/>
        <v>4900</v>
      </c>
      <c r="G714" s="6">
        <f>SQRT(SUM($F$2:F714)/A714)</f>
        <v>1138.8183333409399</v>
      </c>
      <c r="H714" s="5">
        <f t="shared" si="47"/>
        <v>1</v>
      </c>
      <c r="I714" s="5">
        <f t="shared" si="48"/>
        <v>1</v>
      </c>
    </row>
    <row r="715" spans="1:9">
      <c r="A715">
        <v>714</v>
      </c>
      <c r="B715">
        <v>8</v>
      </c>
      <c r="C715">
        <v>6000</v>
      </c>
      <c r="D715">
        <v>6064</v>
      </c>
      <c r="E715" s="5">
        <f t="shared" si="45"/>
        <v>64</v>
      </c>
      <c r="F715" s="5">
        <f t="shared" si="46"/>
        <v>4096</v>
      </c>
      <c r="G715" s="6">
        <f>SQRT(SUM($F$2:F715)/A715)</f>
        <v>1138.0230825491044</v>
      </c>
      <c r="H715" s="5">
        <f t="shared" si="47"/>
        <v>1</v>
      </c>
      <c r="I715" s="5">
        <f t="shared" si="48"/>
        <v>1</v>
      </c>
    </row>
    <row r="716" spans="1:9">
      <c r="A716">
        <v>715</v>
      </c>
      <c r="B716">
        <v>8</v>
      </c>
      <c r="C716">
        <v>6000</v>
      </c>
      <c r="D716">
        <v>6259</v>
      </c>
      <c r="E716" s="5">
        <f t="shared" si="45"/>
        <v>259</v>
      </c>
      <c r="F716" s="5">
        <f t="shared" si="46"/>
        <v>67081</v>
      </c>
      <c r="G716" s="6">
        <f>SQRT(SUM($F$2:F716)/A716)</f>
        <v>1137.2682322863996</v>
      </c>
      <c r="H716" s="5">
        <f t="shared" si="47"/>
        <v>1</v>
      </c>
      <c r="I716" s="5">
        <f t="shared" si="48"/>
        <v>1</v>
      </c>
    </row>
    <row r="717" spans="1:9">
      <c r="A717">
        <v>716</v>
      </c>
      <c r="B717">
        <v>8</v>
      </c>
      <c r="C717">
        <v>6000</v>
      </c>
      <c r="D717">
        <v>6178</v>
      </c>
      <c r="E717" s="5">
        <f t="shared" si="45"/>
        <v>178</v>
      </c>
      <c r="F717" s="5">
        <f t="shared" si="46"/>
        <v>31684</v>
      </c>
      <c r="G717" s="6">
        <f>SQRT(SUM($F$2:F717)/A717)</f>
        <v>1136.4932416288962</v>
      </c>
      <c r="H717" s="5">
        <f t="shared" si="47"/>
        <v>1</v>
      </c>
      <c r="I717" s="5">
        <f t="shared" si="48"/>
        <v>1</v>
      </c>
    </row>
    <row r="718" spans="1:9">
      <c r="A718">
        <v>717</v>
      </c>
      <c r="B718">
        <v>8</v>
      </c>
      <c r="C718">
        <v>6000</v>
      </c>
      <c r="D718">
        <v>6023</v>
      </c>
      <c r="E718" s="5">
        <f t="shared" si="45"/>
        <v>23</v>
      </c>
      <c r="F718" s="5">
        <f t="shared" si="46"/>
        <v>529</v>
      </c>
      <c r="G718" s="6">
        <f>SQRT(SUM($F$2:F718)/A718)</f>
        <v>1135.7007562779559</v>
      </c>
      <c r="H718" s="5">
        <f t="shared" si="47"/>
        <v>1</v>
      </c>
      <c r="I718" s="5">
        <f t="shared" si="48"/>
        <v>1</v>
      </c>
    </row>
    <row r="719" spans="1:9">
      <c r="A719">
        <v>718</v>
      </c>
      <c r="B719">
        <v>8</v>
      </c>
      <c r="C719">
        <v>6000</v>
      </c>
      <c r="D719">
        <v>5579</v>
      </c>
      <c r="E719" s="5">
        <f t="shared" si="45"/>
        <v>421</v>
      </c>
      <c r="F719" s="5">
        <f t="shared" si="46"/>
        <v>177241</v>
      </c>
      <c r="G719" s="6">
        <f>SQRT(SUM($F$2:F719)/A719)</f>
        <v>1135.0183523481596</v>
      </c>
      <c r="H719" s="5">
        <f t="shared" si="47"/>
        <v>1</v>
      </c>
      <c r="I719" s="5">
        <f t="shared" si="48"/>
        <v>1</v>
      </c>
    </row>
    <row r="720" spans="1:9">
      <c r="A720">
        <v>719</v>
      </c>
      <c r="B720">
        <v>9</v>
      </c>
      <c r="C720">
        <v>6000</v>
      </c>
      <c r="D720">
        <v>5827</v>
      </c>
      <c r="E720" s="5">
        <f t="shared" si="45"/>
        <v>173</v>
      </c>
      <c r="F720" s="5">
        <f t="shared" si="46"/>
        <v>29929</v>
      </c>
      <c r="G720" s="6">
        <f>SQRT(SUM($F$2:F720)/A720)</f>
        <v>1134.2471239758847</v>
      </c>
      <c r="H720" s="5">
        <f t="shared" si="47"/>
        <v>1</v>
      </c>
      <c r="I720" s="5">
        <f t="shared" si="48"/>
        <v>1</v>
      </c>
    </row>
    <row r="721" spans="1:9">
      <c r="A721">
        <v>720</v>
      </c>
      <c r="B721">
        <v>8</v>
      </c>
      <c r="C721">
        <v>6000</v>
      </c>
      <c r="D721">
        <v>4423</v>
      </c>
      <c r="E721" s="5">
        <f t="shared" si="45"/>
        <v>1577</v>
      </c>
      <c r="F721" s="5">
        <f t="shared" si="46"/>
        <v>2486929</v>
      </c>
      <c r="G721" s="6">
        <f>SQRT(SUM($F$2:F721)/A721)</f>
        <v>1134.9818402854637</v>
      </c>
      <c r="H721" s="5">
        <f t="shared" si="47"/>
        <v>0</v>
      </c>
      <c r="I721" s="5">
        <f t="shared" si="48"/>
        <v>0</v>
      </c>
    </row>
    <row r="722" spans="1:9">
      <c r="A722">
        <v>721</v>
      </c>
      <c r="B722">
        <v>10</v>
      </c>
      <c r="C722">
        <v>6000</v>
      </c>
      <c r="D722">
        <v>6487</v>
      </c>
      <c r="E722" s="5">
        <f t="shared" si="45"/>
        <v>487</v>
      </c>
      <c r="F722" s="5">
        <f t="shared" si="46"/>
        <v>237169</v>
      </c>
      <c r="G722" s="6">
        <f>SQRT(SUM($F$2:F722)/A722)</f>
        <v>1134.3394816541429</v>
      </c>
      <c r="H722" s="5">
        <f t="shared" si="47"/>
        <v>1</v>
      </c>
      <c r="I722" s="5">
        <f t="shared" si="48"/>
        <v>1</v>
      </c>
    </row>
    <row r="723" spans="1:9">
      <c r="A723">
        <v>722</v>
      </c>
      <c r="B723">
        <v>8</v>
      </c>
      <c r="C723">
        <v>6000</v>
      </c>
      <c r="D723">
        <v>4988</v>
      </c>
      <c r="E723" s="5">
        <f t="shared" si="45"/>
        <v>1012</v>
      </c>
      <c r="F723" s="5">
        <f t="shared" si="46"/>
        <v>1024144</v>
      </c>
      <c r="G723" s="6">
        <f>SQRT(SUM($F$2:F723)/A723)</f>
        <v>1134.1791624678076</v>
      </c>
      <c r="H723" s="5">
        <f t="shared" si="47"/>
        <v>1</v>
      </c>
      <c r="I723" s="5">
        <f t="shared" si="48"/>
        <v>0</v>
      </c>
    </row>
    <row r="724" spans="1:9">
      <c r="A724">
        <v>723</v>
      </c>
      <c r="B724">
        <v>10</v>
      </c>
      <c r="C724">
        <v>6000</v>
      </c>
      <c r="D724">
        <v>6927</v>
      </c>
      <c r="E724" s="5">
        <f t="shared" si="45"/>
        <v>927</v>
      </c>
      <c r="F724" s="5">
        <f t="shared" si="46"/>
        <v>859329</v>
      </c>
      <c r="G724" s="6">
        <f>SQRT(SUM($F$2:F724)/A724)</f>
        <v>1133.9187500317571</v>
      </c>
      <c r="H724" s="5">
        <f t="shared" si="47"/>
        <v>1</v>
      </c>
      <c r="I724" s="5">
        <f t="shared" si="48"/>
        <v>0</v>
      </c>
    </row>
    <row r="725" spans="1:9">
      <c r="A725">
        <v>724</v>
      </c>
      <c r="B725">
        <v>7</v>
      </c>
      <c r="C725">
        <v>6000</v>
      </c>
      <c r="D725">
        <v>3845</v>
      </c>
      <c r="E725" s="5">
        <f t="shared" si="45"/>
        <v>2155</v>
      </c>
      <c r="F725" s="5">
        <f t="shared" si="46"/>
        <v>4644025</v>
      </c>
      <c r="G725" s="6">
        <f>SQRT(SUM($F$2:F725)/A725)</f>
        <v>1135.9622366252647</v>
      </c>
      <c r="H725" s="5">
        <f t="shared" si="47"/>
        <v>0</v>
      </c>
      <c r="I725" s="5">
        <f t="shared" si="48"/>
        <v>0</v>
      </c>
    </row>
    <row r="726" spans="1:9">
      <c r="A726">
        <v>725</v>
      </c>
      <c r="B726">
        <v>11</v>
      </c>
      <c r="C726">
        <v>6000</v>
      </c>
      <c r="D726">
        <v>4515</v>
      </c>
      <c r="E726" s="5">
        <f t="shared" si="45"/>
        <v>1485</v>
      </c>
      <c r="F726" s="5">
        <f t="shared" si="46"/>
        <v>2205225</v>
      </c>
      <c r="G726" s="6">
        <f>SQRT(SUM($F$2:F726)/A726)</f>
        <v>1136.5174950486789</v>
      </c>
      <c r="H726" s="5">
        <f t="shared" si="47"/>
        <v>0</v>
      </c>
      <c r="I726" s="5">
        <f t="shared" si="48"/>
        <v>0</v>
      </c>
    </row>
    <row r="727" spans="1:9">
      <c r="A727">
        <v>726</v>
      </c>
      <c r="B727">
        <v>11</v>
      </c>
      <c r="C727">
        <v>6000</v>
      </c>
      <c r="D727">
        <v>5507</v>
      </c>
      <c r="E727" s="5">
        <f t="shared" si="45"/>
        <v>493</v>
      </c>
      <c r="F727" s="5">
        <f t="shared" si="46"/>
        <v>243049</v>
      </c>
      <c r="G727" s="6">
        <f>SQRT(SUM($F$2:F727)/A727)</f>
        <v>1135.8818742419498</v>
      </c>
      <c r="H727" s="5">
        <f t="shared" si="47"/>
        <v>1</v>
      </c>
      <c r="I727" s="5">
        <f t="shared" si="48"/>
        <v>1</v>
      </c>
    </row>
    <row r="728" spans="1:9">
      <c r="A728">
        <v>727</v>
      </c>
      <c r="B728">
        <v>10</v>
      </c>
      <c r="C728">
        <v>6000</v>
      </c>
      <c r="D728">
        <v>1443</v>
      </c>
      <c r="E728" s="5">
        <f t="shared" si="45"/>
        <v>4557</v>
      </c>
      <c r="F728" s="5">
        <f t="shared" si="46"/>
        <v>20766249</v>
      </c>
      <c r="G728" s="6">
        <f>SQRT(SUM($F$2:F728)/A728)</f>
        <v>1147.6137014269605</v>
      </c>
      <c r="H728" s="5">
        <f t="shared" si="47"/>
        <v>0</v>
      </c>
      <c r="I728" s="5">
        <f t="shared" si="48"/>
        <v>0</v>
      </c>
    </row>
    <row r="729" spans="1:9">
      <c r="A729">
        <v>728</v>
      </c>
      <c r="B729">
        <v>15</v>
      </c>
      <c r="C729">
        <v>6000</v>
      </c>
      <c r="D729">
        <v>6252</v>
      </c>
      <c r="E729" s="5">
        <f t="shared" si="45"/>
        <v>252</v>
      </c>
      <c r="F729" s="5">
        <f t="shared" si="46"/>
        <v>63504</v>
      </c>
      <c r="G729" s="6">
        <f>SQRT(SUM($F$2:F729)/A729)</f>
        <v>1146.863265128454</v>
      </c>
      <c r="H729" s="5">
        <f t="shared" si="47"/>
        <v>1</v>
      </c>
      <c r="I729" s="5">
        <f t="shared" si="48"/>
        <v>1</v>
      </c>
    </row>
    <row r="730" spans="1:9">
      <c r="A730">
        <v>729</v>
      </c>
      <c r="B730">
        <v>10</v>
      </c>
      <c r="C730">
        <v>6000</v>
      </c>
      <c r="D730">
        <v>6278</v>
      </c>
      <c r="E730" s="5">
        <f t="shared" si="45"/>
        <v>278</v>
      </c>
      <c r="F730" s="5">
        <f t="shared" si="46"/>
        <v>77284</v>
      </c>
      <c r="G730" s="6">
        <f>SQRT(SUM($F$2:F730)/A730)</f>
        <v>1146.1226446581009</v>
      </c>
      <c r="H730" s="5">
        <f t="shared" si="47"/>
        <v>1</v>
      </c>
      <c r="I730" s="5">
        <f t="shared" si="48"/>
        <v>1</v>
      </c>
    </row>
    <row r="731" spans="1:9">
      <c r="A731">
        <v>730</v>
      </c>
      <c r="B731">
        <v>10</v>
      </c>
      <c r="C731">
        <v>6000</v>
      </c>
      <c r="D731">
        <v>5410</v>
      </c>
      <c r="E731" s="5">
        <f t="shared" si="45"/>
        <v>590</v>
      </c>
      <c r="F731" s="5">
        <f t="shared" si="46"/>
        <v>348100</v>
      </c>
      <c r="G731" s="6">
        <f>SQRT(SUM($F$2:F731)/A731)</f>
        <v>1145.545511015699</v>
      </c>
      <c r="H731" s="5">
        <f t="shared" si="47"/>
        <v>1</v>
      </c>
      <c r="I731" s="5">
        <f t="shared" si="48"/>
        <v>1</v>
      </c>
    </row>
    <row r="732" spans="1:9">
      <c r="A732">
        <v>731</v>
      </c>
      <c r="B732">
        <v>11</v>
      </c>
      <c r="C732">
        <v>6000</v>
      </c>
      <c r="D732">
        <v>6961</v>
      </c>
      <c r="E732" s="5">
        <f t="shared" si="45"/>
        <v>961</v>
      </c>
      <c r="F732" s="5">
        <f t="shared" si="46"/>
        <v>923521</v>
      </c>
      <c r="G732" s="6">
        <f>SQRT(SUM($F$2:F732)/A732)</f>
        <v>1145.3133663981846</v>
      </c>
      <c r="H732" s="5">
        <f t="shared" si="47"/>
        <v>1</v>
      </c>
      <c r="I732" s="5">
        <f t="shared" si="48"/>
        <v>0</v>
      </c>
    </row>
    <row r="733" spans="1:9">
      <c r="A733">
        <v>732</v>
      </c>
      <c r="B733">
        <v>9</v>
      </c>
      <c r="C733">
        <v>6000</v>
      </c>
      <c r="D733">
        <v>5464</v>
      </c>
      <c r="E733" s="5">
        <f t="shared" si="45"/>
        <v>536</v>
      </c>
      <c r="F733" s="5">
        <f t="shared" si="46"/>
        <v>287296</v>
      </c>
      <c r="G733" s="6">
        <f>SQRT(SUM($F$2:F733)/A733)</f>
        <v>1144.702227607997</v>
      </c>
      <c r="H733" s="5">
        <f t="shared" si="47"/>
        <v>1</v>
      </c>
      <c r="I733" s="5">
        <f t="shared" si="48"/>
        <v>1</v>
      </c>
    </row>
    <row r="734" spans="1:9">
      <c r="A734">
        <v>733</v>
      </c>
      <c r="B734">
        <v>11</v>
      </c>
      <c r="C734">
        <v>6000</v>
      </c>
      <c r="D734">
        <v>6652</v>
      </c>
      <c r="E734" s="5">
        <f t="shared" si="45"/>
        <v>652</v>
      </c>
      <c r="F734" s="5">
        <f t="shared" si="46"/>
        <v>425104</v>
      </c>
      <c r="G734" s="6">
        <f>SQRT(SUM($F$2:F734)/A734)</f>
        <v>1144.1745918300051</v>
      </c>
      <c r="H734" s="5">
        <f t="shared" si="47"/>
        <v>1</v>
      </c>
      <c r="I734" s="5">
        <f t="shared" si="48"/>
        <v>0</v>
      </c>
    </row>
    <row r="735" spans="1:9">
      <c r="A735">
        <v>734</v>
      </c>
      <c r="B735">
        <v>10</v>
      </c>
      <c r="C735">
        <v>6000</v>
      </c>
      <c r="D735">
        <v>6321</v>
      </c>
      <c r="E735" s="5">
        <f t="shared" si="45"/>
        <v>321</v>
      </c>
      <c r="F735" s="5">
        <f t="shared" si="46"/>
        <v>103041</v>
      </c>
      <c r="G735" s="6">
        <f>SQRT(SUM($F$2:F735)/A735)</f>
        <v>1143.4563026527487</v>
      </c>
      <c r="H735" s="5">
        <f t="shared" si="47"/>
        <v>1</v>
      </c>
      <c r="I735" s="5">
        <f t="shared" si="48"/>
        <v>1</v>
      </c>
    </row>
    <row r="736" spans="1:9">
      <c r="A736">
        <v>735</v>
      </c>
      <c r="B736">
        <v>10</v>
      </c>
      <c r="C736">
        <v>6000</v>
      </c>
      <c r="D736">
        <v>5734</v>
      </c>
      <c r="E736" s="5">
        <f t="shared" si="45"/>
        <v>266</v>
      </c>
      <c r="F736" s="5">
        <f t="shared" si="46"/>
        <v>70756</v>
      </c>
      <c r="G736" s="6">
        <f>SQRT(SUM($F$2:F736)/A736)</f>
        <v>1142.7202989501207</v>
      </c>
      <c r="H736" s="5">
        <f t="shared" si="47"/>
        <v>1</v>
      </c>
      <c r="I736" s="5">
        <f t="shared" si="48"/>
        <v>1</v>
      </c>
    </row>
    <row r="737" spans="1:9">
      <c r="A737">
        <v>736</v>
      </c>
      <c r="B737">
        <v>11</v>
      </c>
      <c r="C737">
        <v>6000</v>
      </c>
      <c r="D737">
        <v>6890</v>
      </c>
      <c r="E737" s="5">
        <f t="shared" si="45"/>
        <v>890</v>
      </c>
      <c r="F737" s="5">
        <f t="shared" si="46"/>
        <v>792100</v>
      </c>
      <c r="G737" s="6">
        <f>SQRT(SUM($F$2:F737)/A737)</f>
        <v>1142.4148574496653</v>
      </c>
      <c r="H737" s="5">
        <f t="shared" si="47"/>
        <v>1</v>
      </c>
      <c r="I737" s="5">
        <f t="shared" si="48"/>
        <v>0</v>
      </c>
    </row>
    <row r="738" spans="1:9">
      <c r="A738">
        <v>737</v>
      </c>
      <c r="B738">
        <v>9</v>
      </c>
      <c r="C738">
        <v>6000</v>
      </c>
      <c r="D738">
        <v>7243</v>
      </c>
      <c r="E738" s="5">
        <f t="shared" si="45"/>
        <v>1243</v>
      </c>
      <c r="F738" s="5">
        <f t="shared" si="46"/>
        <v>1545049</v>
      </c>
      <c r="G738" s="6">
        <f>SQRT(SUM($F$2:F738)/A738)</f>
        <v>1142.5573359543109</v>
      </c>
      <c r="H738" s="5">
        <f t="shared" si="47"/>
        <v>0</v>
      </c>
      <c r="I738" s="5">
        <f t="shared" si="48"/>
        <v>0</v>
      </c>
    </row>
    <row r="739" spans="1:9">
      <c r="A739">
        <v>738</v>
      </c>
      <c r="B739">
        <v>9</v>
      </c>
      <c r="C739">
        <v>6000</v>
      </c>
      <c r="D739">
        <v>5560</v>
      </c>
      <c r="E739" s="5">
        <f t="shared" si="45"/>
        <v>440</v>
      </c>
      <c r="F739" s="5">
        <f t="shared" si="46"/>
        <v>193600</v>
      </c>
      <c r="G739" s="6">
        <f>SQRT(SUM($F$2:F739)/A739)</f>
        <v>1141.8978550562715</v>
      </c>
      <c r="H739" s="5">
        <f t="shared" si="47"/>
        <v>1</v>
      </c>
      <c r="I739" s="5">
        <f t="shared" si="48"/>
        <v>1</v>
      </c>
    </row>
    <row r="740" spans="1:9">
      <c r="A740">
        <v>739</v>
      </c>
      <c r="B740">
        <v>10</v>
      </c>
      <c r="C740">
        <v>6000</v>
      </c>
      <c r="D740">
        <v>7332</v>
      </c>
      <c r="E740" s="5">
        <f t="shared" si="45"/>
        <v>1332</v>
      </c>
      <c r="F740" s="5">
        <f t="shared" si="46"/>
        <v>1774224</v>
      </c>
      <c r="G740" s="6">
        <f>SQRT(SUM($F$2:F740)/A740)</f>
        <v>1142.176476224965</v>
      </c>
      <c r="H740" s="5">
        <f t="shared" si="47"/>
        <v>0</v>
      </c>
      <c r="I740" s="5">
        <f t="shared" si="48"/>
        <v>0</v>
      </c>
    </row>
    <row r="741" spans="1:9">
      <c r="A741">
        <v>740</v>
      </c>
      <c r="B741">
        <v>8</v>
      </c>
      <c r="C741">
        <v>6000</v>
      </c>
      <c r="D741">
        <v>5251</v>
      </c>
      <c r="E741" s="5">
        <f t="shared" si="45"/>
        <v>749</v>
      </c>
      <c r="F741" s="5">
        <f t="shared" si="46"/>
        <v>561001</v>
      </c>
      <c r="G741" s="6">
        <f>SQRT(SUM($F$2:F741)/A741)</f>
        <v>1141.7365211745587</v>
      </c>
      <c r="H741" s="5">
        <f t="shared" si="47"/>
        <v>1</v>
      </c>
      <c r="I741" s="5">
        <f t="shared" si="48"/>
        <v>0</v>
      </c>
    </row>
    <row r="742" spans="1:9">
      <c r="A742">
        <v>741</v>
      </c>
      <c r="B742">
        <v>11</v>
      </c>
      <c r="C742">
        <v>6000</v>
      </c>
      <c r="D742">
        <v>6993</v>
      </c>
      <c r="E742" s="5">
        <f t="shared" si="45"/>
        <v>993</v>
      </c>
      <c r="F742" s="5">
        <f t="shared" si="46"/>
        <v>986049</v>
      </c>
      <c r="G742" s="6">
        <f>SQRT(SUM($F$2:F742)/A742)</f>
        <v>1141.548856082477</v>
      </c>
      <c r="H742" s="5">
        <f t="shared" si="47"/>
        <v>1</v>
      </c>
      <c r="I742" s="5">
        <f t="shared" si="48"/>
        <v>0</v>
      </c>
    </row>
    <row r="743" spans="1:9">
      <c r="A743">
        <v>742</v>
      </c>
      <c r="B743">
        <v>8</v>
      </c>
      <c r="C743">
        <v>6000</v>
      </c>
      <c r="D743">
        <v>5695</v>
      </c>
      <c r="E743" s="5">
        <f t="shared" si="45"/>
        <v>305</v>
      </c>
      <c r="F743" s="5">
        <f t="shared" si="46"/>
        <v>93025</v>
      </c>
      <c r="G743" s="6">
        <f>SQRT(SUM($F$2:F743)/A743)</f>
        <v>1140.8343071813929</v>
      </c>
      <c r="H743" s="5">
        <f t="shared" si="47"/>
        <v>1</v>
      </c>
      <c r="I743" s="5">
        <f t="shared" si="48"/>
        <v>1</v>
      </c>
    </row>
    <row r="744" spans="1:9">
      <c r="A744">
        <v>743</v>
      </c>
      <c r="B744">
        <v>10</v>
      </c>
      <c r="C744">
        <v>6000</v>
      </c>
      <c r="D744">
        <v>6459</v>
      </c>
      <c r="E744" s="5">
        <f t="shared" si="45"/>
        <v>459</v>
      </c>
      <c r="F744" s="5">
        <f t="shared" si="46"/>
        <v>210681</v>
      </c>
      <c r="G744" s="6">
        <f>SQRT(SUM($F$2:F744)/A744)</f>
        <v>1140.1906790781957</v>
      </c>
      <c r="H744" s="5">
        <f t="shared" si="47"/>
        <v>1</v>
      </c>
      <c r="I744" s="5">
        <f t="shared" si="48"/>
        <v>1</v>
      </c>
    </row>
    <row r="745" spans="1:9">
      <c r="A745">
        <v>744</v>
      </c>
      <c r="B745">
        <v>9</v>
      </c>
      <c r="C745">
        <v>6000</v>
      </c>
      <c r="D745">
        <v>5527</v>
      </c>
      <c r="E745" s="5">
        <f t="shared" si="45"/>
        <v>473</v>
      </c>
      <c r="F745" s="5">
        <f t="shared" si="46"/>
        <v>223729</v>
      </c>
      <c r="G745" s="6">
        <f>SQRT(SUM($F$2:F745)/A745)</f>
        <v>1139.556114062302</v>
      </c>
      <c r="H745" s="5">
        <f t="shared" si="47"/>
        <v>1</v>
      </c>
      <c r="I745" s="5">
        <f t="shared" si="48"/>
        <v>1</v>
      </c>
    </row>
    <row r="746" spans="1:9">
      <c r="A746">
        <v>745</v>
      </c>
      <c r="B746">
        <v>10</v>
      </c>
      <c r="C746">
        <v>6000</v>
      </c>
      <c r="D746">
        <v>6587</v>
      </c>
      <c r="E746" s="5">
        <f t="shared" si="45"/>
        <v>587</v>
      </c>
      <c r="F746" s="5">
        <f t="shared" si="46"/>
        <v>344569</v>
      </c>
      <c r="G746" s="6">
        <f>SQRT(SUM($F$2:F746)/A746)</f>
        <v>1138.9941064363084</v>
      </c>
      <c r="H746" s="5">
        <f t="shared" si="47"/>
        <v>1</v>
      </c>
      <c r="I746" s="5">
        <f t="shared" si="48"/>
        <v>1</v>
      </c>
    </row>
    <row r="747" spans="1:9">
      <c r="A747">
        <v>746</v>
      </c>
      <c r="B747">
        <v>9</v>
      </c>
      <c r="C747">
        <v>6000</v>
      </c>
      <c r="D747">
        <v>5857</v>
      </c>
      <c r="E747" s="5">
        <f t="shared" si="45"/>
        <v>143</v>
      </c>
      <c r="F747" s="5">
        <f t="shared" si="46"/>
        <v>20449</v>
      </c>
      <c r="G747" s="6">
        <f>SQRT(SUM($F$2:F747)/A747)</f>
        <v>1138.24249078499</v>
      </c>
      <c r="H747" s="5">
        <f t="shared" si="47"/>
        <v>1</v>
      </c>
      <c r="I747" s="5">
        <f t="shared" si="48"/>
        <v>1</v>
      </c>
    </row>
    <row r="748" spans="1:9">
      <c r="A748">
        <v>747</v>
      </c>
      <c r="B748">
        <v>10</v>
      </c>
      <c r="C748">
        <v>6000</v>
      </c>
      <c r="D748">
        <v>5893</v>
      </c>
      <c r="E748" s="5">
        <f t="shared" si="45"/>
        <v>107</v>
      </c>
      <c r="F748" s="5">
        <f t="shared" si="46"/>
        <v>11449</v>
      </c>
      <c r="G748" s="6">
        <f>SQRT(SUM($F$2:F748)/A748)</f>
        <v>1137.487096886083</v>
      </c>
      <c r="H748" s="5">
        <f t="shared" si="47"/>
        <v>1</v>
      </c>
      <c r="I748" s="5">
        <f t="shared" si="48"/>
        <v>1</v>
      </c>
    </row>
    <row r="749" spans="1:9">
      <c r="A749">
        <v>748</v>
      </c>
      <c r="B749">
        <v>10</v>
      </c>
      <c r="C749">
        <v>6000</v>
      </c>
      <c r="D749">
        <v>6268</v>
      </c>
      <c r="E749" s="5">
        <f t="shared" si="45"/>
        <v>268</v>
      </c>
      <c r="F749" s="5">
        <f t="shared" si="46"/>
        <v>71824</v>
      </c>
      <c r="G749" s="6">
        <f>SQRT(SUM($F$2:F749)/A749)</f>
        <v>1136.7687253908502</v>
      </c>
      <c r="H749" s="5">
        <f t="shared" si="47"/>
        <v>1</v>
      </c>
      <c r="I749" s="5">
        <f t="shared" si="48"/>
        <v>1</v>
      </c>
    </row>
    <row r="750" spans="1:9">
      <c r="A750">
        <v>749</v>
      </c>
      <c r="B750">
        <v>9</v>
      </c>
      <c r="C750">
        <v>6000</v>
      </c>
      <c r="D750">
        <v>5400</v>
      </c>
      <c r="E750" s="5">
        <f t="shared" si="45"/>
        <v>600</v>
      </c>
      <c r="F750" s="5">
        <f t="shared" si="46"/>
        <v>360000</v>
      </c>
      <c r="G750" s="6">
        <f>SQRT(SUM($F$2:F750)/A750)</f>
        <v>1136.2211424921625</v>
      </c>
      <c r="H750" s="5">
        <f t="shared" si="47"/>
        <v>1</v>
      </c>
      <c r="I750" s="5">
        <f t="shared" si="48"/>
        <v>1</v>
      </c>
    </row>
    <row r="751" spans="1:9">
      <c r="A751">
        <v>750</v>
      </c>
      <c r="B751">
        <v>10</v>
      </c>
      <c r="C751">
        <v>6000</v>
      </c>
      <c r="D751">
        <v>6243</v>
      </c>
      <c r="E751" s="5">
        <f t="shared" si="45"/>
        <v>243</v>
      </c>
      <c r="F751" s="5">
        <f t="shared" si="46"/>
        <v>59049</v>
      </c>
      <c r="G751" s="6">
        <f>SQRT(SUM($F$2:F751)/A751)</f>
        <v>1135.4980780843855</v>
      </c>
      <c r="H751" s="5">
        <f t="shared" si="47"/>
        <v>1</v>
      </c>
      <c r="I751" s="5">
        <f t="shared" si="48"/>
        <v>1</v>
      </c>
    </row>
    <row r="752" spans="1:9">
      <c r="A752">
        <v>751</v>
      </c>
      <c r="B752">
        <v>9</v>
      </c>
      <c r="C752">
        <v>6000</v>
      </c>
      <c r="D752">
        <v>5384</v>
      </c>
      <c r="E752" s="5">
        <f t="shared" si="45"/>
        <v>616</v>
      </c>
      <c r="F752" s="5">
        <f t="shared" si="46"/>
        <v>379456</v>
      </c>
      <c r="G752" s="6">
        <f>SQRT(SUM($F$2:F752)/A752)</f>
        <v>1134.964449193053</v>
      </c>
      <c r="H752" s="5">
        <f t="shared" si="47"/>
        <v>1</v>
      </c>
      <c r="I752" s="5">
        <f t="shared" si="48"/>
        <v>0</v>
      </c>
    </row>
    <row r="753" spans="1:9">
      <c r="A753">
        <v>752</v>
      </c>
      <c r="B753">
        <v>10</v>
      </c>
      <c r="C753">
        <v>6000</v>
      </c>
      <c r="D753">
        <v>6367</v>
      </c>
      <c r="E753" s="5">
        <f t="shared" si="45"/>
        <v>367</v>
      </c>
      <c r="F753" s="5">
        <f t="shared" si="46"/>
        <v>134689</v>
      </c>
      <c r="G753" s="6">
        <f>SQRT(SUM($F$2:F753)/A753)</f>
        <v>1134.288521848772</v>
      </c>
      <c r="H753" s="5">
        <f t="shared" si="47"/>
        <v>1</v>
      </c>
      <c r="I753" s="5">
        <f t="shared" si="48"/>
        <v>1</v>
      </c>
    </row>
    <row r="754" spans="1:9">
      <c r="A754">
        <v>753</v>
      </c>
      <c r="B754">
        <v>9</v>
      </c>
      <c r="C754">
        <v>6000</v>
      </c>
      <c r="D754">
        <v>5670</v>
      </c>
      <c r="E754" s="5">
        <f t="shared" si="45"/>
        <v>330</v>
      </c>
      <c r="F754" s="5">
        <f t="shared" si="46"/>
        <v>108900</v>
      </c>
      <c r="G754" s="6">
        <f>SQRT(SUM($F$2:F754)/A754)</f>
        <v>1133.5988824512931</v>
      </c>
      <c r="H754" s="5">
        <f t="shared" si="47"/>
        <v>1</v>
      </c>
      <c r="I754" s="5">
        <f t="shared" si="48"/>
        <v>1</v>
      </c>
    </row>
    <row r="755" spans="1:9">
      <c r="A755">
        <v>754</v>
      </c>
      <c r="B755">
        <v>10</v>
      </c>
      <c r="C755">
        <v>6000</v>
      </c>
      <c r="D755">
        <v>5471</v>
      </c>
      <c r="E755" s="5">
        <f t="shared" si="45"/>
        <v>529</v>
      </c>
      <c r="F755" s="5">
        <f t="shared" si="46"/>
        <v>279841</v>
      </c>
      <c r="G755" s="6">
        <f>SQRT(SUM($F$2:F755)/A755)</f>
        <v>1133.0107071865955</v>
      </c>
      <c r="H755" s="5">
        <f t="shared" si="47"/>
        <v>1</v>
      </c>
      <c r="I755" s="5">
        <f t="shared" si="48"/>
        <v>1</v>
      </c>
    </row>
    <row r="756" spans="1:9">
      <c r="A756">
        <v>755</v>
      </c>
      <c r="B756">
        <v>10</v>
      </c>
      <c r="C756">
        <v>6000</v>
      </c>
      <c r="D756">
        <v>5850</v>
      </c>
      <c r="E756" s="5">
        <f t="shared" si="45"/>
        <v>150</v>
      </c>
      <c r="F756" s="5">
        <f t="shared" si="46"/>
        <v>22500</v>
      </c>
      <c r="G756" s="6">
        <f>SQRT(SUM($F$2:F756)/A756)</f>
        <v>1132.2732803775568</v>
      </c>
      <c r="H756" s="5">
        <f t="shared" si="47"/>
        <v>1</v>
      </c>
      <c r="I756" s="5">
        <f t="shared" si="48"/>
        <v>1</v>
      </c>
    </row>
    <row r="757" spans="1:9">
      <c r="A757">
        <v>756</v>
      </c>
      <c r="B757">
        <v>10</v>
      </c>
      <c r="C757">
        <v>6000</v>
      </c>
      <c r="D757">
        <v>6163</v>
      </c>
      <c r="E757" s="5">
        <f t="shared" si="45"/>
        <v>163</v>
      </c>
      <c r="F757" s="5">
        <f t="shared" si="46"/>
        <v>26569</v>
      </c>
      <c r="G757" s="6">
        <f>SQRT(SUM($F$2:F757)/A757)</f>
        <v>1131.539704054547</v>
      </c>
      <c r="H757" s="5">
        <f t="shared" si="47"/>
        <v>1</v>
      </c>
      <c r="I757" s="5">
        <f t="shared" si="48"/>
        <v>1</v>
      </c>
    </row>
    <row r="758" spans="1:9">
      <c r="A758">
        <v>757</v>
      </c>
      <c r="B758">
        <v>10</v>
      </c>
      <c r="C758">
        <v>6000</v>
      </c>
      <c r="D758">
        <v>5996</v>
      </c>
      <c r="E758" s="5">
        <f t="shared" si="45"/>
        <v>4</v>
      </c>
      <c r="F758" s="5">
        <f t="shared" si="46"/>
        <v>16</v>
      </c>
      <c r="G758" s="6">
        <f>SQRT(SUM($F$2:F758)/A758)</f>
        <v>1130.7920821960151</v>
      </c>
      <c r="H758" s="5">
        <f t="shared" si="47"/>
        <v>1</v>
      </c>
      <c r="I758" s="5">
        <f t="shared" si="48"/>
        <v>1</v>
      </c>
    </row>
    <row r="759" spans="1:9">
      <c r="A759">
        <v>758</v>
      </c>
      <c r="B759">
        <v>10</v>
      </c>
      <c r="C759">
        <v>6000</v>
      </c>
      <c r="D759">
        <v>5719</v>
      </c>
      <c r="E759" s="5">
        <f t="shared" si="45"/>
        <v>281</v>
      </c>
      <c r="F759" s="5">
        <f t="shared" si="46"/>
        <v>78961</v>
      </c>
      <c r="G759" s="6">
        <f>SQRT(SUM($F$2:F759)/A759)</f>
        <v>1130.0920211439854</v>
      </c>
      <c r="H759" s="5">
        <f t="shared" si="47"/>
        <v>1</v>
      </c>
      <c r="I759" s="5">
        <f t="shared" si="48"/>
        <v>1</v>
      </c>
    </row>
    <row r="760" spans="1:9">
      <c r="A760">
        <v>759</v>
      </c>
      <c r="B760">
        <v>10</v>
      </c>
      <c r="C760">
        <v>6000</v>
      </c>
      <c r="D760">
        <v>6468</v>
      </c>
      <c r="E760" s="5">
        <f t="shared" si="45"/>
        <v>468</v>
      </c>
      <c r="F760" s="5">
        <f t="shared" si="46"/>
        <v>219024</v>
      </c>
      <c r="G760" s="6">
        <f>SQRT(SUM($F$2:F760)/A760)</f>
        <v>1129.4750666653554</v>
      </c>
      <c r="H760" s="5">
        <f t="shared" si="47"/>
        <v>1</v>
      </c>
      <c r="I760" s="5">
        <f t="shared" si="48"/>
        <v>1</v>
      </c>
    </row>
    <row r="761" spans="1:9">
      <c r="A761">
        <v>760</v>
      </c>
      <c r="B761">
        <v>9</v>
      </c>
      <c r="C761">
        <v>6000</v>
      </c>
      <c r="D761">
        <v>5132</v>
      </c>
      <c r="E761" s="5">
        <f t="shared" si="45"/>
        <v>868</v>
      </c>
      <c r="F761" s="5">
        <f t="shared" si="46"/>
        <v>753424</v>
      </c>
      <c r="G761" s="6">
        <f>SQRT(SUM($F$2:F761)/A761)</f>
        <v>1129.1708031257181</v>
      </c>
      <c r="H761" s="5">
        <f t="shared" si="47"/>
        <v>1</v>
      </c>
      <c r="I761" s="5">
        <f t="shared" si="48"/>
        <v>0</v>
      </c>
    </row>
    <row r="762" spans="1:9">
      <c r="A762">
        <v>761</v>
      </c>
      <c r="B762">
        <v>11</v>
      </c>
      <c r="C762">
        <v>6000</v>
      </c>
      <c r="D762">
        <v>6665</v>
      </c>
      <c r="E762" s="5">
        <f t="shared" si="45"/>
        <v>665</v>
      </c>
      <c r="F762" s="5">
        <f t="shared" si="46"/>
        <v>442225</v>
      </c>
      <c r="G762" s="6">
        <f>SQRT(SUM($F$2:F762)/A762)</f>
        <v>1128.6861170645004</v>
      </c>
      <c r="H762" s="5">
        <f t="shared" si="47"/>
        <v>1</v>
      </c>
      <c r="I762" s="5">
        <f t="shared" si="48"/>
        <v>0</v>
      </c>
    </row>
    <row r="763" spans="1:9">
      <c r="A763">
        <v>762</v>
      </c>
      <c r="B763">
        <v>9</v>
      </c>
      <c r="C763">
        <v>6000</v>
      </c>
      <c r="D763">
        <v>5484</v>
      </c>
      <c r="E763" s="5">
        <f t="shared" si="45"/>
        <v>516</v>
      </c>
      <c r="F763" s="5">
        <f t="shared" si="46"/>
        <v>266256</v>
      </c>
      <c r="G763" s="6">
        <f>SQRT(SUM($F$2:F763)/A763)</f>
        <v>1128.100146682413</v>
      </c>
      <c r="H763" s="5">
        <f t="shared" si="47"/>
        <v>1</v>
      </c>
      <c r="I763" s="5">
        <f t="shared" si="48"/>
        <v>1</v>
      </c>
    </row>
    <row r="764" spans="1:9">
      <c r="A764">
        <v>763</v>
      </c>
      <c r="B764">
        <v>10</v>
      </c>
      <c r="C764">
        <v>6000</v>
      </c>
      <c r="D764">
        <v>6770</v>
      </c>
      <c r="E764" s="5">
        <f t="shared" si="45"/>
        <v>770</v>
      </c>
      <c r="F764" s="5">
        <f t="shared" si="46"/>
        <v>592900</v>
      </c>
      <c r="G764" s="6">
        <f>SQRT(SUM($F$2:F764)/A764)</f>
        <v>1127.7052372974274</v>
      </c>
      <c r="H764" s="5">
        <f t="shared" si="47"/>
        <v>1</v>
      </c>
      <c r="I764" s="5">
        <f t="shared" si="48"/>
        <v>0</v>
      </c>
    </row>
    <row r="765" spans="1:9">
      <c r="A765">
        <v>764</v>
      </c>
      <c r="B765">
        <v>9</v>
      </c>
      <c r="C765">
        <v>6000</v>
      </c>
      <c r="D765">
        <v>5694</v>
      </c>
      <c r="E765" s="5">
        <f t="shared" si="45"/>
        <v>306</v>
      </c>
      <c r="F765" s="5">
        <f t="shared" si="46"/>
        <v>93636</v>
      </c>
      <c r="G765" s="6">
        <f>SQRT(SUM($F$2:F765)/A765)</f>
        <v>1127.0213434708073</v>
      </c>
      <c r="H765" s="5">
        <f t="shared" si="47"/>
        <v>1</v>
      </c>
      <c r="I765" s="5">
        <f t="shared" si="48"/>
        <v>1</v>
      </c>
    </row>
    <row r="766" spans="1:9">
      <c r="A766">
        <v>765</v>
      </c>
      <c r="B766">
        <v>10</v>
      </c>
      <c r="C766">
        <v>6000</v>
      </c>
      <c r="D766">
        <v>6389</v>
      </c>
      <c r="E766" s="5">
        <f t="shared" si="45"/>
        <v>389</v>
      </c>
      <c r="F766" s="5">
        <f t="shared" si="46"/>
        <v>151321</v>
      </c>
      <c r="G766" s="6">
        <f>SQRT(SUM($F$2:F766)/A766)</f>
        <v>1126.3722970820913</v>
      </c>
      <c r="H766" s="5">
        <f t="shared" si="47"/>
        <v>1</v>
      </c>
      <c r="I766" s="5">
        <f t="shared" si="48"/>
        <v>1</v>
      </c>
    </row>
    <row r="767" spans="1:9">
      <c r="A767">
        <v>766</v>
      </c>
      <c r="B767">
        <v>9</v>
      </c>
      <c r="C767">
        <v>6000</v>
      </c>
      <c r="D767">
        <v>5779</v>
      </c>
      <c r="E767" s="5">
        <f t="shared" si="45"/>
        <v>221</v>
      </c>
      <c r="F767" s="5">
        <f t="shared" si="46"/>
        <v>48841</v>
      </c>
      <c r="G767" s="6">
        <f>SQRT(SUM($F$2:F767)/A767)</f>
        <v>1125.6651488853795</v>
      </c>
      <c r="H767" s="5">
        <f t="shared" si="47"/>
        <v>1</v>
      </c>
      <c r="I767" s="5">
        <f t="shared" si="48"/>
        <v>1</v>
      </c>
    </row>
    <row r="768" spans="1:9">
      <c r="A768">
        <v>767</v>
      </c>
      <c r="B768">
        <v>10</v>
      </c>
      <c r="C768">
        <v>6000</v>
      </c>
      <c r="D768">
        <v>5921</v>
      </c>
      <c r="E768" s="5">
        <f t="shared" si="45"/>
        <v>79</v>
      </c>
      <c r="F768" s="5">
        <f t="shared" si="46"/>
        <v>6241</v>
      </c>
      <c r="G768" s="6">
        <f>SQRT(SUM($F$2:F768)/A768)</f>
        <v>1124.9347157647526</v>
      </c>
      <c r="H768" s="5">
        <f t="shared" si="47"/>
        <v>1</v>
      </c>
      <c r="I768" s="5">
        <f t="shared" si="48"/>
        <v>1</v>
      </c>
    </row>
    <row r="769" spans="1:9">
      <c r="A769">
        <v>768</v>
      </c>
      <c r="B769">
        <v>10</v>
      </c>
      <c r="C769">
        <v>6000</v>
      </c>
      <c r="D769">
        <v>6033</v>
      </c>
      <c r="E769" s="5">
        <f t="shared" si="45"/>
        <v>33</v>
      </c>
      <c r="F769" s="5">
        <f t="shared" si="46"/>
        <v>1089</v>
      </c>
      <c r="G769" s="6">
        <f>SQRT(SUM($F$2:F769)/A769)</f>
        <v>1124.2027284878752</v>
      </c>
      <c r="H769" s="5">
        <f t="shared" si="47"/>
        <v>1</v>
      </c>
      <c r="I769" s="5">
        <f t="shared" si="48"/>
        <v>1</v>
      </c>
    </row>
    <row r="770" spans="1:9">
      <c r="A770">
        <v>769</v>
      </c>
      <c r="B770">
        <v>10</v>
      </c>
      <c r="C770">
        <v>6000</v>
      </c>
      <c r="D770">
        <v>6110</v>
      </c>
      <c r="E770" s="5">
        <f t="shared" si="45"/>
        <v>110</v>
      </c>
      <c r="F770" s="5">
        <f t="shared" si="46"/>
        <v>12100</v>
      </c>
      <c r="G770" s="6">
        <f>SQRT(SUM($F$2:F770)/A770)</f>
        <v>1123.4785423453948</v>
      </c>
      <c r="H770" s="5">
        <f t="shared" si="47"/>
        <v>1</v>
      </c>
      <c r="I770" s="5">
        <f t="shared" si="48"/>
        <v>1</v>
      </c>
    </row>
    <row r="771" spans="1:9">
      <c r="A771">
        <v>770</v>
      </c>
      <c r="B771">
        <v>10</v>
      </c>
      <c r="C771">
        <v>6000</v>
      </c>
      <c r="D771">
        <v>6406</v>
      </c>
      <c r="E771" s="5">
        <f t="shared" ref="E771:E834" si="49">ABS(C771-D771)</f>
        <v>406</v>
      </c>
      <c r="F771" s="5">
        <f t="shared" ref="F771:F834" si="50">POWER(E771,2)</f>
        <v>164836</v>
      </c>
      <c r="G771" s="6">
        <f>SQRT(SUM($F$2:F771)/A771)</f>
        <v>1122.8441039691047</v>
      </c>
      <c r="H771" s="5">
        <f t="shared" ref="H771:H834" si="51">IF(ABS(E771)/C771&gt;0.2,0,1)</f>
        <v>1</v>
      </c>
      <c r="I771" s="5">
        <f t="shared" ref="I771:I834" si="52">IF(ABS(E771)/C771&gt;0.1,0,1)</f>
        <v>1</v>
      </c>
    </row>
    <row r="772" spans="1:9">
      <c r="A772">
        <v>771</v>
      </c>
      <c r="B772">
        <v>9</v>
      </c>
      <c r="C772">
        <v>6000</v>
      </c>
      <c r="D772">
        <v>5309</v>
      </c>
      <c r="E772" s="5">
        <f t="shared" si="49"/>
        <v>691</v>
      </c>
      <c r="F772" s="5">
        <f t="shared" si="50"/>
        <v>477481</v>
      </c>
      <c r="G772" s="6">
        <f>SQRT(SUM($F$2:F772)/A772)</f>
        <v>1122.3916122539879</v>
      </c>
      <c r="H772" s="5">
        <f t="shared" si="51"/>
        <v>1</v>
      </c>
      <c r="I772" s="5">
        <f t="shared" si="52"/>
        <v>0</v>
      </c>
    </row>
    <row r="773" spans="1:9">
      <c r="A773">
        <v>772</v>
      </c>
      <c r="B773">
        <v>11</v>
      </c>
      <c r="C773">
        <v>6000</v>
      </c>
      <c r="D773">
        <v>6529</v>
      </c>
      <c r="E773" s="5">
        <f t="shared" si="49"/>
        <v>529</v>
      </c>
      <c r="F773" s="5">
        <f t="shared" si="50"/>
        <v>279841</v>
      </c>
      <c r="G773" s="6">
        <f>SQRT(SUM($F$2:F773)/A773)</f>
        <v>1121.8260125044374</v>
      </c>
      <c r="H773" s="5">
        <f t="shared" si="51"/>
        <v>1</v>
      </c>
      <c r="I773" s="5">
        <f t="shared" si="52"/>
        <v>1</v>
      </c>
    </row>
    <row r="774" spans="1:9">
      <c r="A774">
        <v>773</v>
      </c>
      <c r="B774">
        <v>9</v>
      </c>
      <c r="C774">
        <v>6000</v>
      </c>
      <c r="D774">
        <v>5608</v>
      </c>
      <c r="E774" s="5">
        <f t="shared" si="49"/>
        <v>392</v>
      </c>
      <c r="F774" s="5">
        <f t="shared" si="50"/>
        <v>153664</v>
      </c>
      <c r="G774" s="6">
        <f>SQRT(SUM($F$2:F774)/A774)</f>
        <v>1121.1888009145687</v>
      </c>
      <c r="H774" s="5">
        <f t="shared" si="51"/>
        <v>1</v>
      </c>
      <c r="I774" s="5">
        <f t="shared" si="52"/>
        <v>1</v>
      </c>
    </row>
    <row r="775" spans="1:9">
      <c r="A775">
        <v>774</v>
      </c>
      <c r="B775">
        <v>10</v>
      </c>
      <c r="C775">
        <v>6000</v>
      </c>
      <c r="D775">
        <v>6392</v>
      </c>
      <c r="E775" s="5">
        <f t="shared" si="49"/>
        <v>392</v>
      </c>
      <c r="F775" s="5">
        <f t="shared" si="50"/>
        <v>153664</v>
      </c>
      <c r="G775" s="6">
        <f>SQRT(SUM($F$2:F775)/A775)</f>
        <v>1120.5528749140026</v>
      </c>
      <c r="H775" s="5">
        <f t="shared" si="51"/>
        <v>1</v>
      </c>
      <c r="I775" s="5">
        <f t="shared" si="52"/>
        <v>1</v>
      </c>
    </row>
    <row r="776" spans="1:9">
      <c r="A776">
        <v>775</v>
      </c>
      <c r="B776">
        <v>9</v>
      </c>
      <c r="C776">
        <v>6000</v>
      </c>
      <c r="D776">
        <v>5280</v>
      </c>
      <c r="E776" s="5">
        <f t="shared" si="49"/>
        <v>720</v>
      </c>
      <c r="F776" s="5">
        <f t="shared" si="50"/>
        <v>518400</v>
      </c>
      <c r="G776" s="6">
        <f>SQRT(SUM($F$2:F776)/A776)</f>
        <v>1120.1283273256772</v>
      </c>
      <c r="H776" s="5">
        <f t="shared" si="51"/>
        <v>1</v>
      </c>
      <c r="I776" s="5">
        <f t="shared" si="52"/>
        <v>0</v>
      </c>
    </row>
    <row r="777" spans="1:9">
      <c r="A777">
        <v>776</v>
      </c>
      <c r="B777">
        <v>11</v>
      </c>
      <c r="C777">
        <v>6000</v>
      </c>
      <c r="D777">
        <v>6686</v>
      </c>
      <c r="E777" s="5">
        <f t="shared" si="49"/>
        <v>686</v>
      </c>
      <c r="F777" s="5">
        <f t="shared" si="50"/>
        <v>470596</v>
      </c>
      <c r="G777" s="6">
        <f>SQRT(SUM($F$2:F777)/A777)</f>
        <v>1119.6772046111205</v>
      </c>
      <c r="H777" s="5">
        <f t="shared" si="51"/>
        <v>1</v>
      </c>
      <c r="I777" s="5">
        <f t="shared" si="52"/>
        <v>0</v>
      </c>
    </row>
    <row r="778" spans="1:9">
      <c r="A778">
        <v>777</v>
      </c>
      <c r="B778">
        <v>9</v>
      </c>
      <c r="C778">
        <v>6000</v>
      </c>
      <c r="D778">
        <v>5595</v>
      </c>
      <c r="E778" s="5">
        <f t="shared" si="49"/>
        <v>405</v>
      </c>
      <c r="F778" s="5">
        <f t="shared" si="50"/>
        <v>164025</v>
      </c>
      <c r="G778" s="6">
        <f>SQRT(SUM($F$2:F778)/A778)</f>
        <v>1119.0507847924771</v>
      </c>
      <c r="H778" s="5">
        <f t="shared" si="51"/>
        <v>1</v>
      </c>
      <c r="I778" s="5">
        <f t="shared" si="52"/>
        <v>1</v>
      </c>
    </row>
    <row r="779" spans="1:9">
      <c r="A779">
        <v>778</v>
      </c>
      <c r="B779">
        <v>10</v>
      </c>
      <c r="C779">
        <v>6000</v>
      </c>
      <c r="D779">
        <v>5478</v>
      </c>
      <c r="E779" s="5">
        <f t="shared" si="49"/>
        <v>522</v>
      </c>
      <c r="F779" s="5">
        <f t="shared" si="50"/>
        <v>272484</v>
      </c>
      <c r="G779" s="6">
        <f>SQRT(SUM($F$2:F779)/A779)</f>
        <v>1118.4879471490688</v>
      </c>
      <c r="H779" s="5">
        <f t="shared" si="51"/>
        <v>1</v>
      </c>
      <c r="I779" s="5">
        <f t="shared" si="52"/>
        <v>1</v>
      </c>
    </row>
    <row r="780" spans="1:9">
      <c r="A780">
        <v>779</v>
      </c>
      <c r="B780">
        <v>10</v>
      </c>
      <c r="C780">
        <v>6000</v>
      </c>
      <c r="D780">
        <v>6176</v>
      </c>
      <c r="E780" s="5">
        <f t="shared" si="49"/>
        <v>176</v>
      </c>
      <c r="F780" s="5">
        <f t="shared" si="50"/>
        <v>30976</v>
      </c>
      <c r="G780" s="6">
        <f>SQRT(SUM($F$2:F780)/A780)</f>
        <v>1117.7876037450083</v>
      </c>
      <c r="H780" s="5">
        <f t="shared" si="51"/>
        <v>1</v>
      </c>
      <c r="I780" s="5">
        <f t="shared" si="52"/>
        <v>1</v>
      </c>
    </row>
    <row r="781" spans="1:9">
      <c r="A781">
        <v>780</v>
      </c>
      <c r="B781">
        <v>10</v>
      </c>
      <c r="C781">
        <v>6000</v>
      </c>
      <c r="D781">
        <v>6201</v>
      </c>
      <c r="E781" s="5">
        <f t="shared" si="49"/>
        <v>201</v>
      </c>
      <c r="F781" s="5">
        <f t="shared" si="50"/>
        <v>40401</v>
      </c>
      <c r="G781" s="6">
        <f>SQRT(SUM($F$2:F781)/A781)</f>
        <v>1117.0940271009488</v>
      </c>
      <c r="H781" s="5">
        <f t="shared" si="51"/>
        <v>1</v>
      </c>
      <c r="I781" s="5">
        <f t="shared" si="52"/>
        <v>1</v>
      </c>
    </row>
    <row r="782" spans="1:9">
      <c r="A782">
        <v>781</v>
      </c>
      <c r="B782">
        <v>10</v>
      </c>
      <c r="C782">
        <v>6000</v>
      </c>
      <c r="D782">
        <v>6242</v>
      </c>
      <c r="E782" s="5">
        <f t="shared" si="49"/>
        <v>242</v>
      </c>
      <c r="F782" s="5">
        <f t="shared" si="50"/>
        <v>58564</v>
      </c>
      <c r="G782" s="6">
        <f>SQRT(SUM($F$2:F782)/A782)</f>
        <v>1116.412212936307</v>
      </c>
      <c r="H782" s="5">
        <f t="shared" si="51"/>
        <v>1</v>
      </c>
      <c r="I782" s="5">
        <f t="shared" si="52"/>
        <v>1</v>
      </c>
    </row>
    <row r="783" spans="1:9">
      <c r="A783">
        <v>782</v>
      </c>
      <c r="B783">
        <v>10</v>
      </c>
      <c r="C783">
        <v>6000</v>
      </c>
      <c r="D783">
        <v>6129</v>
      </c>
      <c r="E783" s="5">
        <f t="shared" si="49"/>
        <v>129</v>
      </c>
      <c r="F783" s="5">
        <f t="shared" si="50"/>
        <v>16641</v>
      </c>
      <c r="G783" s="6">
        <f>SQRT(SUM($F$2:F783)/A783)</f>
        <v>1115.7077026485749</v>
      </c>
      <c r="H783" s="5">
        <f t="shared" si="51"/>
        <v>1</v>
      </c>
      <c r="I783" s="5">
        <f t="shared" si="52"/>
        <v>1</v>
      </c>
    </row>
    <row r="784" spans="1:9">
      <c r="A784">
        <v>783</v>
      </c>
      <c r="B784">
        <v>10</v>
      </c>
      <c r="C784">
        <v>6000</v>
      </c>
      <c r="D784">
        <v>6013</v>
      </c>
      <c r="E784" s="5">
        <f t="shared" si="49"/>
        <v>13</v>
      </c>
      <c r="F784" s="5">
        <f t="shared" si="50"/>
        <v>169</v>
      </c>
      <c r="G784" s="6">
        <f>SQRT(SUM($F$2:F784)/A784)</f>
        <v>1114.9951147886497</v>
      </c>
      <c r="H784" s="5">
        <f t="shared" si="51"/>
        <v>1</v>
      </c>
      <c r="I784" s="5">
        <f t="shared" si="52"/>
        <v>1</v>
      </c>
    </row>
    <row r="785" spans="1:9">
      <c r="A785">
        <v>784</v>
      </c>
      <c r="B785">
        <v>10</v>
      </c>
      <c r="C785">
        <v>6000</v>
      </c>
      <c r="D785">
        <v>5944</v>
      </c>
      <c r="E785" s="5">
        <f t="shared" si="49"/>
        <v>56</v>
      </c>
      <c r="F785" s="5">
        <f t="shared" si="50"/>
        <v>3136</v>
      </c>
      <c r="G785" s="6">
        <f>SQRT(SUM($F$2:F785)/A785)</f>
        <v>1114.2855889423006</v>
      </c>
      <c r="H785" s="5">
        <f t="shared" si="51"/>
        <v>1</v>
      </c>
      <c r="I785" s="5">
        <f t="shared" si="52"/>
        <v>1</v>
      </c>
    </row>
    <row r="786" spans="1:9">
      <c r="A786">
        <v>785</v>
      </c>
      <c r="B786">
        <v>10</v>
      </c>
      <c r="C786">
        <v>6000</v>
      </c>
      <c r="D786">
        <v>5891</v>
      </c>
      <c r="E786" s="5">
        <f t="shared" si="49"/>
        <v>109</v>
      </c>
      <c r="F786" s="5">
        <f t="shared" si="50"/>
        <v>11881</v>
      </c>
      <c r="G786" s="6">
        <f>SQRT(SUM($F$2:F786)/A786)</f>
        <v>1113.5824223940356</v>
      </c>
      <c r="H786" s="5">
        <f t="shared" si="51"/>
        <v>1</v>
      </c>
      <c r="I786" s="5">
        <f t="shared" si="52"/>
        <v>1</v>
      </c>
    </row>
    <row r="787" spans="1:9">
      <c r="A787">
        <v>786</v>
      </c>
      <c r="B787">
        <v>10</v>
      </c>
      <c r="C787">
        <v>6000</v>
      </c>
      <c r="D787">
        <v>5847</v>
      </c>
      <c r="E787" s="5">
        <f t="shared" si="49"/>
        <v>153</v>
      </c>
      <c r="F787" s="5">
        <f t="shared" si="50"/>
        <v>23409</v>
      </c>
      <c r="G787" s="6">
        <f>SQRT(SUM($F$2:F787)/A787)</f>
        <v>1112.8871919631492</v>
      </c>
      <c r="H787" s="5">
        <f t="shared" si="51"/>
        <v>1</v>
      </c>
      <c r="I787" s="5">
        <f t="shared" si="52"/>
        <v>1</v>
      </c>
    </row>
    <row r="788" spans="1:9">
      <c r="A788">
        <v>787</v>
      </c>
      <c r="B788">
        <v>10</v>
      </c>
      <c r="C788">
        <v>6000</v>
      </c>
      <c r="D788">
        <v>2638</v>
      </c>
      <c r="E788" s="5">
        <f t="shared" si="49"/>
        <v>3362</v>
      </c>
      <c r="F788" s="5">
        <f t="shared" si="50"/>
        <v>11303044</v>
      </c>
      <c r="G788" s="6">
        <f>SQRT(SUM($F$2:F788)/A788)</f>
        <v>1118.6180636391821</v>
      </c>
      <c r="H788" s="5">
        <f t="shared" si="51"/>
        <v>0</v>
      </c>
      <c r="I788" s="5">
        <f t="shared" si="52"/>
        <v>0</v>
      </c>
    </row>
    <row r="789" spans="1:9">
      <c r="A789">
        <v>788</v>
      </c>
      <c r="B789">
        <v>14</v>
      </c>
      <c r="C789">
        <v>6000</v>
      </c>
      <c r="D789">
        <v>5798</v>
      </c>
      <c r="E789" s="5">
        <f t="shared" si="49"/>
        <v>202</v>
      </c>
      <c r="F789" s="5">
        <f t="shared" si="50"/>
        <v>40804</v>
      </c>
      <c r="G789" s="6">
        <f>SQRT(SUM($F$2:F789)/A789)</f>
        <v>1117.931215136535</v>
      </c>
      <c r="H789" s="5">
        <f t="shared" si="51"/>
        <v>1</v>
      </c>
      <c r="I789" s="5">
        <f t="shared" si="52"/>
        <v>1</v>
      </c>
    </row>
    <row r="790" spans="1:9">
      <c r="A790">
        <v>789</v>
      </c>
      <c r="B790">
        <v>11</v>
      </c>
      <c r="C790">
        <v>6000</v>
      </c>
      <c r="D790">
        <v>6484</v>
      </c>
      <c r="E790" s="5">
        <f t="shared" si="49"/>
        <v>484</v>
      </c>
      <c r="F790" s="5">
        <f t="shared" si="50"/>
        <v>234256</v>
      </c>
      <c r="G790" s="6">
        <f>SQRT(SUM($F$2:F790)/A790)</f>
        <v>1117.3554096766109</v>
      </c>
      <c r="H790" s="5">
        <f t="shared" si="51"/>
        <v>1</v>
      </c>
      <c r="I790" s="5">
        <f t="shared" si="52"/>
        <v>1</v>
      </c>
    </row>
    <row r="791" spans="1:9">
      <c r="A791">
        <v>790</v>
      </c>
      <c r="B791">
        <v>10</v>
      </c>
      <c r="C791">
        <v>6000</v>
      </c>
      <c r="D791">
        <v>6209</v>
      </c>
      <c r="E791" s="5">
        <f t="shared" si="49"/>
        <v>209</v>
      </c>
      <c r="F791" s="5">
        <f t="shared" si="50"/>
        <v>43681</v>
      </c>
      <c r="G791" s="6">
        <f>SQRT(SUM($F$2:F791)/A791)</f>
        <v>1116.6727567061087</v>
      </c>
      <c r="H791" s="5">
        <f t="shared" si="51"/>
        <v>1</v>
      </c>
      <c r="I791" s="5">
        <f t="shared" si="52"/>
        <v>1</v>
      </c>
    </row>
    <row r="792" spans="1:9">
      <c r="A792">
        <v>791</v>
      </c>
      <c r="B792">
        <v>10</v>
      </c>
      <c r="C792">
        <v>6000</v>
      </c>
      <c r="D792">
        <v>5915</v>
      </c>
      <c r="E792" s="5">
        <f t="shared" si="49"/>
        <v>85</v>
      </c>
      <c r="F792" s="5">
        <f t="shared" si="50"/>
        <v>7225</v>
      </c>
      <c r="G792" s="6">
        <f>SQRT(SUM($F$2:F792)/A792)</f>
        <v>1115.9707644716771</v>
      </c>
      <c r="H792" s="5">
        <f t="shared" si="51"/>
        <v>1</v>
      </c>
      <c r="I792" s="5">
        <f t="shared" si="52"/>
        <v>1</v>
      </c>
    </row>
    <row r="793" spans="1:9">
      <c r="A793">
        <v>792</v>
      </c>
      <c r="B793">
        <v>11</v>
      </c>
      <c r="C793">
        <v>6000</v>
      </c>
      <c r="D793">
        <v>7196</v>
      </c>
      <c r="E793" s="5">
        <f t="shared" si="49"/>
        <v>1196</v>
      </c>
      <c r="F793" s="5">
        <f t="shared" si="50"/>
        <v>1430416</v>
      </c>
      <c r="G793" s="6">
        <f>SQRT(SUM($F$2:F793)/A793)</f>
        <v>1116.0754297532894</v>
      </c>
      <c r="H793" s="5">
        <f t="shared" si="51"/>
        <v>1</v>
      </c>
      <c r="I793" s="5">
        <f t="shared" si="52"/>
        <v>0</v>
      </c>
    </row>
    <row r="794" spans="1:9">
      <c r="A794">
        <v>793</v>
      </c>
      <c r="B794">
        <v>9</v>
      </c>
      <c r="C794">
        <v>6000</v>
      </c>
      <c r="D794">
        <v>5652</v>
      </c>
      <c r="E794" s="5">
        <f t="shared" si="49"/>
        <v>348</v>
      </c>
      <c r="F794" s="5">
        <f t="shared" si="50"/>
        <v>121104</v>
      </c>
      <c r="G794" s="6">
        <f>SQRT(SUM($F$2:F794)/A794)</f>
        <v>1115.4399609263037</v>
      </c>
      <c r="H794" s="5">
        <f t="shared" si="51"/>
        <v>1</v>
      </c>
      <c r="I794" s="5">
        <f t="shared" si="52"/>
        <v>1</v>
      </c>
    </row>
    <row r="795" spans="1:9">
      <c r="A795">
        <v>794</v>
      </c>
      <c r="B795">
        <v>11</v>
      </c>
      <c r="C795">
        <v>6000</v>
      </c>
      <c r="D795">
        <v>7348</v>
      </c>
      <c r="E795" s="5">
        <f t="shared" si="49"/>
        <v>1348</v>
      </c>
      <c r="F795" s="5">
        <f t="shared" si="50"/>
        <v>1817104</v>
      </c>
      <c r="G795" s="6">
        <f>SQRT(SUM($F$2:F795)/A795)</f>
        <v>1115.7633441058986</v>
      </c>
      <c r="H795" s="5">
        <f t="shared" si="51"/>
        <v>0</v>
      </c>
      <c r="I795" s="5">
        <f t="shared" si="52"/>
        <v>0</v>
      </c>
    </row>
    <row r="796" spans="1:9">
      <c r="A796">
        <v>795</v>
      </c>
      <c r="B796">
        <v>9</v>
      </c>
      <c r="C796">
        <v>6000</v>
      </c>
      <c r="D796">
        <v>5588</v>
      </c>
      <c r="E796" s="5">
        <f t="shared" si="49"/>
        <v>412</v>
      </c>
      <c r="F796" s="5">
        <f t="shared" si="50"/>
        <v>169744</v>
      </c>
      <c r="G796" s="6">
        <f>SQRT(SUM($F$2:F796)/A796)</f>
        <v>1115.1571223586252</v>
      </c>
      <c r="H796" s="5">
        <f t="shared" si="51"/>
        <v>1</v>
      </c>
      <c r="I796" s="5">
        <f t="shared" si="52"/>
        <v>1</v>
      </c>
    </row>
    <row r="797" spans="1:9">
      <c r="A797">
        <v>796</v>
      </c>
      <c r="B797">
        <v>11</v>
      </c>
      <c r="C797">
        <v>6000</v>
      </c>
      <c r="D797">
        <v>6644</v>
      </c>
      <c r="E797" s="5">
        <f t="shared" si="49"/>
        <v>644</v>
      </c>
      <c r="F797" s="5">
        <f t="shared" si="50"/>
        <v>414736</v>
      </c>
      <c r="G797" s="6">
        <f>SQRT(SUM($F$2:F797)/A797)</f>
        <v>1114.6901596452935</v>
      </c>
      <c r="H797" s="5">
        <f t="shared" si="51"/>
        <v>1</v>
      </c>
      <c r="I797" s="5">
        <f t="shared" si="52"/>
        <v>0</v>
      </c>
    </row>
    <row r="798" spans="1:9">
      <c r="A798">
        <v>797</v>
      </c>
      <c r="B798">
        <v>9</v>
      </c>
      <c r="C798">
        <v>6000</v>
      </c>
      <c r="D798">
        <v>5259</v>
      </c>
      <c r="E798" s="5">
        <f t="shared" si="49"/>
        <v>741</v>
      </c>
      <c r="F798" s="5">
        <f t="shared" si="50"/>
        <v>549081</v>
      </c>
      <c r="G798" s="6">
        <f>SQRT(SUM($F$2:F798)/A798)</f>
        <v>1114.2998127850954</v>
      </c>
      <c r="H798" s="5">
        <f t="shared" si="51"/>
        <v>1</v>
      </c>
      <c r="I798" s="5">
        <f t="shared" si="52"/>
        <v>0</v>
      </c>
    </row>
    <row r="799" spans="1:9">
      <c r="A799">
        <v>798</v>
      </c>
      <c r="B799">
        <v>11</v>
      </c>
      <c r="C799">
        <v>6000</v>
      </c>
      <c r="D799">
        <v>7075</v>
      </c>
      <c r="E799" s="5">
        <f t="shared" si="49"/>
        <v>1075</v>
      </c>
      <c r="F799" s="5">
        <f t="shared" si="50"/>
        <v>1155625</v>
      </c>
      <c r="G799" s="6">
        <f>SQRT(SUM($F$2:F799)/A799)</f>
        <v>1114.2514323015093</v>
      </c>
      <c r="H799" s="5">
        <f t="shared" si="51"/>
        <v>1</v>
      </c>
      <c r="I799" s="5">
        <f t="shared" si="52"/>
        <v>0</v>
      </c>
    </row>
    <row r="800" spans="1:9">
      <c r="A800">
        <v>799</v>
      </c>
      <c r="B800">
        <v>9</v>
      </c>
      <c r="C800">
        <v>6000</v>
      </c>
      <c r="D800">
        <v>5310</v>
      </c>
      <c r="E800" s="5">
        <f t="shared" si="49"/>
        <v>690</v>
      </c>
      <c r="F800" s="5">
        <f t="shared" si="50"/>
        <v>476100</v>
      </c>
      <c r="G800" s="6">
        <f>SQRT(SUM($F$2:F800)/A800)</f>
        <v>1113.8214563141089</v>
      </c>
      <c r="H800" s="5">
        <f t="shared" si="51"/>
        <v>1</v>
      </c>
      <c r="I800" s="5">
        <f t="shared" si="52"/>
        <v>0</v>
      </c>
    </row>
    <row r="801" spans="1:9">
      <c r="A801">
        <v>800</v>
      </c>
      <c r="B801">
        <v>11</v>
      </c>
      <c r="C801">
        <v>6000</v>
      </c>
      <c r="D801">
        <v>6462</v>
      </c>
      <c r="E801" s="5">
        <f t="shared" si="49"/>
        <v>462</v>
      </c>
      <c r="F801" s="5">
        <f t="shared" si="50"/>
        <v>213444</v>
      </c>
      <c r="G801" s="6">
        <f>SQRT(SUM($F$2:F801)/A801)</f>
        <v>1113.2449387937947</v>
      </c>
      <c r="H801" s="5">
        <f t="shared" si="51"/>
        <v>1</v>
      </c>
      <c r="I801" s="5">
        <f t="shared" si="52"/>
        <v>1</v>
      </c>
    </row>
    <row r="802" spans="1:9">
      <c r="A802">
        <v>801</v>
      </c>
      <c r="B802">
        <v>1</v>
      </c>
      <c r="C802">
        <v>9000</v>
      </c>
      <c r="D802">
        <v>907</v>
      </c>
      <c r="E802" s="5">
        <f t="shared" si="49"/>
        <v>8093</v>
      </c>
      <c r="F802" s="5">
        <f t="shared" si="50"/>
        <v>65496649</v>
      </c>
      <c r="G802" s="6">
        <f>SQRT(SUM($F$2:F802)/A802)</f>
        <v>1148.7104445391183</v>
      </c>
      <c r="H802" s="5">
        <f t="shared" si="51"/>
        <v>0</v>
      </c>
      <c r="I802" s="5">
        <f t="shared" si="52"/>
        <v>0</v>
      </c>
    </row>
    <row r="803" spans="1:9">
      <c r="A803">
        <v>802</v>
      </c>
      <c r="B803">
        <v>11</v>
      </c>
      <c r="C803">
        <v>9000</v>
      </c>
      <c r="D803">
        <v>6362</v>
      </c>
      <c r="E803" s="5">
        <f t="shared" si="49"/>
        <v>2638</v>
      </c>
      <c r="F803" s="5">
        <f t="shared" si="50"/>
        <v>6959044</v>
      </c>
      <c r="G803" s="6">
        <f>SQRT(SUM($F$2:F803)/A803)</f>
        <v>1151.7671167696274</v>
      </c>
      <c r="H803" s="5">
        <f t="shared" si="51"/>
        <v>0</v>
      </c>
      <c r="I803" s="5">
        <f t="shared" si="52"/>
        <v>0</v>
      </c>
    </row>
    <row r="804" spans="1:9">
      <c r="A804">
        <v>803</v>
      </c>
      <c r="B804">
        <v>5</v>
      </c>
      <c r="C804">
        <v>9000</v>
      </c>
      <c r="D804">
        <v>3895</v>
      </c>
      <c r="E804" s="5">
        <f t="shared" si="49"/>
        <v>5105</v>
      </c>
      <c r="F804" s="5">
        <f t="shared" si="50"/>
        <v>26061025</v>
      </c>
      <c r="G804" s="6">
        <f>SQRT(SUM($F$2:F804)/A804)</f>
        <v>1165.0622530788603</v>
      </c>
      <c r="H804" s="5">
        <f t="shared" si="51"/>
        <v>0</v>
      </c>
      <c r="I804" s="5">
        <f t="shared" si="52"/>
        <v>0</v>
      </c>
    </row>
    <row r="805" spans="1:9">
      <c r="A805">
        <v>804</v>
      </c>
      <c r="B805">
        <v>9</v>
      </c>
      <c r="C805">
        <v>9000</v>
      </c>
      <c r="D805">
        <v>5278</v>
      </c>
      <c r="E805" s="5">
        <f t="shared" si="49"/>
        <v>3722</v>
      </c>
      <c r="F805" s="5">
        <f t="shared" si="50"/>
        <v>13853284</v>
      </c>
      <c r="G805" s="6">
        <f>SQRT(SUM($F$2:F805)/A805)</f>
        <v>1171.7133758196271</v>
      </c>
      <c r="H805" s="5">
        <f t="shared" si="51"/>
        <v>0</v>
      </c>
      <c r="I805" s="5">
        <f t="shared" si="52"/>
        <v>0</v>
      </c>
    </row>
    <row r="806" spans="1:9">
      <c r="A806">
        <v>805</v>
      </c>
      <c r="B806">
        <v>9</v>
      </c>
      <c r="C806">
        <v>9000</v>
      </c>
      <c r="D806">
        <v>6034</v>
      </c>
      <c r="E806" s="5">
        <f t="shared" si="49"/>
        <v>2966</v>
      </c>
      <c r="F806" s="5">
        <f t="shared" si="50"/>
        <v>8797156</v>
      </c>
      <c r="G806" s="6">
        <f>SQRT(SUM($F$2:F806)/A806)</f>
        <v>1175.642334273756</v>
      </c>
      <c r="H806" s="5">
        <f t="shared" si="51"/>
        <v>0</v>
      </c>
      <c r="I806" s="5">
        <f t="shared" si="52"/>
        <v>0</v>
      </c>
    </row>
    <row r="807" spans="1:9">
      <c r="A807">
        <v>806</v>
      </c>
      <c r="B807">
        <v>8</v>
      </c>
      <c r="C807">
        <v>9000</v>
      </c>
      <c r="D807">
        <v>5925</v>
      </c>
      <c r="E807" s="5">
        <f t="shared" si="49"/>
        <v>3075</v>
      </c>
      <c r="F807" s="5">
        <f t="shared" si="50"/>
        <v>9455625</v>
      </c>
      <c r="G807" s="6">
        <f>SQRT(SUM($F$2:F807)/A807)</f>
        <v>1179.8947559997596</v>
      </c>
      <c r="H807" s="5">
        <f t="shared" si="51"/>
        <v>0</v>
      </c>
      <c r="I807" s="5">
        <f t="shared" si="52"/>
        <v>0</v>
      </c>
    </row>
    <row r="808" spans="1:9">
      <c r="A808">
        <v>807</v>
      </c>
      <c r="B808">
        <v>9</v>
      </c>
      <c r="C808">
        <v>9000</v>
      </c>
      <c r="D808">
        <v>5452</v>
      </c>
      <c r="E808" s="5">
        <f t="shared" si="49"/>
        <v>3548</v>
      </c>
      <c r="F808" s="5">
        <f t="shared" si="50"/>
        <v>12588304</v>
      </c>
      <c r="G808" s="6">
        <f>SQRT(SUM($F$2:F808)/A808)</f>
        <v>1185.7594317514865</v>
      </c>
      <c r="H808" s="5">
        <f t="shared" si="51"/>
        <v>0</v>
      </c>
      <c r="I808" s="5">
        <f t="shared" si="52"/>
        <v>0</v>
      </c>
    </row>
    <row r="809" spans="1:9">
      <c r="A809">
        <v>808</v>
      </c>
      <c r="B809">
        <v>11</v>
      </c>
      <c r="C809">
        <v>9000</v>
      </c>
      <c r="D809">
        <v>7033</v>
      </c>
      <c r="E809" s="5">
        <f t="shared" si="49"/>
        <v>1967</v>
      </c>
      <c r="F809" s="5">
        <f t="shared" si="50"/>
        <v>3869089</v>
      </c>
      <c r="G809" s="6">
        <f>SQRT(SUM($F$2:F809)/A809)</f>
        <v>1187.0441339689519</v>
      </c>
      <c r="H809" s="5">
        <f t="shared" si="51"/>
        <v>0</v>
      </c>
      <c r="I809" s="5">
        <f t="shared" si="52"/>
        <v>0</v>
      </c>
    </row>
    <row r="810" spans="1:9">
      <c r="A810">
        <v>809</v>
      </c>
      <c r="B810">
        <v>9</v>
      </c>
      <c r="C810">
        <v>9000</v>
      </c>
      <c r="D810">
        <v>5981</v>
      </c>
      <c r="E810" s="5">
        <f t="shared" si="49"/>
        <v>3019</v>
      </c>
      <c r="F810" s="5">
        <f t="shared" si="50"/>
        <v>9114361</v>
      </c>
      <c r="G810" s="6">
        <f>SQRT(SUM($F$2:F810)/A810)</f>
        <v>1191.049215967942</v>
      </c>
      <c r="H810" s="5">
        <f t="shared" si="51"/>
        <v>0</v>
      </c>
      <c r="I810" s="5">
        <f t="shared" si="52"/>
        <v>0</v>
      </c>
    </row>
    <row r="811" spans="1:9">
      <c r="A811">
        <v>810</v>
      </c>
      <c r="B811">
        <v>11</v>
      </c>
      <c r="C811">
        <v>9000</v>
      </c>
      <c r="D811">
        <v>5955</v>
      </c>
      <c r="E811" s="5">
        <f t="shared" si="49"/>
        <v>3045</v>
      </c>
      <c r="F811" s="5">
        <f t="shared" si="50"/>
        <v>9272025</v>
      </c>
      <c r="G811" s="6">
        <f>SQRT(SUM($F$2:F811)/A811)</f>
        <v>1195.1124731408295</v>
      </c>
      <c r="H811" s="5">
        <f t="shared" si="51"/>
        <v>0</v>
      </c>
      <c r="I811" s="5">
        <f t="shared" si="52"/>
        <v>0</v>
      </c>
    </row>
    <row r="812" spans="1:9">
      <c r="A812">
        <v>811</v>
      </c>
      <c r="B812">
        <v>12</v>
      </c>
      <c r="C812">
        <v>9000</v>
      </c>
      <c r="D812">
        <v>6684</v>
      </c>
      <c r="E812" s="5">
        <f t="shared" si="49"/>
        <v>2316</v>
      </c>
      <c r="F812" s="5">
        <f t="shared" si="50"/>
        <v>5363856</v>
      </c>
      <c r="G812" s="6">
        <f>SQRT(SUM($F$2:F812)/A812)</f>
        <v>1197.1409905150661</v>
      </c>
      <c r="H812" s="5">
        <f t="shared" si="51"/>
        <v>0</v>
      </c>
      <c r="I812" s="5">
        <f t="shared" si="52"/>
        <v>0</v>
      </c>
    </row>
    <row r="813" spans="1:9">
      <c r="A813">
        <v>812</v>
      </c>
      <c r="B813">
        <v>12</v>
      </c>
      <c r="C813">
        <v>9000</v>
      </c>
      <c r="D813">
        <v>7510</v>
      </c>
      <c r="E813" s="5">
        <f t="shared" si="49"/>
        <v>1490</v>
      </c>
      <c r="F813" s="5">
        <f t="shared" si="50"/>
        <v>2220100</v>
      </c>
      <c r="G813" s="6">
        <f>SQRT(SUM($F$2:F813)/A813)</f>
        <v>1197.545700866996</v>
      </c>
      <c r="H813" s="5">
        <f t="shared" si="51"/>
        <v>1</v>
      </c>
      <c r="I813" s="5">
        <f t="shared" si="52"/>
        <v>0</v>
      </c>
    </row>
    <row r="814" spans="1:9">
      <c r="A814">
        <v>813</v>
      </c>
      <c r="B814">
        <v>11</v>
      </c>
      <c r="C814">
        <v>9000</v>
      </c>
      <c r="D814">
        <v>6265</v>
      </c>
      <c r="E814" s="5">
        <f t="shared" si="49"/>
        <v>2735</v>
      </c>
      <c r="F814" s="5">
        <f t="shared" si="50"/>
        <v>7480225</v>
      </c>
      <c r="G814" s="6">
        <f>SQRT(SUM($F$2:F814)/A814)</f>
        <v>1200.6466984358656</v>
      </c>
      <c r="H814" s="5">
        <f t="shared" si="51"/>
        <v>0</v>
      </c>
      <c r="I814" s="5">
        <f t="shared" si="52"/>
        <v>0</v>
      </c>
    </row>
    <row r="815" spans="1:9">
      <c r="A815">
        <v>814</v>
      </c>
      <c r="B815">
        <v>13</v>
      </c>
      <c r="C815">
        <v>9000</v>
      </c>
      <c r="D815">
        <v>8141</v>
      </c>
      <c r="E815" s="5">
        <f t="shared" si="49"/>
        <v>859</v>
      </c>
      <c r="F815" s="5">
        <f t="shared" si="50"/>
        <v>737881</v>
      </c>
      <c r="G815" s="6">
        <f>SQRT(SUM($F$2:F815)/A815)</f>
        <v>1200.2866462514414</v>
      </c>
      <c r="H815" s="5">
        <f t="shared" si="51"/>
        <v>1</v>
      </c>
      <c r="I815" s="5">
        <f t="shared" si="52"/>
        <v>1</v>
      </c>
    </row>
    <row r="816" spans="1:9">
      <c r="A816">
        <v>815</v>
      </c>
      <c r="B816">
        <v>11</v>
      </c>
      <c r="C816">
        <v>9000</v>
      </c>
      <c r="D816">
        <v>6163</v>
      </c>
      <c r="E816" s="5">
        <f t="shared" si="49"/>
        <v>2837</v>
      </c>
      <c r="F816" s="5">
        <f t="shared" si="50"/>
        <v>8048569</v>
      </c>
      <c r="G816" s="6">
        <f>SQRT(SUM($F$2:F816)/A816)</f>
        <v>1203.659363182411</v>
      </c>
      <c r="H816" s="5">
        <f t="shared" si="51"/>
        <v>0</v>
      </c>
      <c r="I816" s="5">
        <f t="shared" si="52"/>
        <v>0</v>
      </c>
    </row>
    <row r="817" spans="1:9">
      <c r="A817">
        <v>816</v>
      </c>
      <c r="B817">
        <v>14</v>
      </c>
      <c r="C817">
        <v>9000</v>
      </c>
      <c r="D817">
        <v>8328</v>
      </c>
      <c r="E817" s="5">
        <f t="shared" si="49"/>
        <v>672</v>
      </c>
      <c r="F817" s="5">
        <f t="shared" si="50"/>
        <v>451584</v>
      </c>
      <c r="G817" s="6">
        <f>SQRT(SUM($F$2:F817)/A817)</f>
        <v>1203.1516069123152</v>
      </c>
      <c r="H817" s="5">
        <f t="shared" si="51"/>
        <v>1</v>
      </c>
      <c r="I817" s="5">
        <f t="shared" si="52"/>
        <v>1</v>
      </c>
    </row>
    <row r="818" spans="1:9">
      <c r="A818">
        <v>817</v>
      </c>
      <c r="B818">
        <v>12</v>
      </c>
      <c r="C818">
        <v>9000</v>
      </c>
      <c r="D818">
        <v>7289</v>
      </c>
      <c r="E818" s="5">
        <f t="shared" si="49"/>
        <v>1711</v>
      </c>
      <c r="F818" s="5">
        <f t="shared" si="50"/>
        <v>2927521</v>
      </c>
      <c r="G818" s="6">
        <f>SQRT(SUM($F$2:F818)/A818)</f>
        <v>1203.9041615137639</v>
      </c>
      <c r="H818" s="5">
        <f t="shared" si="51"/>
        <v>1</v>
      </c>
      <c r="I818" s="5">
        <f t="shared" si="52"/>
        <v>0</v>
      </c>
    </row>
    <row r="819" spans="1:9">
      <c r="A819">
        <v>818</v>
      </c>
      <c r="B819">
        <v>13</v>
      </c>
      <c r="C819">
        <v>9000</v>
      </c>
      <c r="D819">
        <v>8031</v>
      </c>
      <c r="E819" s="5">
        <f t="shared" si="49"/>
        <v>969</v>
      </c>
      <c r="F819" s="5">
        <f t="shared" si="50"/>
        <v>938961</v>
      </c>
      <c r="G819" s="6">
        <f>SQRT(SUM($F$2:F819)/A819)</f>
        <v>1203.6449807184849</v>
      </c>
      <c r="H819" s="5">
        <f t="shared" si="51"/>
        <v>1</v>
      </c>
      <c r="I819" s="5">
        <f t="shared" si="52"/>
        <v>0</v>
      </c>
    </row>
    <row r="820" spans="1:9">
      <c r="A820">
        <v>819</v>
      </c>
      <c r="B820">
        <v>13</v>
      </c>
      <c r="C820">
        <v>9000</v>
      </c>
      <c r="D820">
        <v>7702</v>
      </c>
      <c r="E820" s="5">
        <f t="shared" si="49"/>
        <v>1298</v>
      </c>
      <c r="F820" s="5">
        <f t="shared" si="50"/>
        <v>1684804</v>
      </c>
      <c r="G820" s="6">
        <f>SQRT(SUM($F$2:F820)/A820)</f>
        <v>1203.7646979818971</v>
      </c>
      <c r="H820" s="5">
        <f t="shared" si="51"/>
        <v>1</v>
      </c>
      <c r="I820" s="5">
        <f t="shared" si="52"/>
        <v>0</v>
      </c>
    </row>
    <row r="821" spans="1:9">
      <c r="A821">
        <v>820</v>
      </c>
      <c r="B821">
        <v>14</v>
      </c>
      <c r="C821">
        <v>9000</v>
      </c>
      <c r="D821">
        <v>7732</v>
      </c>
      <c r="E821" s="5">
        <f t="shared" si="49"/>
        <v>1268</v>
      </c>
      <c r="F821" s="5">
        <f t="shared" si="50"/>
        <v>1607824</v>
      </c>
      <c r="G821" s="6">
        <f>SQRT(SUM($F$2:F821)/A821)</f>
        <v>1203.8451211055997</v>
      </c>
      <c r="H821" s="5">
        <f t="shared" si="51"/>
        <v>1</v>
      </c>
      <c r="I821" s="5">
        <f t="shared" si="52"/>
        <v>0</v>
      </c>
    </row>
    <row r="822" spans="1:9">
      <c r="A822">
        <v>821</v>
      </c>
      <c r="B822">
        <v>14</v>
      </c>
      <c r="C822">
        <v>9000</v>
      </c>
      <c r="D822">
        <v>8466</v>
      </c>
      <c r="E822" s="5">
        <f t="shared" si="49"/>
        <v>534</v>
      </c>
      <c r="F822" s="5">
        <f t="shared" si="50"/>
        <v>285156</v>
      </c>
      <c r="G822" s="6">
        <f>SQRT(SUM($F$2:F822)/A822)</f>
        <v>1203.2560768008195</v>
      </c>
      <c r="H822" s="5">
        <f t="shared" si="51"/>
        <v>1</v>
      </c>
      <c r="I822" s="5">
        <f t="shared" si="52"/>
        <v>1</v>
      </c>
    </row>
    <row r="823" spans="1:9">
      <c r="A823">
        <v>822</v>
      </c>
      <c r="B823">
        <v>13</v>
      </c>
      <c r="C823">
        <v>9000</v>
      </c>
      <c r="D823">
        <v>7272</v>
      </c>
      <c r="E823" s="5">
        <f t="shared" si="49"/>
        <v>1728</v>
      </c>
      <c r="F823" s="5">
        <f t="shared" si="50"/>
        <v>2985984</v>
      </c>
      <c r="G823" s="6">
        <f>SQRT(SUM($F$2:F823)/A823)</f>
        <v>1204.0333989515216</v>
      </c>
      <c r="H823" s="5">
        <f t="shared" si="51"/>
        <v>1</v>
      </c>
      <c r="I823" s="5">
        <f t="shared" si="52"/>
        <v>0</v>
      </c>
    </row>
    <row r="824" spans="1:9">
      <c r="A824">
        <v>823</v>
      </c>
      <c r="B824">
        <v>15</v>
      </c>
      <c r="C824">
        <v>9000</v>
      </c>
      <c r="D824">
        <v>8595</v>
      </c>
      <c r="E824" s="5">
        <f t="shared" si="49"/>
        <v>405</v>
      </c>
      <c r="F824" s="5">
        <f t="shared" si="50"/>
        <v>164025</v>
      </c>
      <c r="G824" s="6">
        <f>SQRT(SUM($F$2:F824)/A824)</f>
        <v>1203.384497610261</v>
      </c>
      <c r="H824" s="5">
        <f t="shared" si="51"/>
        <v>1</v>
      </c>
      <c r="I824" s="5">
        <f t="shared" si="52"/>
        <v>1</v>
      </c>
    </row>
    <row r="825" spans="1:9">
      <c r="A825">
        <v>824</v>
      </c>
      <c r="B825">
        <v>13</v>
      </c>
      <c r="C825">
        <v>9000</v>
      </c>
      <c r="D825">
        <v>8178</v>
      </c>
      <c r="E825" s="5">
        <f t="shared" si="49"/>
        <v>822</v>
      </c>
      <c r="F825" s="5">
        <f t="shared" si="50"/>
        <v>675684</v>
      </c>
      <c r="G825" s="6">
        <f>SQRT(SUM($F$2:F825)/A825)</f>
        <v>1202.9949332669773</v>
      </c>
      <c r="H825" s="5">
        <f t="shared" si="51"/>
        <v>1</v>
      </c>
      <c r="I825" s="5">
        <f t="shared" si="52"/>
        <v>1</v>
      </c>
    </row>
    <row r="826" spans="1:9">
      <c r="A826">
        <v>825</v>
      </c>
      <c r="B826">
        <v>14</v>
      </c>
      <c r="C826">
        <v>9000</v>
      </c>
      <c r="D826">
        <v>7889</v>
      </c>
      <c r="E826" s="5">
        <f t="shared" si="49"/>
        <v>1111</v>
      </c>
      <c r="F826" s="5">
        <f t="shared" si="50"/>
        <v>1234321</v>
      </c>
      <c r="G826" s="6">
        <f>SQRT(SUM($F$2:F826)/A826)</f>
        <v>1202.8876831116936</v>
      </c>
      <c r="H826" s="5">
        <f t="shared" si="51"/>
        <v>1</v>
      </c>
      <c r="I826" s="5">
        <f t="shared" si="52"/>
        <v>0</v>
      </c>
    </row>
    <row r="827" spans="1:9">
      <c r="A827">
        <v>826</v>
      </c>
      <c r="B827">
        <v>15</v>
      </c>
      <c r="C827">
        <v>9000</v>
      </c>
      <c r="D827">
        <v>8591</v>
      </c>
      <c r="E827" s="5">
        <f t="shared" si="49"/>
        <v>409</v>
      </c>
      <c r="F827" s="5">
        <f t="shared" si="50"/>
        <v>167281</v>
      </c>
      <c r="G827" s="6">
        <f>SQRT(SUM($F$2:F827)/A827)</f>
        <v>1202.2435509039226</v>
      </c>
      <c r="H827" s="5">
        <f t="shared" si="51"/>
        <v>1</v>
      </c>
      <c r="I827" s="5">
        <f t="shared" si="52"/>
        <v>1</v>
      </c>
    </row>
    <row r="828" spans="1:9">
      <c r="A828">
        <v>827</v>
      </c>
      <c r="B828">
        <v>14</v>
      </c>
      <c r="C828">
        <v>9000</v>
      </c>
      <c r="D828">
        <v>8816</v>
      </c>
      <c r="E828" s="5">
        <f t="shared" si="49"/>
        <v>184</v>
      </c>
      <c r="F828" s="5">
        <f t="shared" si="50"/>
        <v>33856</v>
      </c>
      <c r="G828" s="6">
        <f>SQRT(SUM($F$2:F828)/A828)</f>
        <v>1201.5334966831983</v>
      </c>
      <c r="H828" s="5">
        <f t="shared" si="51"/>
        <v>1</v>
      </c>
      <c r="I828" s="5">
        <f t="shared" si="52"/>
        <v>1</v>
      </c>
    </row>
    <row r="829" spans="1:9">
      <c r="A829">
        <v>828</v>
      </c>
      <c r="B829">
        <v>14</v>
      </c>
      <c r="C829">
        <v>9000</v>
      </c>
      <c r="D829">
        <v>7811</v>
      </c>
      <c r="E829" s="5">
        <f t="shared" si="49"/>
        <v>1189</v>
      </c>
      <c r="F829" s="5">
        <f t="shared" si="50"/>
        <v>1413721</v>
      </c>
      <c r="G829" s="6">
        <f>SQRT(SUM($F$2:F829)/A829)</f>
        <v>1201.5184384648512</v>
      </c>
      <c r="H829" s="5">
        <f t="shared" si="51"/>
        <v>1</v>
      </c>
      <c r="I829" s="5">
        <f t="shared" si="52"/>
        <v>0</v>
      </c>
    </row>
    <row r="830" spans="1:9">
      <c r="A830">
        <v>829</v>
      </c>
      <c r="B830">
        <v>15</v>
      </c>
      <c r="C830">
        <v>9000</v>
      </c>
      <c r="D830">
        <v>7933</v>
      </c>
      <c r="E830" s="5">
        <f t="shared" si="49"/>
        <v>1067</v>
      </c>
      <c r="F830" s="5">
        <f t="shared" si="50"/>
        <v>1138489</v>
      </c>
      <c r="G830" s="6">
        <f>SQRT(SUM($F$2:F830)/A830)</f>
        <v>1201.3652461948352</v>
      </c>
      <c r="H830" s="5">
        <f t="shared" si="51"/>
        <v>1</v>
      </c>
      <c r="I830" s="5">
        <f t="shared" si="52"/>
        <v>0</v>
      </c>
    </row>
    <row r="831" spans="1:9">
      <c r="A831">
        <v>830</v>
      </c>
      <c r="B831">
        <v>15</v>
      </c>
      <c r="C831">
        <v>9000</v>
      </c>
      <c r="D831">
        <v>8580</v>
      </c>
      <c r="E831" s="5">
        <f t="shared" si="49"/>
        <v>420</v>
      </c>
      <c r="F831" s="5">
        <f t="shared" si="50"/>
        <v>176400</v>
      </c>
      <c r="G831" s="6">
        <f>SQRT(SUM($F$2:F831)/A831)</f>
        <v>1200.7298177278362</v>
      </c>
      <c r="H831" s="5">
        <f t="shared" si="51"/>
        <v>1</v>
      </c>
      <c r="I831" s="5">
        <f t="shared" si="52"/>
        <v>1</v>
      </c>
    </row>
    <row r="832" spans="1:9">
      <c r="A832">
        <v>831</v>
      </c>
      <c r="B832">
        <v>15</v>
      </c>
      <c r="C832">
        <v>9000</v>
      </c>
      <c r="D832">
        <v>8991</v>
      </c>
      <c r="E832" s="5">
        <f t="shared" si="49"/>
        <v>9</v>
      </c>
      <c r="F832" s="5">
        <f t="shared" si="50"/>
        <v>81</v>
      </c>
      <c r="G832" s="6">
        <f>SQRT(SUM($F$2:F832)/A832)</f>
        <v>1200.0071800828114</v>
      </c>
      <c r="H832" s="5">
        <f t="shared" si="51"/>
        <v>1</v>
      </c>
      <c r="I832" s="5">
        <f t="shared" si="52"/>
        <v>1</v>
      </c>
    </row>
    <row r="833" spans="1:9">
      <c r="A833">
        <v>832</v>
      </c>
      <c r="B833">
        <v>14</v>
      </c>
      <c r="C833">
        <v>9000</v>
      </c>
      <c r="D833">
        <v>8506</v>
      </c>
      <c r="E833" s="5">
        <f t="shared" si="49"/>
        <v>494</v>
      </c>
      <c r="F833" s="5">
        <f t="shared" si="50"/>
        <v>244036</v>
      </c>
      <c r="G833" s="6">
        <f>SQRT(SUM($F$2:F833)/A833)</f>
        <v>1199.4080851852268</v>
      </c>
      <c r="H833" s="5">
        <f t="shared" si="51"/>
        <v>1</v>
      </c>
      <c r="I833" s="5">
        <f t="shared" si="52"/>
        <v>1</v>
      </c>
    </row>
    <row r="834" spans="1:9">
      <c r="A834">
        <v>833</v>
      </c>
      <c r="B834">
        <v>15</v>
      </c>
      <c r="C834">
        <v>9000</v>
      </c>
      <c r="D834">
        <v>8910</v>
      </c>
      <c r="E834" s="5">
        <f t="shared" si="49"/>
        <v>90</v>
      </c>
      <c r="F834" s="5">
        <f t="shared" si="50"/>
        <v>8100</v>
      </c>
      <c r="G834" s="6">
        <f>SQRT(SUM($F$2:F834)/A834)</f>
        <v>1198.6919922135455</v>
      </c>
      <c r="H834" s="5">
        <f t="shared" si="51"/>
        <v>1</v>
      </c>
      <c r="I834" s="5">
        <f t="shared" si="52"/>
        <v>1</v>
      </c>
    </row>
    <row r="835" spans="1:9">
      <c r="A835">
        <v>834</v>
      </c>
      <c r="B835">
        <v>14</v>
      </c>
      <c r="C835">
        <v>9000</v>
      </c>
      <c r="D835">
        <v>8449</v>
      </c>
      <c r="E835" s="5">
        <f t="shared" ref="E835:E898" si="53">ABS(C835-D835)</f>
        <v>551</v>
      </c>
      <c r="F835" s="5">
        <f t="shared" ref="F835:F898" si="54">POWER(E835,2)</f>
        <v>303601</v>
      </c>
      <c r="G835" s="6">
        <f>SQRT(SUM($F$2:F835)/A835)</f>
        <v>1198.1250625321322</v>
      </c>
      <c r="H835" s="5">
        <f t="shared" ref="H835:H898" si="55">IF(ABS(E835)/C835&gt;0.2,0,1)</f>
        <v>1</v>
      </c>
      <c r="I835" s="5">
        <f t="shared" ref="I835:I898" si="56">IF(ABS(E835)/C835&gt;0.1,0,1)</f>
        <v>1</v>
      </c>
    </row>
    <row r="836" spans="1:9">
      <c r="A836">
        <v>835</v>
      </c>
      <c r="B836">
        <v>15</v>
      </c>
      <c r="C836">
        <v>9000</v>
      </c>
      <c r="D836">
        <v>8809</v>
      </c>
      <c r="E836" s="5">
        <f t="shared" si="53"/>
        <v>191</v>
      </c>
      <c r="F836" s="5">
        <f t="shared" si="54"/>
        <v>36481</v>
      </c>
      <c r="G836" s="6">
        <f>SQRT(SUM($F$2:F836)/A836)</f>
        <v>1197.4256508115889</v>
      </c>
      <c r="H836" s="5">
        <f t="shared" si="55"/>
        <v>1</v>
      </c>
      <c r="I836" s="5">
        <f t="shared" si="56"/>
        <v>1</v>
      </c>
    </row>
    <row r="837" spans="1:9">
      <c r="A837">
        <v>836</v>
      </c>
      <c r="B837">
        <v>15</v>
      </c>
      <c r="C837">
        <v>9000</v>
      </c>
      <c r="D837">
        <v>4219</v>
      </c>
      <c r="E837" s="5">
        <f t="shared" si="53"/>
        <v>4781</v>
      </c>
      <c r="F837" s="5">
        <f t="shared" si="54"/>
        <v>22857961</v>
      </c>
      <c r="G837" s="6">
        <f>SQRT(SUM($F$2:F837)/A837)</f>
        <v>1208.0791126182496</v>
      </c>
      <c r="H837" s="5">
        <f t="shared" si="55"/>
        <v>0</v>
      </c>
      <c r="I837" s="5">
        <f t="shared" si="56"/>
        <v>0</v>
      </c>
    </row>
    <row r="838" spans="1:9">
      <c r="A838">
        <v>837</v>
      </c>
      <c r="B838">
        <v>21</v>
      </c>
      <c r="C838">
        <v>9000</v>
      </c>
      <c r="D838">
        <v>11601</v>
      </c>
      <c r="E838" s="5">
        <f t="shared" si="53"/>
        <v>2601</v>
      </c>
      <c r="F838" s="5">
        <f t="shared" si="54"/>
        <v>6765201</v>
      </c>
      <c r="G838" s="6">
        <f>SQRT(SUM($F$2:F838)/A838)</f>
        <v>1210.6998578337498</v>
      </c>
      <c r="H838" s="5">
        <f t="shared" si="55"/>
        <v>0</v>
      </c>
      <c r="I838" s="5">
        <f t="shared" si="56"/>
        <v>0</v>
      </c>
    </row>
    <row r="839" spans="1:9">
      <c r="A839">
        <v>838</v>
      </c>
      <c r="B839">
        <v>12</v>
      </c>
      <c r="C839">
        <v>9000</v>
      </c>
      <c r="D839">
        <v>7223</v>
      </c>
      <c r="E839" s="5">
        <f t="shared" si="53"/>
        <v>1777</v>
      </c>
      <c r="F839" s="5">
        <f t="shared" si="54"/>
        <v>3157729</v>
      </c>
      <c r="G839" s="6">
        <f>SQRT(SUM($F$2:F839)/A839)</f>
        <v>1211.5333924815493</v>
      </c>
      <c r="H839" s="5">
        <f t="shared" si="55"/>
        <v>1</v>
      </c>
      <c r="I839" s="5">
        <f t="shared" si="56"/>
        <v>0</v>
      </c>
    </row>
    <row r="840" spans="1:9">
      <c r="A840">
        <v>839</v>
      </c>
      <c r="B840">
        <v>17</v>
      </c>
      <c r="C840">
        <v>9000</v>
      </c>
      <c r="D840">
        <v>8685</v>
      </c>
      <c r="E840" s="5">
        <f t="shared" si="53"/>
        <v>315</v>
      </c>
      <c r="F840" s="5">
        <f t="shared" si="54"/>
        <v>99225</v>
      </c>
      <c r="G840" s="6">
        <f>SQRT(SUM($F$2:F840)/A840)</f>
        <v>1210.8600032855222</v>
      </c>
      <c r="H840" s="5">
        <f t="shared" si="55"/>
        <v>1</v>
      </c>
      <c r="I840" s="5">
        <f t="shared" si="56"/>
        <v>1</v>
      </c>
    </row>
    <row r="841" spans="1:9">
      <c r="A841">
        <v>840</v>
      </c>
      <c r="B841">
        <v>16</v>
      </c>
      <c r="C841">
        <v>9000</v>
      </c>
      <c r="D841">
        <v>8889</v>
      </c>
      <c r="E841" s="5">
        <f t="shared" si="53"/>
        <v>111</v>
      </c>
      <c r="F841" s="5">
        <f t="shared" si="54"/>
        <v>12321</v>
      </c>
      <c r="G841" s="6">
        <f>SQRT(SUM($F$2:F841)/A841)</f>
        <v>1210.1450990332878</v>
      </c>
      <c r="H841" s="5">
        <f t="shared" si="55"/>
        <v>1</v>
      </c>
      <c r="I841" s="5">
        <f t="shared" si="56"/>
        <v>1</v>
      </c>
    </row>
    <row r="842" spans="1:9">
      <c r="A842">
        <v>841</v>
      </c>
      <c r="B842">
        <v>16</v>
      </c>
      <c r="C842">
        <v>9000</v>
      </c>
      <c r="D842">
        <v>9091</v>
      </c>
      <c r="E842" s="5">
        <f t="shared" si="53"/>
        <v>91</v>
      </c>
      <c r="F842" s="5">
        <f t="shared" si="54"/>
        <v>8281</v>
      </c>
      <c r="G842" s="6">
        <f>SQRT(SUM($F$2:F842)/A842)</f>
        <v>1209.4294878528431</v>
      </c>
      <c r="H842" s="5">
        <f t="shared" si="55"/>
        <v>1</v>
      </c>
      <c r="I842" s="5">
        <f t="shared" si="56"/>
        <v>1</v>
      </c>
    </row>
    <row r="843" spans="1:9">
      <c r="A843">
        <v>842</v>
      </c>
      <c r="B843">
        <v>15</v>
      </c>
      <c r="C843">
        <v>9000</v>
      </c>
      <c r="D843">
        <v>8391</v>
      </c>
      <c r="E843" s="5">
        <f t="shared" si="53"/>
        <v>609</v>
      </c>
      <c r="F843" s="5">
        <f t="shared" si="54"/>
        <v>370881</v>
      </c>
      <c r="G843" s="6">
        <f>SQRT(SUM($F$2:F843)/A843)</f>
        <v>1208.8932812941739</v>
      </c>
      <c r="H843" s="5">
        <f t="shared" si="55"/>
        <v>1</v>
      </c>
      <c r="I843" s="5">
        <f t="shared" si="56"/>
        <v>1</v>
      </c>
    </row>
    <row r="844" spans="1:9">
      <c r="A844">
        <v>843</v>
      </c>
      <c r="B844">
        <v>16</v>
      </c>
      <c r="C844">
        <v>9000</v>
      </c>
      <c r="D844">
        <v>9817</v>
      </c>
      <c r="E844" s="5">
        <f t="shared" si="53"/>
        <v>817</v>
      </c>
      <c r="F844" s="5">
        <f t="shared" si="54"/>
        <v>667489</v>
      </c>
      <c r="G844" s="6">
        <f>SQRT(SUM($F$2:F844)/A844)</f>
        <v>1208.5036903676653</v>
      </c>
      <c r="H844" s="5">
        <f t="shared" si="55"/>
        <v>1</v>
      </c>
      <c r="I844" s="5">
        <f t="shared" si="56"/>
        <v>1</v>
      </c>
    </row>
    <row r="845" spans="1:9">
      <c r="A845">
        <v>844</v>
      </c>
      <c r="B845">
        <v>15</v>
      </c>
      <c r="C845">
        <v>9000</v>
      </c>
      <c r="D845">
        <v>9212</v>
      </c>
      <c r="E845" s="5">
        <f t="shared" si="53"/>
        <v>212</v>
      </c>
      <c r="F845" s="5">
        <f t="shared" si="54"/>
        <v>44944</v>
      </c>
      <c r="G845" s="6">
        <f>SQRT(SUM($F$2:F845)/A845)</f>
        <v>1207.809584699093</v>
      </c>
      <c r="H845" s="5">
        <f t="shared" si="55"/>
        <v>1</v>
      </c>
      <c r="I845" s="5">
        <f t="shared" si="56"/>
        <v>1</v>
      </c>
    </row>
    <row r="846" spans="1:9">
      <c r="A846">
        <v>845</v>
      </c>
      <c r="B846">
        <v>15</v>
      </c>
      <c r="C846">
        <v>9000</v>
      </c>
      <c r="D846">
        <v>9676</v>
      </c>
      <c r="E846" s="5">
        <f t="shared" si="53"/>
        <v>676</v>
      </c>
      <c r="F846" s="5">
        <f t="shared" si="54"/>
        <v>456976</v>
      </c>
      <c r="G846" s="6">
        <f>SQRT(SUM($F$2:F846)/A846)</f>
        <v>1207.3186810586242</v>
      </c>
      <c r="H846" s="5">
        <f t="shared" si="55"/>
        <v>1</v>
      </c>
      <c r="I846" s="5">
        <f t="shared" si="56"/>
        <v>1</v>
      </c>
    </row>
    <row r="847" spans="1:9">
      <c r="A847">
        <v>846</v>
      </c>
      <c r="B847">
        <v>15</v>
      </c>
      <c r="C847">
        <v>9000</v>
      </c>
      <c r="D847">
        <v>8717</v>
      </c>
      <c r="E847" s="5">
        <f t="shared" si="53"/>
        <v>283</v>
      </c>
      <c r="F847" s="5">
        <f t="shared" si="54"/>
        <v>80089</v>
      </c>
      <c r="G847" s="6">
        <f>SQRT(SUM($F$2:F847)/A847)</f>
        <v>1206.6441531342803</v>
      </c>
      <c r="H847" s="5">
        <f t="shared" si="55"/>
        <v>1</v>
      </c>
      <c r="I847" s="5">
        <f t="shared" si="56"/>
        <v>1</v>
      </c>
    </row>
    <row r="848" spans="1:9">
      <c r="A848">
        <v>847</v>
      </c>
      <c r="B848">
        <v>16</v>
      </c>
      <c r="C848">
        <v>9000</v>
      </c>
      <c r="D848">
        <v>8967</v>
      </c>
      <c r="E848" s="5">
        <f t="shared" si="53"/>
        <v>33</v>
      </c>
      <c r="F848" s="5">
        <f t="shared" si="54"/>
        <v>1089</v>
      </c>
      <c r="G848" s="6">
        <f>SQRT(SUM($F$2:F848)/A848)</f>
        <v>1205.9321711509172</v>
      </c>
      <c r="H848" s="5">
        <f t="shared" si="55"/>
        <v>1</v>
      </c>
      <c r="I848" s="5">
        <f t="shared" si="56"/>
        <v>1</v>
      </c>
    </row>
    <row r="849" spans="1:9">
      <c r="A849">
        <v>848</v>
      </c>
      <c r="B849">
        <v>15</v>
      </c>
      <c r="C849">
        <v>9000</v>
      </c>
      <c r="D849">
        <v>9646</v>
      </c>
      <c r="E849" s="5">
        <f t="shared" si="53"/>
        <v>646</v>
      </c>
      <c r="F849" s="5">
        <f t="shared" si="54"/>
        <v>417316</v>
      </c>
      <c r="G849" s="6">
        <f>SQRT(SUM($F$2:F849)/A849)</f>
        <v>1205.4250600811724</v>
      </c>
      <c r="H849" s="5">
        <f t="shared" si="55"/>
        <v>1</v>
      </c>
      <c r="I849" s="5">
        <f t="shared" si="56"/>
        <v>1</v>
      </c>
    </row>
    <row r="850" spans="1:9">
      <c r="A850">
        <v>849</v>
      </c>
      <c r="B850">
        <v>15</v>
      </c>
      <c r="C850">
        <v>9000</v>
      </c>
      <c r="D850">
        <v>9404</v>
      </c>
      <c r="E850" s="5">
        <f t="shared" si="53"/>
        <v>404</v>
      </c>
      <c r="F850" s="5">
        <f t="shared" si="54"/>
        <v>163216</v>
      </c>
      <c r="G850" s="6">
        <f>SQRT(SUM($F$2:F850)/A850)</f>
        <v>1204.7947281038801</v>
      </c>
      <c r="H850" s="5">
        <f t="shared" si="55"/>
        <v>1</v>
      </c>
      <c r="I850" s="5">
        <f t="shared" si="56"/>
        <v>1</v>
      </c>
    </row>
    <row r="851" spans="1:9">
      <c r="A851">
        <v>850</v>
      </c>
      <c r="B851">
        <v>15</v>
      </c>
      <c r="C851">
        <v>9000</v>
      </c>
      <c r="D851">
        <v>9535</v>
      </c>
      <c r="E851" s="5">
        <f t="shared" si="53"/>
        <v>535</v>
      </c>
      <c r="F851" s="5">
        <f t="shared" si="54"/>
        <v>286225</v>
      </c>
      <c r="G851" s="6">
        <f>SQRT(SUM($F$2:F851)/A851)</f>
        <v>1204.2256389114809</v>
      </c>
      <c r="H851" s="5">
        <f t="shared" si="55"/>
        <v>1</v>
      </c>
      <c r="I851" s="5">
        <f t="shared" si="56"/>
        <v>1</v>
      </c>
    </row>
    <row r="852" spans="1:9">
      <c r="A852">
        <v>851</v>
      </c>
      <c r="B852">
        <v>14</v>
      </c>
      <c r="C852">
        <v>9000</v>
      </c>
      <c r="D852">
        <v>8854</v>
      </c>
      <c r="E852" s="5">
        <f t="shared" si="53"/>
        <v>146</v>
      </c>
      <c r="F852" s="5">
        <f t="shared" si="54"/>
        <v>21316</v>
      </c>
      <c r="G852" s="6">
        <f>SQRT(SUM($F$2:F852)/A852)</f>
        <v>1203.5283014964532</v>
      </c>
      <c r="H852" s="5">
        <f t="shared" si="55"/>
        <v>1</v>
      </c>
      <c r="I852" s="5">
        <f t="shared" si="56"/>
        <v>1</v>
      </c>
    </row>
    <row r="853" spans="1:9">
      <c r="A853">
        <v>852</v>
      </c>
      <c r="B853">
        <v>15</v>
      </c>
      <c r="C853">
        <v>9000</v>
      </c>
      <c r="D853">
        <v>9236</v>
      </c>
      <c r="E853" s="5">
        <f t="shared" si="53"/>
        <v>236</v>
      </c>
      <c r="F853" s="5">
        <f t="shared" si="54"/>
        <v>55696</v>
      </c>
      <c r="G853" s="6">
        <f>SQRT(SUM($F$2:F853)/A853)</f>
        <v>1202.8489718418655</v>
      </c>
      <c r="H853" s="5">
        <f t="shared" si="55"/>
        <v>1</v>
      </c>
      <c r="I853" s="5">
        <f t="shared" si="56"/>
        <v>1</v>
      </c>
    </row>
    <row r="854" spans="1:9">
      <c r="A854">
        <v>853</v>
      </c>
      <c r="B854">
        <v>15</v>
      </c>
      <c r="C854">
        <v>9000</v>
      </c>
      <c r="D854">
        <v>7824</v>
      </c>
      <c r="E854" s="5">
        <f t="shared" si="53"/>
        <v>1176</v>
      </c>
      <c r="F854" s="5">
        <f t="shared" si="54"/>
        <v>1382976</v>
      </c>
      <c r="G854" s="6">
        <f>SQRT(SUM($F$2:F854)/A854)</f>
        <v>1202.8178467945215</v>
      </c>
      <c r="H854" s="5">
        <f t="shared" si="55"/>
        <v>1</v>
      </c>
      <c r="I854" s="5">
        <f t="shared" si="56"/>
        <v>0</v>
      </c>
    </row>
    <row r="855" spans="1:9">
      <c r="A855">
        <v>854</v>
      </c>
      <c r="B855">
        <v>17</v>
      </c>
      <c r="C855">
        <v>9000</v>
      </c>
      <c r="D855">
        <v>9234</v>
      </c>
      <c r="E855" s="5">
        <f t="shared" si="53"/>
        <v>234</v>
      </c>
      <c r="F855" s="5">
        <f t="shared" si="54"/>
        <v>54756</v>
      </c>
      <c r="G855" s="6">
        <f>SQRT(SUM($F$2:F855)/A855)</f>
        <v>1202.1400828058786</v>
      </c>
      <c r="H855" s="5">
        <f t="shared" si="55"/>
        <v>1</v>
      </c>
      <c r="I855" s="5">
        <f t="shared" si="56"/>
        <v>1</v>
      </c>
    </row>
    <row r="856" spans="1:9">
      <c r="A856">
        <v>855</v>
      </c>
      <c r="B856">
        <v>15</v>
      </c>
      <c r="C856">
        <v>9000</v>
      </c>
      <c r="D856">
        <v>8507</v>
      </c>
      <c r="E856" s="5">
        <f t="shared" si="53"/>
        <v>493</v>
      </c>
      <c r="F856" s="5">
        <f t="shared" si="54"/>
        <v>243049</v>
      </c>
      <c r="G856" s="6">
        <f>SQRT(SUM($F$2:F856)/A856)</f>
        <v>1201.5551686842402</v>
      </c>
      <c r="H856" s="5">
        <f t="shared" si="55"/>
        <v>1</v>
      </c>
      <c r="I856" s="5">
        <f t="shared" si="56"/>
        <v>1</v>
      </c>
    </row>
    <row r="857" spans="1:9">
      <c r="A857">
        <v>856</v>
      </c>
      <c r="B857">
        <v>16</v>
      </c>
      <c r="C857">
        <v>9000</v>
      </c>
      <c r="D857">
        <v>8611</v>
      </c>
      <c r="E857" s="5">
        <f t="shared" si="53"/>
        <v>389</v>
      </c>
      <c r="F857" s="5">
        <f t="shared" si="54"/>
        <v>151321</v>
      </c>
      <c r="G857" s="6">
        <f>SQRT(SUM($F$2:F857)/A857)</f>
        <v>1200.9267230596872</v>
      </c>
      <c r="H857" s="5">
        <f t="shared" si="55"/>
        <v>1</v>
      </c>
      <c r="I857" s="5">
        <f t="shared" si="56"/>
        <v>1</v>
      </c>
    </row>
    <row r="858" spans="1:9">
      <c r="A858">
        <v>857</v>
      </c>
      <c r="B858">
        <v>16</v>
      </c>
      <c r="C858">
        <v>9000</v>
      </c>
      <c r="D858">
        <v>10066</v>
      </c>
      <c r="E858" s="5">
        <f t="shared" si="53"/>
        <v>1066</v>
      </c>
      <c r="F858" s="5">
        <f t="shared" si="54"/>
        <v>1136356</v>
      </c>
      <c r="G858" s="6">
        <f>SQRT(SUM($F$2:F858)/A858)</f>
        <v>1200.7781175198795</v>
      </c>
      <c r="H858" s="5">
        <f t="shared" si="55"/>
        <v>1</v>
      </c>
      <c r="I858" s="5">
        <f t="shared" si="56"/>
        <v>0</v>
      </c>
    </row>
    <row r="859" spans="1:9">
      <c r="A859">
        <v>858</v>
      </c>
      <c r="B859">
        <v>14</v>
      </c>
      <c r="C859">
        <v>9000</v>
      </c>
      <c r="D859">
        <v>7788</v>
      </c>
      <c r="E859" s="5">
        <f t="shared" si="53"/>
        <v>1212</v>
      </c>
      <c r="F859" s="5">
        <f t="shared" si="54"/>
        <v>1468944</v>
      </c>
      <c r="G859" s="6">
        <f>SQRT(SUM($F$2:F859)/A859)</f>
        <v>1200.7912576805948</v>
      </c>
      <c r="H859" s="5">
        <f t="shared" si="55"/>
        <v>1</v>
      </c>
      <c r="I859" s="5">
        <f t="shared" si="56"/>
        <v>0</v>
      </c>
    </row>
    <row r="860" spans="1:9">
      <c r="A860">
        <v>859</v>
      </c>
      <c r="B860">
        <v>17</v>
      </c>
      <c r="C860">
        <v>9000</v>
      </c>
      <c r="D860">
        <v>9749</v>
      </c>
      <c r="E860" s="5">
        <f t="shared" si="53"/>
        <v>749</v>
      </c>
      <c r="F860" s="5">
        <f t="shared" si="54"/>
        <v>561001</v>
      </c>
      <c r="G860" s="6">
        <f>SQRT(SUM($F$2:F860)/A860)</f>
        <v>1200.3641744648855</v>
      </c>
      <c r="H860" s="5">
        <f t="shared" si="55"/>
        <v>1</v>
      </c>
      <c r="I860" s="5">
        <f t="shared" si="56"/>
        <v>1</v>
      </c>
    </row>
    <row r="861" spans="1:9">
      <c r="A861">
        <v>860</v>
      </c>
      <c r="B861">
        <v>14</v>
      </c>
      <c r="C861">
        <v>9000</v>
      </c>
      <c r="D861">
        <v>8425</v>
      </c>
      <c r="E861" s="5">
        <f t="shared" si="53"/>
        <v>575</v>
      </c>
      <c r="F861" s="5">
        <f t="shared" si="54"/>
        <v>330625</v>
      </c>
      <c r="G861" s="6">
        <f>SQRT(SUM($F$2:F861)/A861)</f>
        <v>1199.8263057432473</v>
      </c>
      <c r="H861" s="5">
        <f t="shared" si="55"/>
        <v>1</v>
      </c>
      <c r="I861" s="5">
        <f t="shared" si="56"/>
        <v>1</v>
      </c>
    </row>
    <row r="862" spans="1:9">
      <c r="A862">
        <v>861</v>
      </c>
      <c r="B862">
        <v>16</v>
      </c>
      <c r="C862">
        <v>9000</v>
      </c>
      <c r="D862">
        <v>9764</v>
      </c>
      <c r="E862" s="5">
        <f t="shared" si="53"/>
        <v>764</v>
      </c>
      <c r="F862" s="5">
        <f t="shared" si="54"/>
        <v>583696</v>
      </c>
      <c r="G862" s="6">
        <f>SQRT(SUM($F$2:F862)/A862)</f>
        <v>1199.4119818505801</v>
      </c>
      <c r="H862" s="5">
        <f t="shared" si="55"/>
        <v>1</v>
      </c>
      <c r="I862" s="5">
        <f t="shared" si="56"/>
        <v>1</v>
      </c>
    </row>
    <row r="863" spans="1:9">
      <c r="A863">
        <v>862</v>
      </c>
      <c r="B863">
        <v>14</v>
      </c>
      <c r="C863">
        <v>9000</v>
      </c>
      <c r="D863">
        <v>8448</v>
      </c>
      <c r="E863" s="5">
        <f t="shared" si="53"/>
        <v>552</v>
      </c>
      <c r="F863" s="5">
        <f t="shared" si="54"/>
        <v>304704</v>
      </c>
      <c r="G863" s="6">
        <f>SQRT(SUM($F$2:F863)/A863)</f>
        <v>1198.8634994256938</v>
      </c>
      <c r="H863" s="5">
        <f t="shared" si="55"/>
        <v>1</v>
      </c>
      <c r="I863" s="5">
        <f t="shared" si="56"/>
        <v>1</v>
      </c>
    </row>
    <row r="864" spans="1:9">
      <c r="A864">
        <v>863</v>
      </c>
      <c r="B864">
        <v>16</v>
      </c>
      <c r="C864">
        <v>9000</v>
      </c>
      <c r="D864">
        <v>9326</v>
      </c>
      <c r="E864" s="5">
        <f t="shared" si="53"/>
        <v>326</v>
      </c>
      <c r="F864" s="5">
        <f t="shared" si="54"/>
        <v>106276</v>
      </c>
      <c r="G864" s="6">
        <f>SQRT(SUM($F$2:F864)/A864)</f>
        <v>1198.2200960631155</v>
      </c>
      <c r="H864" s="5">
        <f t="shared" si="55"/>
        <v>1</v>
      </c>
      <c r="I864" s="5">
        <f t="shared" si="56"/>
        <v>1</v>
      </c>
    </row>
    <row r="865" spans="1:9">
      <c r="A865">
        <v>864</v>
      </c>
      <c r="B865">
        <v>15</v>
      </c>
      <c r="C865">
        <v>9000</v>
      </c>
      <c r="D865">
        <v>8827</v>
      </c>
      <c r="E865" s="5">
        <f t="shared" si="53"/>
        <v>173</v>
      </c>
      <c r="F865" s="5">
        <f t="shared" si="54"/>
        <v>29929</v>
      </c>
      <c r="G865" s="6">
        <f>SQRT(SUM($F$2:F865)/A865)</f>
        <v>1197.5409439764471</v>
      </c>
      <c r="H865" s="5">
        <f t="shared" si="55"/>
        <v>1</v>
      </c>
      <c r="I865" s="5">
        <f t="shared" si="56"/>
        <v>1</v>
      </c>
    </row>
    <row r="866" spans="1:9">
      <c r="A866">
        <v>865</v>
      </c>
      <c r="B866">
        <v>15</v>
      </c>
      <c r="C866">
        <v>9000</v>
      </c>
      <c r="D866">
        <v>9243</v>
      </c>
      <c r="E866" s="5">
        <f t="shared" si="53"/>
        <v>243</v>
      </c>
      <c r="F866" s="5">
        <f t="shared" si="54"/>
        <v>59049</v>
      </c>
      <c r="G866" s="6">
        <f>SQRT(SUM($F$2:F866)/A866)</f>
        <v>1196.8770417963538</v>
      </c>
      <c r="H866" s="5">
        <f t="shared" si="55"/>
        <v>1</v>
      </c>
      <c r="I866" s="5">
        <f t="shared" si="56"/>
        <v>1</v>
      </c>
    </row>
    <row r="867" spans="1:9">
      <c r="A867">
        <v>866</v>
      </c>
      <c r="B867">
        <v>15</v>
      </c>
      <c r="C867">
        <v>9000</v>
      </c>
      <c r="D867">
        <v>8632</v>
      </c>
      <c r="E867" s="5">
        <f t="shared" si="53"/>
        <v>368</v>
      </c>
      <c r="F867" s="5">
        <f t="shared" si="54"/>
        <v>135424</v>
      </c>
      <c r="G867" s="6">
        <f>SQRT(SUM($F$2:F867)/A867)</f>
        <v>1196.2511684289664</v>
      </c>
      <c r="H867" s="5">
        <f t="shared" si="55"/>
        <v>1</v>
      </c>
      <c r="I867" s="5">
        <f t="shared" si="56"/>
        <v>1</v>
      </c>
    </row>
    <row r="868" spans="1:9">
      <c r="A868">
        <v>867</v>
      </c>
      <c r="B868">
        <v>16</v>
      </c>
      <c r="C868">
        <v>9000</v>
      </c>
      <c r="D868">
        <v>9957</v>
      </c>
      <c r="E868" s="5">
        <f t="shared" si="53"/>
        <v>957</v>
      </c>
      <c r="F868" s="5">
        <f t="shared" si="54"/>
        <v>915849</v>
      </c>
      <c r="G868" s="6">
        <f>SQRT(SUM($F$2:F868)/A868)</f>
        <v>1196.0027851359948</v>
      </c>
      <c r="H868" s="5">
        <f t="shared" si="55"/>
        <v>1</v>
      </c>
      <c r="I868" s="5">
        <f t="shared" si="56"/>
        <v>0</v>
      </c>
    </row>
    <row r="869" spans="1:9">
      <c r="A869">
        <v>868</v>
      </c>
      <c r="B869">
        <v>14</v>
      </c>
      <c r="C869">
        <v>9000</v>
      </c>
      <c r="D869">
        <v>8967</v>
      </c>
      <c r="E869" s="5">
        <f t="shared" si="53"/>
        <v>33</v>
      </c>
      <c r="F869" s="5">
        <f t="shared" si="54"/>
        <v>1089</v>
      </c>
      <c r="G869" s="6">
        <f>SQRT(SUM($F$2:F869)/A869)</f>
        <v>1195.3141697000476</v>
      </c>
      <c r="H869" s="5">
        <f t="shared" si="55"/>
        <v>1</v>
      </c>
      <c r="I869" s="5">
        <f t="shared" si="56"/>
        <v>1</v>
      </c>
    </row>
    <row r="870" spans="1:9">
      <c r="A870">
        <v>869</v>
      </c>
      <c r="B870">
        <v>15</v>
      </c>
      <c r="C870">
        <v>9000</v>
      </c>
      <c r="D870">
        <v>8139</v>
      </c>
      <c r="E870" s="5">
        <f t="shared" si="53"/>
        <v>861</v>
      </c>
      <c r="F870" s="5">
        <f t="shared" si="54"/>
        <v>741321</v>
      </c>
      <c r="G870" s="6">
        <f>SQRT(SUM($F$2:F870)/A870)</f>
        <v>1194.9832119615596</v>
      </c>
      <c r="H870" s="5">
        <f t="shared" si="55"/>
        <v>1</v>
      </c>
      <c r="I870" s="5">
        <f t="shared" si="56"/>
        <v>1</v>
      </c>
    </row>
    <row r="871" spans="1:9">
      <c r="A871">
        <v>870</v>
      </c>
      <c r="B871">
        <v>16</v>
      </c>
      <c r="C871">
        <v>9000</v>
      </c>
      <c r="D871">
        <v>9978</v>
      </c>
      <c r="E871" s="5">
        <f t="shared" si="53"/>
        <v>978</v>
      </c>
      <c r="F871" s="5">
        <f t="shared" si="54"/>
        <v>956484</v>
      </c>
      <c r="G871" s="6">
        <f>SQRT(SUM($F$2:F871)/A871)</f>
        <v>1194.7564278291541</v>
      </c>
      <c r="H871" s="5">
        <f t="shared" si="55"/>
        <v>1</v>
      </c>
      <c r="I871" s="5">
        <f t="shared" si="56"/>
        <v>0</v>
      </c>
    </row>
    <row r="872" spans="1:9">
      <c r="A872">
        <v>871</v>
      </c>
      <c r="B872">
        <v>14</v>
      </c>
      <c r="C872">
        <v>9000</v>
      </c>
      <c r="D872">
        <v>9223</v>
      </c>
      <c r="E872" s="5">
        <f t="shared" si="53"/>
        <v>223</v>
      </c>
      <c r="F872" s="5">
        <f t="shared" si="54"/>
        <v>49729</v>
      </c>
      <c r="G872" s="6">
        <f>SQRT(SUM($F$2:F872)/A872)</f>
        <v>1194.0942846922883</v>
      </c>
      <c r="H872" s="5">
        <f t="shared" si="55"/>
        <v>1</v>
      </c>
      <c r="I872" s="5">
        <f t="shared" si="56"/>
        <v>1</v>
      </c>
    </row>
    <row r="873" spans="1:9">
      <c r="A873">
        <v>872</v>
      </c>
      <c r="B873">
        <v>15</v>
      </c>
      <c r="C873">
        <v>9000</v>
      </c>
      <c r="D873">
        <v>9349</v>
      </c>
      <c r="E873" s="5">
        <f t="shared" si="53"/>
        <v>349</v>
      </c>
      <c r="F873" s="5">
        <f t="shared" si="54"/>
        <v>121801</v>
      </c>
      <c r="G873" s="6">
        <f>SQRT(SUM($F$2:F873)/A873)</f>
        <v>1193.4679211856021</v>
      </c>
      <c r="H873" s="5">
        <f t="shared" si="55"/>
        <v>1</v>
      </c>
      <c r="I873" s="5">
        <f t="shared" si="56"/>
        <v>1</v>
      </c>
    </row>
    <row r="874" spans="1:9">
      <c r="A874">
        <v>873</v>
      </c>
      <c r="B874">
        <v>15</v>
      </c>
      <c r="C874">
        <v>9000</v>
      </c>
      <c r="D874">
        <v>9379</v>
      </c>
      <c r="E874" s="5">
        <f t="shared" si="53"/>
        <v>379</v>
      </c>
      <c r="F874" s="5">
        <f t="shared" si="54"/>
        <v>143641</v>
      </c>
      <c r="G874" s="6">
        <f>SQRT(SUM($F$2:F874)/A874)</f>
        <v>1192.8531511970505</v>
      </c>
      <c r="H874" s="5">
        <f t="shared" si="55"/>
        <v>1</v>
      </c>
      <c r="I874" s="5">
        <f t="shared" si="56"/>
        <v>1</v>
      </c>
    </row>
    <row r="875" spans="1:9">
      <c r="A875">
        <v>874</v>
      </c>
      <c r="B875">
        <v>14</v>
      </c>
      <c r="C875">
        <v>9000</v>
      </c>
      <c r="D875">
        <v>8091</v>
      </c>
      <c r="E875" s="5">
        <f t="shared" si="53"/>
        <v>909</v>
      </c>
      <c r="F875" s="5">
        <f t="shared" si="54"/>
        <v>826281</v>
      </c>
      <c r="G875" s="6">
        <f>SQRT(SUM($F$2:F875)/A875)</f>
        <v>1192.5669840481278</v>
      </c>
      <c r="H875" s="5">
        <f t="shared" si="55"/>
        <v>1</v>
      </c>
      <c r="I875" s="5">
        <f t="shared" si="56"/>
        <v>0</v>
      </c>
    </row>
    <row r="876" spans="1:9">
      <c r="A876">
        <v>875</v>
      </c>
      <c r="B876">
        <v>16</v>
      </c>
      <c r="C876">
        <v>9000</v>
      </c>
      <c r="D876">
        <v>8423</v>
      </c>
      <c r="E876" s="5">
        <f t="shared" si="53"/>
        <v>577</v>
      </c>
      <c r="F876" s="5">
        <f t="shared" si="54"/>
        <v>332929</v>
      </c>
      <c r="G876" s="6">
        <f>SQRT(SUM($F$2:F876)/A876)</f>
        <v>1192.0449286834787</v>
      </c>
      <c r="H876" s="5">
        <f t="shared" si="55"/>
        <v>1</v>
      </c>
      <c r="I876" s="5">
        <f t="shared" si="56"/>
        <v>1</v>
      </c>
    </row>
    <row r="877" spans="1:9">
      <c r="A877">
        <v>876</v>
      </c>
      <c r="B877">
        <v>16</v>
      </c>
      <c r="C877">
        <v>9000</v>
      </c>
      <c r="D877">
        <v>9633</v>
      </c>
      <c r="E877" s="5">
        <f t="shared" si="53"/>
        <v>633</v>
      </c>
      <c r="F877" s="5">
        <f t="shared" si="54"/>
        <v>400689</v>
      </c>
      <c r="G877" s="6">
        <f>SQRT(SUM($F$2:F877)/A877)</f>
        <v>1191.5562959393458</v>
      </c>
      <c r="H877" s="5">
        <f t="shared" si="55"/>
        <v>1</v>
      </c>
      <c r="I877" s="5">
        <f t="shared" si="56"/>
        <v>1</v>
      </c>
    </row>
    <row r="878" spans="1:9">
      <c r="A878">
        <v>877</v>
      </c>
      <c r="B878">
        <v>14</v>
      </c>
      <c r="C878">
        <v>9000</v>
      </c>
      <c r="D878">
        <v>8707</v>
      </c>
      <c r="E878" s="5">
        <f t="shared" si="53"/>
        <v>293</v>
      </c>
      <c r="F878" s="5">
        <f t="shared" si="54"/>
        <v>85849</v>
      </c>
      <c r="G878" s="6">
        <f>SQRT(SUM($F$2:F878)/A878)</f>
        <v>1190.9178646402406</v>
      </c>
      <c r="H878" s="5">
        <f t="shared" si="55"/>
        <v>1</v>
      </c>
      <c r="I878" s="5">
        <f t="shared" si="56"/>
        <v>1</v>
      </c>
    </row>
    <row r="879" spans="1:9">
      <c r="A879">
        <v>878</v>
      </c>
      <c r="B879">
        <v>15</v>
      </c>
      <c r="C879">
        <v>9000</v>
      </c>
      <c r="D879">
        <v>9030</v>
      </c>
      <c r="E879" s="5">
        <f t="shared" si="53"/>
        <v>30</v>
      </c>
      <c r="F879" s="5">
        <f t="shared" si="54"/>
        <v>900</v>
      </c>
      <c r="G879" s="6">
        <f>SQRT(SUM($F$2:F879)/A879)</f>
        <v>1190.2399027909878</v>
      </c>
      <c r="H879" s="5">
        <f t="shared" si="55"/>
        <v>1</v>
      </c>
      <c r="I879" s="5">
        <f t="shared" si="56"/>
        <v>1</v>
      </c>
    </row>
    <row r="880" spans="1:9">
      <c r="A880">
        <v>879</v>
      </c>
      <c r="B880">
        <v>15</v>
      </c>
      <c r="C880">
        <v>9000</v>
      </c>
      <c r="D880">
        <v>8646</v>
      </c>
      <c r="E880" s="5">
        <f t="shared" si="53"/>
        <v>354</v>
      </c>
      <c r="F880" s="5">
        <f t="shared" si="54"/>
        <v>125316</v>
      </c>
      <c r="G880" s="6">
        <f>SQRT(SUM($F$2:F880)/A880)</f>
        <v>1189.622590509204</v>
      </c>
      <c r="H880" s="5">
        <f t="shared" si="55"/>
        <v>1</v>
      </c>
      <c r="I880" s="5">
        <f t="shared" si="56"/>
        <v>1</v>
      </c>
    </row>
    <row r="881" spans="1:9">
      <c r="A881">
        <v>880</v>
      </c>
      <c r="B881">
        <v>16</v>
      </c>
      <c r="C881">
        <v>9000</v>
      </c>
      <c r="D881">
        <v>8929</v>
      </c>
      <c r="E881" s="5">
        <f t="shared" si="53"/>
        <v>71</v>
      </c>
      <c r="F881" s="5">
        <f t="shared" si="54"/>
        <v>5041</v>
      </c>
      <c r="G881" s="6">
        <f>SQRT(SUM($F$2:F881)/A881)</f>
        <v>1188.948885475203</v>
      </c>
      <c r="H881" s="5">
        <f t="shared" si="55"/>
        <v>1</v>
      </c>
      <c r="I881" s="5">
        <f t="shared" si="56"/>
        <v>1</v>
      </c>
    </row>
    <row r="882" spans="1:9">
      <c r="A882">
        <v>881</v>
      </c>
      <c r="B882">
        <v>15</v>
      </c>
      <c r="C882">
        <v>9000</v>
      </c>
      <c r="D882">
        <v>8903</v>
      </c>
      <c r="E882" s="5">
        <f t="shared" si="53"/>
        <v>97</v>
      </c>
      <c r="F882" s="5">
        <f t="shared" si="54"/>
        <v>9409</v>
      </c>
      <c r="G882" s="6">
        <f>SQRT(SUM($F$2:F882)/A882)</f>
        <v>1188.2784154012531</v>
      </c>
      <c r="H882" s="5">
        <f t="shared" si="55"/>
        <v>1</v>
      </c>
      <c r="I882" s="5">
        <f t="shared" si="56"/>
        <v>1</v>
      </c>
    </row>
    <row r="883" spans="1:9">
      <c r="A883">
        <v>882</v>
      </c>
      <c r="B883">
        <v>15</v>
      </c>
      <c r="C883">
        <v>9000</v>
      </c>
      <c r="D883">
        <v>8396</v>
      </c>
      <c r="E883" s="5">
        <f t="shared" si="53"/>
        <v>604</v>
      </c>
      <c r="F883" s="5">
        <f t="shared" si="54"/>
        <v>364816</v>
      </c>
      <c r="G883" s="6">
        <f>SQRT(SUM($F$2:F883)/A883)</f>
        <v>1187.778726329567</v>
      </c>
      <c r="H883" s="5">
        <f t="shared" si="55"/>
        <v>1</v>
      </c>
      <c r="I883" s="5">
        <f t="shared" si="56"/>
        <v>1</v>
      </c>
    </row>
    <row r="884" spans="1:9">
      <c r="A884">
        <v>883</v>
      </c>
      <c r="B884">
        <v>16</v>
      </c>
      <c r="C884">
        <v>9000</v>
      </c>
      <c r="D884">
        <v>8591</v>
      </c>
      <c r="E884" s="5">
        <f t="shared" si="53"/>
        <v>409</v>
      </c>
      <c r="F884" s="5">
        <f t="shared" si="54"/>
        <v>167281</v>
      </c>
      <c r="G884" s="6">
        <f>SQRT(SUM($F$2:F884)/A884)</f>
        <v>1187.1857450310727</v>
      </c>
      <c r="H884" s="5">
        <f t="shared" si="55"/>
        <v>1</v>
      </c>
      <c r="I884" s="5">
        <f t="shared" si="56"/>
        <v>1</v>
      </c>
    </row>
    <row r="885" spans="1:9">
      <c r="A885">
        <v>884</v>
      </c>
      <c r="B885">
        <v>16</v>
      </c>
      <c r="C885">
        <v>9000</v>
      </c>
      <c r="D885">
        <v>9848</v>
      </c>
      <c r="E885" s="5">
        <f t="shared" si="53"/>
        <v>848</v>
      </c>
      <c r="F885" s="5">
        <f t="shared" si="54"/>
        <v>719104</v>
      </c>
      <c r="G885" s="6">
        <f>SQRT(SUM($F$2:F885)/A885)</f>
        <v>1186.856817005488</v>
      </c>
      <c r="H885" s="5">
        <f t="shared" si="55"/>
        <v>1</v>
      </c>
      <c r="I885" s="5">
        <f t="shared" si="56"/>
        <v>1</v>
      </c>
    </row>
    <row r="886" spans="1:9">
      <c r="A886">
        <v>885</v>
      </c>
      <c r="B886">
        <v>14</v>
      </c>
      <c r="C886">
        <v>9000</v>
      </c>
      <c r="D886">
        <v>7746</v>
      </c>
      <c r="E886" s="5">
        <f t="shared" si="53"/>
        <v>1254</v>
      </c>
      <c r="F886" s="5">
        <f t="shared" si="54"/>
        <v>1572516</v>
      </c>
      <c r="G886" s="6">
        <f>SQRT(SUM($F$2:F886)/A886)</f>
        <v>1186.9348284575904</v>
      </c>
      <c r="H886" s="5">
        <f t="shared" si="55"/>
        <v>1</v>
      </c>
      <c r="I886" s="5">
        <f t="shared" si="56"/>
        <v>0</v>
      </c>
    </row>
    <row r="887" spans="1:9">
      <c r="A887">
        <v>886</v>
      </c>
      <c r="B887">
        <v>17</v>
      </c>
      <c r="C887">
        <v>9000</v>
      </c>
      <c r="D887">
        <v>9874</v>
      </c>
      <c r="E887" s="5">
        <f t="shared" si="53"/>
        <v>874</v>
      </c>
      <c r="F887" s="5">
        <f t="shared" si="54"/>
        <v>763876</v>
      </c>
      <c r="G887" s="6">
        <f>SQRT(SUM($F$2:F887)/A887)</f>
        <v>1186.6281497118159</v>
      </c>
      <c r="H887" s="5">
        <f t="shared" si="55"/>
        <v>1</v>
      </c>
      <c r="I887" s="5">
        <f t="shared" si="56"/>
        <v>1</v>
      </c>
    </row>
    <row r="888" spans="1:9">
      <c r="A888">
        <v>887</v>
      </c>
      <c r="B888">
        <v>14</v>
      </c>
      <c r="C888">
        <v>9000</v>
      </c>
      <c r="D888">
        <v>9107</v>
      </c>
      <c r="E888" s="5">
        <f t="shared" si="53"/>
        <v>107</v>
      </c>
      <c r="F888" s="5">
        <f t="shared" si="54"/>
        <v>11449</v>
      </c>
      <c r="G888" s="6">
        <f>SQRT(SUM($F$2:F888)/A888)</f>
        <v>1185.9645031390062</v>
      </c>
      <c r="H888" s="5">
        <f t="shared" si="55"/>
        <v>1</v>
      </c>
      <c r="I888" s="5">
        <f t="shared" si="56"/>
        <v>1</v>
      </c>
    </row>
    <row r="889" spans="1:9">
      <c r="A889">
        <v>888</v>
      </c>
      <c r="B889">
        <v>15</v>
      </c>
      <c r="C889">
        <v>9000</v>
      </c>
      <c r="D889">
        <v>8914</v>
      </c>
      <c r="E889" s="5">
        <f t="shared" si="53"/>
        <v>86</v>
      </c>
      <c r="F889" s="5">
        <f t="shared" si="54"/>
        <v>7396</v>
      </c>
      <c r="G889" s="6">
        <f>SQRT(SUM($F$2:F889)/A889)</f>
        <v>1185.3000556174993</v>
      </c>
      <c r="H889" s="5">
        <f t="shared" si="55"/>
        <v>1</v>
      </c>
      <c r="I889" s="5">
        <f t="shared" si="56"/>
        <v>1</v>
      </c>
    </row>
    <row r="890" spans="1:9">
      <c r="A890">
        <v>889</v>
      </c>
      <c r="B890">
        <v>15</v>
      </c>
      <c r="C890">
        <v>9000</v>
      </c>
      <c r="D890">
        <v>8380</v>
      </c>
      <c r="E890" s="5">
        <f t="shared" si="53"/>
        <v>620</v>
      </c>
      <c r="F890" s="5">
        <f t="shared" si="54"/>
        <v>384400</v>
      </c>
      <c r="G890" s="6">
        <f>SQRT(SUM($F$2:F890)/A890)</f>
        <v>1184.8157080711912</v>
      </c>
      <c r="H890" s="5">
        <f t="shared" si="55"/>
        <v>1</v>
      </c>
      <c r="I890" s="5">
        <f t="shared" si="56"/>
        <v>1</v>
      </c>
    </row>
    <row r="891" spans="1:9">
      <c r="A891">
        <v>890</v>
      </c>
      <c r="B891">
        <v>16</v>
      </c>
      <c r="C891">
        <v>9000</v>
      </c>
      <c r="D891">
        <v>9477</v>
      </c>
      <c r="E891" s="5">
        <f t="shared" si="53"/>
        <v>477</v>
      </c>
      <c r="F891" s="5">
        <f t="shared" si="54"/>
        <v>227529</v>
      </c>
      <c r="G891" s="6">
        <f>SQRT(SUM($F$2:F891)/A891)</f>
        <v>1184.2578361454528</v>
      </c>
      <c r="H891" s="5">
        <f t="shared" si="55"/>
        <v>1</v>
      </c>
      <c r="I891" s="5">
        <f t="shared" si="56"/>
        <v>1</v>
      </c>
    </row>
    <row r="892" spans="1:9">
      <c r="A892">
        <v>891</v>
      </c>
      <c r="B892">
        <v>15</v>
      </c>
      <c r="C892">
        <v>9000</v>
      </c>
      <c r="D892">
        <v>9427</v>
      </c>
      <c r="E892" s="5">
        <f t="shared" si="53"/>
        <v>427</v>
      </c>
      <c r="F892" s="5">
        <f t="shared" si="54"/>
        <v>182329</v>
      </c>
      <c r="G892" s="6">
        <f>SQRT(SUM($F$2:F892)/A892)</f>
        <v>1183.6795258757977</v>
      </c>
      <c r="H892" s="5">
        <f t="shared" si="55"/>
        <v>1</v>
      </c>
      <c r="I892" s="5">
        <f t="shared" si="56"/>
        <v>1</v>
      </c>
    </row>
    <row r="893" spans="1:9">
      <c r="A893">
        <v>892</v>
      </c>
      <c r="B893">
        <v>15</v>
      </c>
      <c r="C893">
        <v>9000</v>
      </c>
      <c r="D893">
        <v>8827</v>
      </c>
      <c r="E893" s="5">
        <f t="shared" si="53"/>
        <v>173</v>
      </c>
      <c r="F893" s="5">
        <f t="shared" si="54"/>
        <v>29929</v>
      </c>
      <c r="G893" s="6">
        <f>SQRT(SUM($F$2:F893)/A893)</f>
        <v>1183.0300232345921</v>
      </c>
      <c r="H893" s="5">
        <f t="shared" si="55"/>
        <v>1</v>
      </c>
      <c r="I893" s="5">
        <f t="shared" si="56"/>
        <v>1</v>
      </c>
    </row>
    <row r="894" spans="1:9">
      <c r="A894">
        <v>893</v>
      </c>
      <c r="B894">
        <v>16</v>
      </c>
      <c r="C894">
        <v>9000</v>
      </c>
      <c r="D894">
        <v>9292</v>
      </c>
      <c r="E894" s="5">
        <f t="shared" si="53"/>
        <v>292</v>
      </c>
      <c r="F894" s="5">
        <f t="shared" si="54"/>
        <v>85264</v>
      </c>
      <c r="G894" s="6">
        <f>SQRT(SUM($F$2:F894)/A894)</f>
        <v>1182.4078229606027</v>
      </c>
      <c r="H894" s="5">
        <f t="shared" si="55"/>
        <v>1</v>
      </c>
      <c r="I894" s="5">
        <f t="shared" si="56"/>
        <v>1</v>
      </c>
    </row>
    <row r="895" spans="1:9">
      <c r="A895">
        <v>894</v>
      </c>
      <c r="B895">
        <v>15</v>
      </c>
      <c r="C895">
        <v>9000</v>
      </c>
      <c r="D895">
        <v>7985</v>
      </c>
      <c r="E895" s="5">
        <f t="shared" si="53"/>
        <v>1015</v>
      </c>
      <c r="F895" s="5">
        <f t="shared" si="54"/>
        <v>1030225</v>
      </c>
      <c r="G895" s="6">
        <f>SQRT(SUM($F$2:F895)/A895)</f>
        <v>1182.2338092112143</v>
      </c>
      <c r="H895" s="5">
        <f t="shared" si="55"/>
        <v>1</v>
      </c>
      <c r="I895" s="5">
        <f t="shared" si="56"/>
        <v>0</v>
      </c>
    </row>
    <row r="896" spans="1:9">
      <c r="A896">
        <v>895</v>
      </c>
      <c r="B896">
        <v>17</v>
      </c>
      <c r="C896">
        <v>9000</v>
      </c>
      <c r="D896">
        <v>9810</v>
      </c>
      <c r="E896" s="5">
        <f t="shared" si="53"/>
        <v>810</v>
      </c>
      <c r="F896" s="5">
        <f t="shared" si="54"/>
        <v>656100</v>
      </c>
      <c r="G896" s="6">
        <f>SQRT(SUM($F$2:F896)/A896)</f>
        <v>1181.8833285204748</v>
      </c>
      <c r="H896" s="5">
        <f t="shared" si="55"/>
        <v>1</v>
      </c>
      <c r="I896" s="5">
        <f t="shared" si="56"/>
        <v>1</v>
      </c>
    </row>
    <row r="897" spans="1:9">
      <c r="A897">
        <v>896</v>
      </c>
      <c r="B897">
        <v>14</v>
      </c>
      <c r="C897">
        <v>9000</v>
      </c>
      <c r="D897">
        <v>5493</v>
      </c>
      <c r="E897" s="5">
        <f t="shared" si="53"/>
        <v>3507</v>
      </c>
      <c r="F897" s="5">
        <f t="shared" si="54"/>
        <v>12299049</v>
      </c>
      <c r="G897" s="6">
        <f>SQRT(SUM($F$2:F897)/A897)</f>
        <v>1187.0197290077244</v>
      </c>
      <c r="H897" s="5">
        <f t="shared" si="55"/>
        <v>0</v>
      </c>
      <c r="I897" s="5">
        <f t="shared" si="56"/>
        <v>0</v>
      </c>
    </row>
    <row r="898" spans="1:9">
      <c r="A898">
        <v>897</v>
      </c>
      <c r="B898">
        <v>20</v>
      </c>
      <c r="C898">
        <v>9000</v>
      </c>
      <c r="D898">
        <v>10409</v>
      </c>
      <c r="E898" s="5">
        <f t="shared" si="53"/>
        <v>1409</v>
      </c>
      <c r="F898" s="5">
        <f t="shared" si="54"/>
        <v>1985281</v>
      </c>
      <c r="G898" s="6">
        <f>SQRT(SUM($F$2:F898)/A898)</f>
        <v>1187.2903070153754</v>
      </c>
      <c r="H898" s="5">
        <f t="shared" si="55"/>
        <v>1</v>
      </c>
      <c r="I898" s="5">
        <f t="shared" si="56"/>
        <v>0</v>
      </c>
    </row>
    <row r="899" spans="1:9">
      <c r="A899">
        <v>898</v>
      </c>
      <c r="B899">
        <v>14</v>
      </c>
      <c r="C899">
        <v>9000</v>
      </c>
      <c r="D899">
        <v>8437</v>
      </c>
      <c r="E899" s="5">
        <f t="shared" ref="E899:E962" si="57">ABS(C899-D899)</f>
        <v>563</v>
      </c>
      <c r="F899" s="5">
        <f t="shared" ref="F899:F962" si="58">POWER(E899,2)</f>
        <v>316969</v>
      </c>
      <c r="G899" s="6">
        <f>SQRT(SUM($F$2:F899)/A899)</f>
        <v>1186.7777677110339</v>
      </c>
      <c r="H899" s="5">
        <f t="shared" ref="H899:H962" si="59">IF(ABS(E899)/C899&gt;0.2,0,1)</f>
        <v>1</v>
      </c>
      <c r="I899" s="5">
        <f t="shared" ref="I899:I962" si="60">IF(ABS(E899)/C899&gt;0.1,0,1)</f>
        <v>1</v>
      </c>
    </row>
    <row r="900" spans="1:9">
      <c r="A900">
        <v>899</v>
      </c>
      <c r="B900">
        <v>17</v>
      </c>
      <c r="C900">
        <v>9000</v>
      </c>
      <c r="D900">
        <v>9927</v>
      </c>
      <c r="E900" s="5">
        <f t="shared" si="57"/>
        <v>927</v>
      </c>
      <c r="F900" s="5">
        <f t="shared" si="58"/>
        <v>859329</v>
      </c>
      <c r="G900" s="6">
        <f>SQRT(SUM($F$2:F900)/A900)</f>
        <v>1186.5204028148376</v>
      </c>
      <c r="H900" s="5">
        <f t="shared" si="59"/>
        <v>1</v>
      </c>
      <c r="I900" s="5">
        <f t="shared" si="60"/>
        <v>0</v>
      </c>
    </row>
    <row r="901" spans="1:9">
      <c r="A901">
        <v>900</v>
      </c>
      <c r="B901">
        <v>15</v>
      </c>
      <c r="C901">
        <v>9000</v>
      </c>
      <c r="D901">
        <v>7879</v>
      </c>
      <c r="E901" s="5">
        <f t="shared" si="57"/>
        <v>1121</v>
      </c>
      <c r="F901" s="5">
        <f t="shared" si="58"/>
        <v>1256641</v>
      </c>
      <c r="G901" s="6">
        <f>SQRT(SUM($F$2:F901)/A901)</f>
        <v>1186.4496102986329</v>
      </c>
      <c r="H901" s="5">
        <f t="shared" si="59"/>
        <v>1</v>
      </c>
      <c r="I901" s="5">
        <f t="shared" si="60"/>
        <v>0</v>
      </c>
    </row>
    <row r="902" spans="1:9">
      <c r="A902">
        <v>901</v>
      </c>
      <c r="B902">
        <v>17</v>
      </c>
      <c r="C902">
        <v>5000</v>
      </c>
      <c r="D902">
        <v>9947</v>
      </c>
      <c r="E902" s="5">
        <f t="shared" si="57"/>
        <v>4947</v>
      </c>
      <c r="F902" s="5">
        <f t="shared" si="58"/>
        <v>24472809</v>
      </c>
      <c r="G902" s="6">
        <f>SQRT(SUM($F$2:F902)/A902)</f>
        <v>1197.1892808786888</v>
      </c>
      <c r="H902" s="5">
        <f t="shared" si="59"/>
        <v>0</v>
      </c>
      <c r="I902" s="5">
        <f t="shared" si="60"/>
        <v>0</v>
      </c>
    </row>
    <row r="903" spans="1:9">
      <c r="A903">
        <v>902</v>
      </c>
      <c r="B903">
        <v>10</v>
      </c>
      <c r="C903">
        <v>5000</v>
      </c>
      <c r="D903">
        <v>6272</v>
      </c>
      <c r="E903" s="5">
        <f t="shared" si="57"/>
        <v>1272</v>
      </c>
      <c r="F903" s="5">
        <f t="shared" si="58"/>
        <v>1617984</v>
      </c>
      <c r="G903" s="6">
        <f>SQRT(SUM($F$2:F903)/A903)</f>
        <v>1197.274807899978</v>
      </c>
      <c r="H903" s="5">
        <f t="shared" si="59"/>
        <v>0</v>
      </c>
      <c r="I903" s="5">
        <f t="shared" si="60"/>
        <v>0</v>
      </c>
    </row>
    <row r="904" spans="1:9">
      <c r="A904">
        <v>903</v>
      </c>
      <c r="B904">
        <v>13</v>
      </c>
      <c r="C904">
        <v>5000</v>
      </c>
      <c r="D904">
        <v>8058</v>
      </c>
      <c r="E904" s="5">
        <f t="shared" si="57"/>
        <v>3058</v>
      </c>
      <c r="F904" s="5">
        <f t="shared" si="58"/>
        <v>9351364</v>
      </c>
      <c r="G904" s="6">
        <f>SQRT(SUM($F$2:F904)/A904)</f>
        <v>1200.9310558420646</v>
      </c>
      <c r="H904" s="5">
        <f t="shared" si="59"/>
        <v>0</v>
      </c>
      <c r="I904" s="5">
        <f t="shared" si="60"/>
        <v>0</v>
      </c>
    </row>
    <row r="905" spans="1:9">
      <c r="A905">
        <v>904</v>
      </c>
      <c r="B905">
        <v>11</v>
      </c>
      <c r="C905">
        <v>5000</v>
      </c>
      <c r="D905">
        <v>6938</v>
      </c>
      <c r="E905" s="5">
        <f t="shared" si="57"/>
        <v>1938</v>
      </c>
      <c r="F905" s="5">
        <f t="shared" si="58"/>
        <v>3755844</v>
      </c>
      <c r="G905" s="6">
        <f>SQRT(SUM($F$2:F905)/A905)</f>
        <v>1201.9961324536898</v>
      </c>
      <c r="H905" s="5">
        <f t="shared" si="59"/>
        <v>0</v>
      </c>
      <c r="I905" s="5">
        <f t="shared" si="60"/>
        <v>0</v>
      </c>
    </row>
    <row r="906" spans="1:9">
      <c r="A906">
        <v>905</v>
      </c>
      <c r="B906">
        <v>11</v>
      </c>
      <c r="C906">
        <v>5000</v>
      </c>
      <c r="D906">
        <v>6799</v>
      </c>
      <c r="E906" s="5">
        <f t="shared" si="57"/>
        <v>1799</v>
      </c>
      <c r="F906" s="5">
        <f t="shared" si="58"/>
        <v>3236401</v>
      </c>
      <c r="G906" s="6">
        <f>SQRT(SUM($F$2:F906)/A906)</f>
        <v>1202.8193454964683</v>
      </c>
      <c r="H906" s="5">
        <f t="shared" si="59"/>
        <v>0</v>
      </c>
      <c r="I906" s="5">
        <f t="shared" si="60"/>
        <v>0</v>
      </c>
    </row>
    <row r="907" spans="1:9">
      <c r="A907">
        <v>906</v>
      </c>
      <c r="B907">
        <v>11</v>
      </c>
      <c r="C907">
        <v>5000</v>
      </c>
      <c r="D907">
        <v>7112</v>
      </c>
      <c r="E907" s="5">
        <f t="shared" si="57"/>
        <v>2112</v>
      </c>
      <c r="F907" s="5">
        <f t="shared" si="58"/>
        <v>4460544</v>
      </c>
      <c r="G907" s="6">
        <f>SQRT(SUM($F$2:F907)/A907)</f>
        <v>1204.2013263724161</v>
      </c>
      <c r="H907" s="5">
        <f t="shared" si="59"/>
        <v>0</v>
      </c>
      <c r="I907" s="5">
        <f t="shared" si="60"/>
        <v>0</v>
      </c>
    </row>
    <row r="908" spans="1:9">
      <c r="A908">
        <v>907</v>
      </c>
      <c r="B908">
        <v>10</v>
      </c>
      <c r="C908">
        <v>5000</v>
      </c>
      <c r="D908">
        <v>5968</v>
      </c>
      <c r="E908" s="5">
        <f t="shared" si="57"/>
        <v>968</v>
      </c>
      <c r="F908" s="5">
        <f t="shared" si="58"/>
        <v>937024</v>
      </c>
      <c r="G908" s="6">
        <f>SQRT(SUM($F$2:F908)/A908)</f>
        <v>1203.9664234696652</v>
      </c>
      <c r="H908" s="5">
        <f t="shared" si="59"/>
        <v>1</v>
      </c>
      <c r="I908" s="5">
        <f t="shared" si="60"/>
        <v>0</v>
      </c>
    </row>
    <row r="909" spans="1:9">
      <c r="A909">
        <v>908</v>
      </c>
      <c r="B909">
        <v>11</v>
      </c>
      <c r="C909">
        <v>5000</v>
      </c>
      <c r="D909">
        <v>6676</v>
      </c>
      <c r="E909" s="5">
        <f t="shared" si="57"/>
        <v>1676</v>
      </c>
      <c r="F909" s="5">
        <f t="shared" si="58"/>
        <v>2808976</v>
      </c>
      <c r="G909" s="6">
        <f>SQRT(SUM($F$2:F909)/A909)</f>
        <v>1204.5880334772032</v>
      </c>
      <c r="H909" s="5">
        <f t="shared" si="59"/>
        <v>0</v>
      </c>
      <c r="I909" s="5">
        <f t="shared" si="60"/>
        <v>0</v>
      </c>
    </row>
    <row r="910" spans="1:9">
      <c r="A910">
        <v>909</v>
      </c>
      <c r="B910">
        <v>10</v>
      </c>
      <c r="C910">
        <v>5000</v>
      </c>
      <c r="D910">
        <v>5816</v>
      </c>
      <c r="E910" s="5">
        <f t="shared" si="57"/>
        <v>816</v>
      </c>
      <c r="F910" s="5">
        <f t="shared" si="58"/>
        <v>665856</v>
      </c>
      <c r="G910" s="6">
        <f>SQRT(SUM($F$2:F910)/A910)</f>
        <v>1204.229442446499</v>
      </c>
      <c r="H910" s="5">
        <f t="shared" si="59"/>
        <v>1</v>
      </c>
      <c r="I910" s="5">
        <f t="shared" si="60"/>
        <v>0</v>
      </c>
    </row>
    <row r="911" spans="1:9">
      <c r="A911">
        <v>910</v>
      </c>
      <c r="B911">
        <v>11</v>
      </c>
      <c r="C911">
        <v>5000</v>
      </c>
      <c r="D911">
        <v>6499</v>
      </c>
      <c r="E911" s="5">
        <f t="shared" si="57"/>
        <v>1499</v>
      </c>
      <c r="F911" s="5">
        <f t="shared" si="58"/>
        <v>2247001</v>
      </c>
      <c r="G911" s="6">
        <f>SQRT(SUM($F$2:F911)/A911)</f>
        <v>1204.5929561930413</v>
      </c>
      <c r="H911" s="5">
        <f t="shared" si="59"/>
        <v>0</v>
      </c>
      <c r="I911" s="5">
        <f t="shared" si="60"/>
        <v>0</v>
      </c>
    </row>
    <row r="912" spans="1:9">
      <c r="A912">
        <v>911</v>
      </c>
      <c r="B912">
        <v>10</v>
      </c>
      <c r="C912">
        <v>5000</v>
      </c>
      <c r="D912">
        <v>6020</v>
      </c>
      <c r="E912" s="5">
        <f t="shared" si="57"/>
        <v>1020</v>
      </c>
      <c r="F912" s="5">
        <f t="shared" si="58"/>
        <v>1040400</v>
      </c>
      <c r="G912" s="6">
        <f>SQRT(SUM($F$2:F912)/A912)</f>
        <v>1204.4058402801722</v>
      </c>
      <c r="H912" s="5">
        <f t="shared" si="59"/>
        <v>0</v>
      </c>
      <c r="I912" s="5">
        <f t="shared" si="60"/>
        <v>0</v>
      </c>
    </row>
    <row r="913" spans="1:9">
      <c r="A913">
        <v>912</v>
      </c>
      <c r="B913">
        <v>10</v>
      </c>
      <c r="C913">
        <v>5000</v>
      </c>
      <c r="D913">
        <v>5697</v>
      </c>
      <c r="E913" s="5">
        <f t="shared" si="57"/>
        <v>697</v>
      </c>
      <c r="F913" s="5">
        <f t="shared" si="58"/>
        <v>485809</v>
      </c>
      <c r="G913" s="6">
        <f>SQRT(SUM($F$2:F913)/A913)</f>
        <v>1203.9665902501599</v>
      </c>
      <c r="H913" s="5">
        <f t="shared" si="59"/>
        <v>1</v>
      </c>
      <c r="I913" s="5">
        <f t="shared" si="60"/>
        <v>0</v>
      </c>
    </row>
    <row r="914" spans="1:9">
      <c r="A914">
        <v>913</v>
      </c>
      <c r="B914">
        <v>10</v>
      </c>
      <c r="C914">
        <v>5000</v>
      </c>
      <c r="D914">
        <v>5429</v>
      </c>
      <c r="E914" s="5">
        <f t="shared" si="57"/>
        <v>429</v>
      </c>
      <c r="F914" s="5">
        <f t="shared" si="58"/>
        <v>184041</v>
      </c>
      <c r="G914" s="6">
        <f>SQRT(SUM($F$2:F914)/A914)</f>
        <v>1203.3908203878104</v>
      </c>
      <c r="H914" s="5">
        <f t="shared" si="59"/>
        <v>1</v>
      </c>
      <c r="I914" s="5">
        <f t="shared" si="60"/>
        <v>1</v>
      </c>
    </row>
    <row r="915" spans="1:9">
      <c r="A915">
        <v>914</v>
      </c>
      <c r="B915">
        <v>10</v>
      </c>
      <c r="C915">
        <v>5000</v>
      </c>
      <c r="D915">
        <v>6466</v>
      </c>
      <c r="E915" s="5">
        <f t="shared" si="57"/>
        <v>1466</v>
      </c>
      <c r="F915" s="5">
        <f t="shared" si="58"/>
        <v>2149156</v>
      </c>
      <c r="G915" s="6">
        <f>SQRT(SUM($F$2:F915)/A915)</f>
        <v>1203.709446738</v>
      </c>
      <c r="H915" s="5">
        <f t="shared" si="59"/>
        <v>0</v>
      </c>
      <c r="I915" s="5">
        <f t="shared" si="60"/>
        <v>0</v>
      </c>
    </row>
    <row r="916" spans="1:9">
      <c r="A916">
        <v>915</v>
      </c>
      <c r="B916">
        <v>9</v>
      </c>
      <c r="C916">
        <v>5000</v>
      </c>
      <c r="D916">
        <v>5191</v>
      </c>
      <c r="E916" s="5">
        <f t="shared" si="57"/>
        <v>191</v>
      </c>
      <c r="F916" s="5">
        <f t="shared" si="58"/>
        <v>36481</v>
      </c>
      <c r="G916" s="6">
        <f>SQRT(SUM($F$2:F916)/A916)</f>
        <v>1203.068072423687</v>
      </c>
      <c r="H916" s="5">
        <f t="shared" si="59"/>
        <v>1</v>
      </c>
      <c r="I916" s="5">
        <f t="shared" si="60"/>
        <v>1</v>
      </c>
    </row>
    <row r="917" spans="1:9">
      <c r="A917">
        <v>916</v>
      </c>
      <c r="B917">
        <v>10</v>
      </c>
      <c r="C917">
        <v>5000</v>
      </c>
      <c r="D917">
        <v>6683</v>
      </c>
      <c r="E917" s="5">
        <f t="shared" si="57"/>
        <v>1683</v>
      </c>
      <c r="F917" s="5">
        <f t="shared" si="58"/>
        <v>2832489</v>
      </c>
      <c r="G917" s="6">
        <f>SQRT(SUM($F$2:F917)/A917)</f>
        <v>1203.6963580941344</v>
      </c>
      <c r="H917" s="5">
        <f t="shared" si="59"/>
        <v>0</v>
      </c>
      <c r="I917" s="5">
        <f t="shared" si="60"/>
        <v>0</v>
      </c>
    </row>
    <row r="918" spans="1:9">
      <c r="A918">
        <v>917</v>
      </c>
      <c r="B918">
        <v>8</v>
      </c>
      <c r="C918">
        <v>5000</v>
      </c>
      <c r="D918">
        <v>4757</v>
      </c>
      <c r="E918" s="5">
        <f t="shared" si="57"/>
        <v>243</v>
      </c>
      <c r="F918" s="5">
        <f t="shared" si="58"/>
        <v>59049</v>
      </c>
      <c r="G918" s="6">
        <f>SQRT(SUM($F$2:F918)/A918)</f>
        <v>1203.0666186815356</v>
      </c>
      <c r="H918" s="5">
        <f t="shared" si="59"/>
        <v>1</v>
      </c>
      <c r="I918" s="5">
        <f t="shared" si="60"/>
        <v>1</v>
      </c>
    </row>
    <row r="919" spans="1:9">
      <c r="A919">
        <v>918</v>
      </c>
      <c r="B919">
        <v>10</v>
      </c>
      <c r="C919">
        <v>5000</v>
      </c>
      <c r="D919">
        <v>6155</v>
      </c>
      <c r="E919" s="5">
        <f t="shared" si="57"/>
        <v>1155</v>
      </c>
      <c r="F919" s="5">
        <f t="shared" si="58"/>
        <v>1334025</v>
      </c>
      <c r="G919" s="6">
        <f>SQRT(SUM($F$2:F919)/A919)</f>
        <v>1203.0153034194693</v>
      </c>
      <c r="H919" s="5">
        <f t="shared" si="59"/>
        <v>0</v>
      </c>
      <c r="I919" s="5">
        <f t="shared" si="60"/>
        <v>0</v>
      </c>
    </row>
    <row r="920" spans="1:9">
      <c r="A920">
        <v>919</v>
      </c>
      <c r="B920">
        <v>9</v>
      </c>
      <c r="C920">
        <v>5000</v>
      </c>
      <c r="D920">
        <v>5108</v>
      </c>
      <c r="E920" s="5">
        <f t="shared" si="57"/>
        <v>108</v>
      </c>
      <c r="F920" s="5">
        <f t="shared" si="58"/>
        <v>11664</v>
      </c>
      <c r="G920" s="6">
        <f>SQRT(SUM($F$2:F920)/A920)</f>
        <v>1202.3658791277026</v>
      </c>
      <c r="H920" s="5">
        <f t="shared" si="59"/>
        <v>1</v>
      </c>
      <c r="I920" s="5">
        <f t="shared" si="60"/>
        <v>1</v>
      </c>
    </row>
    <row r="921" spans="1:9">
      <c r="A921">
        <v>920</v>
      </c>
      <c r="B921">
        <v>10</v>
      </c>
      <c r="C921">
        <v>5000</v>
      </c>
      <c r="D921">
        <v>6133</v>
      </c>
      <c r="E921" s="5">
        <f t="shared" si="57"/>
        <v>1133</v>
      </c>
      <c r="F921" s="5">
        <f t="shared" si="58"/>
        <v>1283689</v>
      </c>
      <c r="G921" s="6">
        <f>SQRT(SUM($F$2:F921)/A921)</f>
        <v>1202.292654093402</v>
      </c>
      <c r="H921" s="5">
        <f t="shared" si="59"/>
        <v>0</v>
      </c>
      <c r="I921" s="5">
        <f t="shared" si="60"/>
        <v>0</v>
      </c>
    </row>
    <row r="922" spans="1:9">
      <c r="A922">
        <v>921</v>
      </c>
      <c r="B922">
        <v>8</v>
      </c>
      <c r="C922">
        <v>5000</v>
      </c>
      <c r="D922">
        <v>5152</v>
      </c>
      <c r="E922" s="5">
        <f t="shared" si="57"/>
        <v>152</v>
      </c>
      <c r="F922" s="5">
        <f t="shared" si="58"/>
        <v>23104</v>
      </c>
      <c r="G922" s="6">
        <f>SQRT(SUM($F$2:F922)/A922)</f>
        <v>1201.6502044679796</v>
      </c>
      <c r="H922" s="5">
        <f t="shared" si="59"/>
        <v>1</v>
      </c>
      <c r="I922" s="5">
        <f t="shared" si="60"/>
        <v>1</v>
      </c>
    </row>
    <row r="923" spans="1:9">
      <c r="A923">
        <v>922</v>
      </c>
      <c r="B923">
        <v>9</v>
      </c>
      <c r="C923">
        <v>5000</v>
      </c>
      <c r="D923">
        <v>5983</v>
      </c>
      <c r="E923" s="5">
        <f t="shared" si="57"/>
        <v>983</v>
      </c>
      <c r="F923" s="5">
        <f t="shared" si="58"/>
        <v>966289</v>
      </c>
      <c r="G923" s="6">
        <f>SQRT(SUM($F$2:F923)/A923)</f>
        <v>1201.4346128971169</v>
      </c>
      <c r="H923" s="5">
        <f t="shared" si="59"/>
        <v>1</v>
      </c>
      <c r="I923" s="5">
        <f t="shared" si="60"/>
        <v>0</v>
      </c>
    </row>
    <row r="924" spans="1:9">
      <c r="A924">
        <v>923</v>
      </c>
      <c r="B924">
        <v>8</v>
      </c>
      <c r="C924">
        <v>5000</v>
      </c>
      <c r="D924">
        <v>5053</v>
      </c>
      <c r="E924" s="5">
        <f t="shared" si="57"/>
        <v>53</v>
      </c>
      <c r="F924" s="5">
        <f t="shared" si="58"/>
        <v>2809</v>
      </c>
      <c r="G924" s="6">
        <f>SQRT(SUM($F$2:F924)/A924)</f>
        <v>1200.7848724310093</v>
      </c>
      <c r="H924" s="5">
        <f t="shared" si="59"/>
        <v>1</v>
      </c>
      <c r="I924" s="5">
        <f t="shared" si="60"/>
        <v>1</v>
      </c>
    </row>
    <row r="925" spans="1:9">
      <c r="A925">
        <v>924</v>
      </c>
      <c r="B925">
        <v>9</v>
      </c>
      <c r="C925">
        <v>5000</v>
      </c>
      <c r="D925">
        <v>5457</v>
      </c>
      <c r="E925" s="5">
        <f t="shared" si="57"/>
        <v>457</v>
      </c>
      <c r="F925" s="5">
        <f t="shared" si="58"/>
        <v>208849</v>
      </c>
      <c r="G925" s="6">
        <f>SQRT(SUM($F$2:F925)/A925)</f>
        <v>1200.2290848253119</v>
      </c>
      <c r="H925" s="5">
        <f t="shared" si="59"/>
        <v>1</v>
      </c>
      <c r="I925" s="5">
        <f t="shared" si="60"/>
        <v>1</v>
      </c>
    </row>
    <row r="926" spans="1:9">
      <c r="A926">
        <v>925</v>
      </c>
      <c r="B926">
        <v>9</v>
      </c>
      <c r="C926">
        <v>5000</v>
      </c>
      <c r="D926">
        <v>6164</v>
      </c>
      <c r="E926" s="5">
        <f t="shared" si="57"/>
        <v>1164</v>
      </c>
      <c r="F926" s="5">
        <f t="shared" si="58"/>
        <v>1354896</v>
      </c>
      <c r="G926" s="6">
        <f>SQRT(SUM($F$2:F926)/A926)</f>
        <v>1200.190508751547</v>
      </c>
      <c r="H926" s="5">
        <f t="shared" si="59"/>
        <v>0</v>
      </c>
      <c r="I926" s="5">
        <f t="shared" si="60"/>
        <v>0</v>
      </c>
    </row>
    <row r="927" spans="1:9">
      <c r="A927">
        <v>926</v>
      </c>
      <c r="B927">
        <v>8</v>
      </c>
      <c r="C927">
        <v>5000</v>
      </c>
      <c r="D927">
        <v>5829</v>
      </c>
      <c r="E927" s="5">
        <f t="shared" si="57"/>
        <v>829</v>
      </c>
      <c r="F927" s="5">
        <f t="shared" si="58"/>
        <v>687241</v>
      </c>
      <c r="G927" s="6">
        <f>SQRT(SUM($F$2:F927)/A927)</f>
        <v>1199.8515944949588</v>
      </c>
      <c r="H927" s="5">
        <f t="shared" si="59"/>
        <v>1</v>
      </c>
      <c r="I927" s="5">
        <f t="shared" si="60"/>
        <v>0</v>
      </c>
    </row>
    <row r="928" spans="1:9">
      <c r="A928">
        <v>927</v>
      </c>
      <c r="B928">
        <v>8</v>
      </c>
      <c r="C928">
        <v>5000</v>
      </c>
      <c r="D928">
        <v>5387</v>
      </c>
      <c r="E928" s="5">
        <f t="shared" si="57"/>
        <v>387</v>
      </c>
      <c r="F928" s="5">
        <f t="shared" si="58"/>
        <v>149769</v>
      </c>
      <c r="G928" s="6">
        <f>SQRT(SUM($F$2:F928)/A928)</f>
        <v>1199.271611461829</v>
      </c>
      <c r="H928" s="5">
        <f t="shared" si="59"/>
        <v>1</v>
      </c>
      <c r="I928" s="5">
        <f t="shared" si="60"/>
        <v>1</v>
      </c>
    </row>
    <row r="929" spans="1:9">
      <c r="A929">
        <v>928</v>
      </c>
      <c r="B929">
        <v>8</v>
      </c>
      <c r="C929">
        <v>5000</v>
      </c>
      <c r="D929">
        <v>5216</v>
      </c>
      <c r="E929" s="5">
        <f t="shared" si="57"/>
        <v>216</v>
      </c>
      <c r="F929" s="5">
        <f t="shared" si="58"/>
        <v>46656</v>
      </c>
      <c r="G929" s="6">
        <f>SQRT(SUM($F$2:F929)/A929)</f>
        <v>1198.6462501397725</v>
      </c>
      <c r="H929" s="5">
        <f t="shared" si="59"/>
        <v>1</v>
      </c>
      <c r="I929" s="5">
        <f t="shared" si="60"/>
        <v>1</v>
      </c>
    </row>
    <row r="930" spans="1:9">
      <c r="A930">
        <v>929</v>
      </c>
      <c r="B930">
        <v>8</v>
      </c>
      <c r="C930">
        <v>5000</v>
      </c>
      <c r="D930">
        <v>5245</v>
      </c>
      <c r="E930" s="5">
        <f t="shared" si="57"/>
        <v>245</v>
      </c>
      <c r="F930" s="5">
        <f t="shared" si="58"/>
        <v>60025</v>
      </c>
      <c r="G930" s="6">
        <f>SQRT(SUM($F$2:F930)/A930)</f>
        <v>1198.0279157746043</v>
      </c>
      <c r="H930" s="5">
        <f t="shared" si="59"/>
        <v>1</v>
      </c>
      <c r="I930" s="5">
        <f t="shared" si="60"/>
        <v>1</v>
      </c>
    </row>
    <row r="931" spans="1:9">
      <c r="A931">
        <v>930</v>
      </c>
      <c r="B931">
        <v>8</v>
      </c>
      <c r="C931">
        <v>5000</v>
      </c>
      <c r="D931">
        <v>4974</v>
      </c>
      <c r="E931" s="5">
        <f t="shared" si="57"/>
        <v>26</v>
      </c>
      <c r="F931" s="5">
        <f t="shared" si="58"/>
        <v>676</v>
      </c>
      <c r="G931" s="6">
        <f>SQRT(SUM($F$2:F931)/A931)</f>
        <v>1197.3839450351575</v>
      </c>
      <c r="H931" s="5">
        <f t="shared" si="59"/>
        <v>1</v>
      </c>
      <c r="I931" s="5">
        <f t="shared" si="60"/>
        <v>1</v>
      </c>
    </row>
    <row r="932" spans="1:9">
      <c r="A932">
        <v>931</v>
      </c>
      <c r="B932">
        <v>9</v>
      </c>
      <c r="C932">
        <v>5000</v>
      </c>
      <c r="D932">
        <v>5625</v>
      </c>
      <c r="E932" s="5">
        <f t="shared" si="57"/>
        <v>625</v>
      </c>
      <c r="F932" s="5">
        <f t="shared" si="58"/>
        <v>390625</v>
      </c>
      <c r="G932" s="6">
        <f>SQRT(SUM($F$2:F932)/A932)</f>
        <v>1196.9159954263337</v>
      </c>
      <c r="H932" s="5">
        <f t="shared" si="59"/>
        <v>1</v>
      </c>
      <c r="I932" s="5">
        <f t="shared" si="60"/>
        <v>0</v>
      </c>
    </row>
    <row r="933" spans="1:9">
      <c r="A933">
        <v>932</v>
      </c>
      <c r="B933">
        <v>8</v>
      </c>
      <c r="C933">
        <v>5000</v>
      </c>
      <c r="D933">
        <v>4881</v>
      </c>
      <c r="E933" s="5">
        <f t="shared" si="57"/>
        <v>119</v>
      </c>
      <c r="F933" s="5">
        <f t="shared" si="58"/>
        <v>14161</v>
      </c>
      <c r="G933" s="6">
        <f>SQRT(SUM($F$2:F933)/A933)</f>
        <v>1196.2800513982463</v>
      </c>
      <c r="H933" s="5">
        <f t="shared" si="59"/>
        <v>1</v>
      </c>
      <c r="I933" s="5">
        <f t="shared" si="60"/>
        <v>1</v>
      </c>
    </row>
    <row r="934" spans="1:9">
      <c r="A934">
        <v>933</v>
      </c>
      <c r="B934">
        <v>9</v>
      </c>
      <c r="C934">
        <v>5000</v>
      </c>
      <c r="D934">
        <v>5618</v>
      </c>
      <c r="E934" s="5">
        <f t="shared" si="57"/>
        <v>618</v>
      </c>
      <c r="F934" s="5">
        <f t="shared" si="58"/>
        <v>381924</v>
      </c>
      <c r="G934" s="6">
        <f>SQRT(SUM($F$2:F934)/A934)</f>
        <v>1195.8099588410573</v>
      </c>
      <c r="H934" s="5">
        <f t="shared" si="59"/>
        <v>1</v>
      </c>
      <c r="I934" s="5">
        <f t="shared" si="60"/>
        <v>0</v>
      </c>
    </row>
    <row r="935" spans="1:9">
      <c r="A935">
        <v>934</v>
      </c>
      <c r="B935">
        <v>8</v>
      </c>
      <c r="C935">
        <v>5000</v>
      </c>
      <c r="D935">
        <v>5573</v>
      </c>
      <c r="E935" s="5">
        <f t="shared" si="57"/>
        <v>573</v>
      </c>
      <c r="F935" s="5">
        <f t="shared" si="58"/>
        <v>328329</v>
      </c>
      <c r="G935" s="6">
        <f>SQRT(SUM($F$2:F935)/A935)</f>
        <v>1195.3166859277869</v>
      </c>
      <c r="H935" s="5">
        <f t="shared" si="59"/>
        <v>1</v>
      </c>
      <c r="I935" s="5">
        <f t="shared" si="60"/>
        <v>0</v>
      </c>
    </row>
    <row r="936" spans="1:9">
      <c r="A936">
        <v>935</v>
      </c>
      <c r="B936">
        <v>7</v>
      </c>
      <c r="C936">
        <v>5000</v>
      </c>
      <c r="D936">
        <v>4832</v>
      </c>
      <c r="E936" s="5">
        <f t="shared" si="57"/>
        <v>168</v>
      </c>
      <c r="F936" s="5">
        <f t="shared" si="58"/>
        <v>28224</v>
      </c>
      <c r="G936" s="6">
        <f>SQRT(SUM($F$2:F936)/A936)</f>
        <v>1194.6899416520137</v>
      </c>
      <c r="H936" s="5">
        <f t="shared" si="59"/>
        <v>1</v>
      </c>
      <c r="I936" s="5">
        <f t="shared" si="60"/>
        <v>1</v>
      </c>
    </row>
    <row r="937" spans="1:9">
      <c r="A937">
        <v>936</v>
      </c>
      <c r="B937">
        <v>8</v>
      </c>
      <c r="C937">
        <v>5000</v>
      </c>
      <c r="D937">
        <v>5485</v>
      </c>
      <c r="E937" s="5">
        <f t="shared" si="57"/>
        <v>485</v>
      </c>
      <c r="F937" s="5">
        <f t="shared" si="58"/>
        <v>235225</v>
      </c>
      <c r="G937" s="6">
        <f>SQRT(SUM($F$2:F937)/A937)</f>
        <v>1194.156811024515</v>
      </c>
      <c r="H937" s="5">
        <f t="shared" si="59"/>
        <v>1</v>
      </c>
      <c r="I937" s="5">
        <f t="shared" si="60"/>
        <v>1</v>
      </c>
    </row>
    <row r="938" spans="1:9">
      <c r="A938">
        <v>937</v>
      </c>
      <c r="B938">
        <v>8</v>
      </c>
      <c r="C938">
        <v>5000</v>
      </c>
      <c r="D938">
        <v>5419</v>
      </c>
      <c r="E938" s="5">
        <f t="shared" si="57"/>
        <v>419</v>
      </c>
      <c r="F938" s="5">
        <f t="shared" si="58"/>
        <v>175561</v>
      </c>
      <c r="G938" s="6">
        <f>SQRT(SUM($F$2:F938)/A938)</f>
        <v>1193.5979074969998</v>
      </c>
      <c r="H938" s="5">
        <f t="shared" si="59"/>
        <v>1</v>
      </c>
      <c r="I938" s="5">
        <f t="shared" si="60"/>
        <v>1</v>
      </c>
    </row>
    <row r="939" spans="1:9">
      <c r="A939">
        <v>938</v>
      </c>
      <c r="B939">
        <v>7</v>
      </c>
      <c r="C939">
        <v>5000</v>
      </c>
      <c r="D939">
        <v>4782</v>
      </c>
      <c r="E939" s="5">
        <f t="shared" si="57"/>
        <v>218</v>
      </c>
      <c r="F939" s="5">
        <f t="shared" si="58"/>
        <v>47524</v>
      </c>
      <c r="G939" s="6">
        <f>SQRT(SUM($F$2:F939)/A939)</f>
        <v>1192.9827264945145</v>
      </c>
      <c r="H939" s="5">
        <f t="shared" si="59"/>
        <v>1</v>
      </c>
      <c r="I939" s="5">
        <f t="shared" si="60"/>
        <v>1</v>
      </c>
    </row>
    <row r="940" spans="1:9">
      <c r="A940">
        <v>939</v>
      </c>
      <c r="B940">
        <v>8</v>
      </c>
      <c r="C940">
        <v>5000</v>
      </c>
      <c r="D940">
        <v>5243</v>
      </c>
      <c r="E940" s="5">
        <f t="shared" si="57"/>
        <v>243</v>
      </c>
      <c r="F940" s="5">
        <f t="shared" si="58"/>
        <v>59049</v>
      </c>
      <c r="G940" s="6">
        <f>SQRT(SUM($F$2:F940)/A940)</f>
        <v>1192.3736861633349</v>
      </c>
      <c r="H940" s="5">
        <f t="shared" si="59"/>
        <v>1</v>
      </c>
      <c r="I940" s="5">
        <f t="shared" si="60"/>
        <v>1</v>
      </c>
    </row>
    <row r="941" spans="1:9">
      <c r="A941">
        <v>940</v>
      </c>
      <c r="B941">
        <v>8</v>
      </c>
      <c r="C941">
        <v>5000</v>
      </c>
      <c r="D941">
        <v>5228</v>
      </c>
      <c r="E941" s="5">
        <f t="shared" si="57"/>
        <v>228</v>
      </c>
      <c r="F941" s="5">
        <f t="shared" si="58"/>
        <v>51984</v>
      </c>
      <c r="G941" s="6">
        <f>SQRT(SUM($F$2:F941)/A941)</f>
        <v>1191.7624781202499</v>
      </c>
      <c r="H941" s="5">
        <f t="shared" si="59"/>
        <v>1</v>
      </c>
      <c r="I941" s="5">
        <f t="shared" si="60"/>
        <v>1</v>
      </c>
    </row>
    <row r="942" spans="1:9">
      <c r="A942">
        <v>941</v>
      </c>
      <c r="B942">
        <v>8</v>
      </c>
      <c r="C942">
        <v>5000</v>
      </c>
      <c r="D942">
        <v>5495</v>
      </c>
      <c r="E942" s="5">
        <f t="shared" si="57"/>
        <v>495</v>
      </c>
      <c r="F942" s="5">
        <f t="shared" si="58"/>
        <v>245025</v>
      </c>
      <c r="G942" s="6">
        <f>SQRT(SUM($F$2:F942)/A942)</f>
        <v>1191.2383651983805</v>
      </c>
      <c r="H942" s="5">
        <f t="shared" si="59"/>
        <v>1</v>
      </c>
      <c r="I942" s="5">
        <f t="shared" si="60"/>
        <v>1</v>
      </c>
    </row>
    <row r="943" spans="1:9">
      <c r="A943">
        <v>942</v>
      </c>
      <c r="B943">
        <v>7</v>
      </c>
      <c r="C943">
        <v>5000</v>
      </c>
      <c r="D943">
        <v>5331</v>
      </c>
      <c r="E943" s="5">
        <f t="shared" si="57"/>
        <v>331</v>
      </c>
      <c r="F943" s="5">
        <f t="shared" si="58"/>
        <v>109561</v>
      </c>
      <c r="G943" s="6">
        <f>SQRT(SUM($F$2:F943)/A943)</f>
        <v>1190.6547477072402</v>
      </c>
      <c r="H943" s="5">
        <f t="shared" si="59"/>
        <v>1</v>
      </c>
      <c r="I943" s="5">
        <f t="shared" si="60"/>
        <v>1</v>
      </c>
    </row>
    <row r="944" spans="1:9">
      <c r="A944">
        <v>943</v>
      </c>
      <c r="B944">
        <v>7</v>
      </c>
      <c r="C944">
        <v>5000</v>
      </c>
      <c r="D944">
        <v>4658</v>
      </c>
      <c r="E944" s="5">
        <f t="shared" si="57"/>
        <v>342</v>
      </c>
      <c r="F944" s="5">
        <f t="shared" si="58"/>
        <v>116964</v>
      </c>
      <c r="G944" s="6">
        <f>SQRT(SUM($F$2:F944)/A944)</f>
        <v>1190.0753810214105</v>
      </c>
      <c r="H944" s="5">
        <f t="shared" si="59"/>
        <v>1</v>
      </c>
      <c r="I944" s="5">
        <f t="shared" si="60"/>
        <v>1</v>
      </c>
    </row>
    <row r="945" spans="1:9">
      <c r="A945">
        <v>944</v>
      </c>
      <c r="B945">
        <v>8</v>
      </c>
      <c r="C945">
        <v>5000</v>
      </c>
      <c r="D945">
        <v>5518</v>
      </c>
      <c r="E945" s="5">
        <f t="shared" si="57"/>
        <v>518</v>
      </c>
      <c r="F945" s="5">
        <f t="shared" si="58"/>
        <v>268324</v>
      </c>
      <c r="G945" s="6">
        <f>SQRT(SUM($F$2:F945)/A945)</f>
        <v>1189.5643564140812</v>
      </c>
      <c r="H945" s="5">
        <f t="shared" si="59"/>
        <v>1</v>
      </c>
      <c r="I945" s="5">
        <f t="shared" si="60"/>
        <v>0</v>
      </c>
    </row>
    <row r="946" spans="1:9">
      <c r="A946">
        <v>945</v>
      </c>
      <c r="B946">
        <v>7</v>
      </c>
      <c r="C946">
        <v>5000</v>
      </c>
      <c r="D946">
        <v>4537</v>
      </c>
      <c r="E946" s="5">
        <f t="shared" si="57"/>
        <v>463</v>
      </c>
      <c r="F946" s="5">
        <f t="shared" si="58"/>
        <v>214369</v>
      </c>
      <c r="G946" s="6">
        <f>SQRT(SUM($F$2:F946)/A946)</f>
        <v>1189.0301854917655</v>
      </c>
      <c r="H946" s="5">
        <f t="shared" si="59"/>
        <v>1</v>
      </c>
      <c r="I946" s="5">
        <f t="shared" si="60"/>
        <v>1</v>
      </c>
    </row>
    <row r="947" spans="1:9">
      <c r="A947">
        <v>946</v>
      </c>
      <c r="B947">
        <v>8</v>
      </c>
      <c r="C947">
        <v>5000</v>
      </c>
      <c r="D947">
        <v>6035</v>
      </c>
      <c r="E947" s="5">
        <f t="shared" si="57"/>
        <v>1035</v>
      </c>
      <c r="F947" s="5">
        <f t="shared" si="58"/>
        <v>1071225</v>
      </c>
      <c r="G947" s="6">
        <f>SQRT(SUM($F$2:F947)/A947)</f>
        <v>1188.8778993737963</v>
      </c>
      <c r="H947" s="5">
        <f t="shared" si="59"/>
        <v>0</v>
      </c>
      <c r="I947" s="5">
        <f t="shared" si="60"/>
        <v>0</v>
      </c>
    </row>
    <row r="948" spans="1:9">
      <c r="A948">
        <v>947</v>
      </c>
      <c r="B948">
        <v>6</v>
      </c>
      <c r="C948">
        <v>5000</v>
      </c>
      <c r="D948">
        <v>4478</v>
      </c>
      <c r="E948" s="5">
        <f t="shared" si="57"/>
        <v>522</v>
      </c>
      <c r="F948" s="5">
        <f t="shared" si="58"/>
        <v>272484</v>
      </c>
      <c r="G948" s="6">
        <f>SQRT(SUM($F$2:F948)/A948)</f>
        <v>1188.3710946082995</v>
      </c>
      <c r="H948" s="5">
        <f t="shared" si="59"/>
        <v>1</v>
      </c>
      <c r="I948" s="5">
        <f t="shared" si="60"/>
        <v>0</v>
      </c>
    </row>
    <row r="949" spans="1:9">
      <c r="A949">
        <v>948</v>
      </c>
      <c r="B949">
        <v>8</v>
      </c>
      <c r="C949">
        <v>5000</v>
      </c>
      <c r="D949">
        <v>5512</v>
      </c>
      <c r="E949" s="5">
        <f t="shared" si="57"/>
        <v>512</v>
      </c>
      <c r="F949" s="5">
        <f t="shared" si="58"/>
        <v>262144</v>
      </c>
      <c r="G949" s="6">
        <f>SQRT(SUM($F$2:F949)/A949)</f>
        <v>1187.8605524147699</v>
      </c>
      <c r="H949" s="5">
        <f t="shared" si="59"/>
        <v>1</v>
      </c>
      <c r="I949" s="5">
        <f t="shared" si="60"/>
        <v>0</v>
      </c>
    </row>
    <row r="950" spans="1:9">
      <c r="A950">
        <v>949</v>
      </c>
      <c r="B950">
        <v>7</v>
      </c>
      <c r="C950">
        <v>5000</v>
      </c>
      <c r="D950">
        <v>5130</v>
      </c>
      <c r="E950" s="5">
        <f t="shared" si="57"/>
        <v>130</v>
      </c>
      <c r="F950" s="5">
        <f t="shared" si="58"/>
        <v>16900</v>
      </c>
      <c r="G950" s="6">
        <f>SQRT(SUM($F$2:F950)/A950)</f>
        <v>1187.2420387553616</v>
      </c>
      <c r="H950" s="5">
        <f t="shared" si="59"/>
        <v>1</v>
      </c>
      <c r="I950" s="5">
        <f t="shared" si="60"/>
        <v>1</v>
      </c>
    </row>
    <row r="951" spans="1:9">
      <c r="A951">
        <v>950</v>
      </c>
      <c r="B951">
        <v>7</v>
      </c>
      <c r="C951">
        <v>5000</v>
      </c>
      <c r="D951">
        <v>4309</v>
      </c>
      <c r="E951" s="5">
        <f t="shared" si="57"/>
        <v>691</v>
      </c>
      <c r="F951" s="5">
        <f t="shared" si="58"/>
        <v>477481</v>
      </c>
      <c r="G951" s="6">
        <f>SQRT(SUM($F$2:F951)/A951)</f>
        <v>1186.8287745079322</v>
      </c>
      <c r="H951" s="5">
        <f t="shared" si="59"/>
        <v>1</v>
      </c>
      <c r="I951" s="5">
        <f t="shared" si="60"/>
        <v>0</v>
      </c>
    </row>
    <row r="952" spans="1:9">
      <c r="A952">
        <v>951</v>
      </c>
      <c r="B952">
        <v>8</v>
      </c>
      <c r="C952">
        <v>5000</v>
      </c>
      <c r="D952">
        <v>5241</v>
      </c>
      <c r="E952" s="5">
        <f t="shared" si="57"/>
        <v>241</v>
      </c>
      <c r="F952" s="5">
        <f t="shared" si="58"/>
        <v>58081</v>
      </c>
      <c r="G952" s="6">
        <f>SQRT(SUM($F$2:F952)/A952)</f>
        <v>1186.2303634999271</v>
      </c>
      <c r="H952" s="5">
        <f t="shared" si="59"/>
        <v>1</v>
      </c>
      <c r="I952" s="5">
        <f t="shared" si="60"/>
        <v>1</v>
      </c>
    </row>
    <row r="953" spans="1:9">
      <c r="A953">
        <v>952</v>
      </c>
      <c r="B953">
        <v>7</v>
      </c>
      <c r="C953">
        <v>5000</v>
      </c>
      <c r="D953">
        <v>5804</v>
      </c>
      <c r="E953" s="5">
        <f t="shared" si="57"/>
        <v>804</v>
      </c>
      <c r="F953" s="5">
        <f t="shared" si="58"/>
        <v>646416</v>
      </c>
      <c r="G953" s="6">
        <f>SQRT(SUM($F$2:F953)/A953)</f>
        <v>1185.8934997954677</v>
      </c>
      <c r="H953" s="5">
        <f t="shared" si="59"/>
        <v>1</v>
      </c>
      <c r="I953" s="5">
        <f t="shared" si="60"/>
        <v>0</v>
      </c>
    </row>
    <row r="954" spans="1:9">
      <c r="A954">
        <v>953</v>
      </c>
      <c r="B954">
        <v>7</v>
      </c>
      <c r="C954">
        <v>5000</v>
      </c>
      <c r="D954">
        <v>4871</v>
      </c>
      <c r="E954" s="5">
        <f t="shared" si="57"/>
        <v>129</v>
      </c>
      <c r="F954" s="5">
        <f t="shared" si="58"/>
        <v>16641</v>
      </c>
      <c r="G954" s="6">
        <f>SQRT(SUM($F$2:F954)/A954)</f>
        <v>1185.2785129244601</v>
      </c>
      <c r="H954" s="5">
        <f t="shared" si="59"/>
        <v>1</v>
      </c>
      <c r="I954" s="5">
        <f t="shared" si="60"/>
        <v>1</v>
      </c>
    </row>
    <row r="955" spans="1:9">
      <c r="A955">
        <v>954</v>
      </c>
      <c r="B955">
        <v>8</v>
      </c>
      <c r="C955">
        <v>5000</v>
      </c>
      <c r="D955">
        <v>4622</v>
      </c>
      <c r="E955" s="5">
        <f t="shared" si="57"/>
        <v>378</v>
      </c>
      <c r="F955" s="5">
        <f t="shared" si="58"/>
        <v>142884</v>
      </c>
      <c r="G955" s="6">
        <f>SQRT(SUM($F$2:F955)/A955)</f>
        <v>1184.7203471024604</v>
      </c>
      <c r="H955" s="5">
        <f t="shared" si="59"/>
        <v>1</v>
      </c>
      <c r="I955" s="5">
        <f t="shared" si="60"/>
        <v>1</v>
      </c>
    </row>
    <row r="956" spans="1:9">
      <c r="A956">
        <v>955</v>
      </c>
      <c r="B956">
        <v>8</v>
      </c>
      <c r="C956">
        <v>5000</v>
      </c>
      <c r="D956">
        <v>4563</v>
      </c>
      <c r="E956" s="5">
        <f t="shared" si="57"/>
        <v>437</v>
      </c>
      <c r="F956" s="5">
        <f t="shared" si="58"/>
        <v>190969</v>
      </c>
      <c r="G956" s="6">
        <f>SQRT(SUM($F$2:F956)/A956)</f>
        <v>1184.1843478249102</v>
      </c>
      <c r="H956" s="5">
        <f t="shared" si="59"/>
        <v>1</v>
      </c>
      <c r="I956" s="5">
        <f t="shared" si="60"/>
        <v>1</v>
      </c>
    </row>
    <row r="957" spans="1:9">
      <c r="A957">
        <v>956</v>
      </c>
      <c r="B957">
        <v>8</v>
      </c>
      <c r="C957">
        <v>5000</v>
      </c>
      <c r="D957">
        <v>1051</v>
      </c>
      <c r="E957" s="5">
        <f t="shared" si="57"/>
        <v>3949</v>
      </c>
      <c r="F957" s="5">
        <f t="shared" si="58"/>
        <v>15594601</v>
      </c>
      <c r="G957" s="6">
        <f>SQRT(SUM($F$2:F957)/A957)</f>
        <v>1190.4360883911127</v>
      </c>
      <c r="H957" s="5">
        <f t="shared" si="59"/>
        <v>0</v>
      </c>
      <c r="I957" s="5">
        <f t="shared" si="60"/>
        <v>0</v>
      </c>
    </row>
    <row r="958" spans="1:9">
      <c r="A958">
        <v>957</v>
      </c>
      <c r="B958">
        <v>13</v>
      </c>
      <c r="C958">
        <v>5000</v>
      </c>
      <c r="D958">
        <v>2079</v>
      </c>
      <c r="E958" s="5">
        <f t="shared" si="57"/>
        <v>2921</v>
      </c>
      <c r="F958" s="5">
        <f t="shared" si="58"/>
        <v>8532241</v>
      </c>
      <c r="G958" s="6">
        <f>SQRT(SUM($F$2:F958)/A958)</f>
        <v>1193.5547242723355</v>
      </c>
      <c r="H958" s="5">
        <f t="shared" si="59"/>
        <v>0</v>
      </c>
      <c r="I958" s="5">
        <f t="shared" si="60"/>
        <v>0</v>
      </c>
    </row>
    <row r="959" spans="1:9">
      <c r="A959">
        <v>958</v>
      </c>
      <c r="B959">
        <v>12</v>
      </c>
      <c r="C959">
        <v>5000</v>
      </c>
      <c r="D959">
        <v>5779</v>
      </c>
      <c r="E959" s="5">
        <f t="shared" si="57"/>
        <v>779</v>
      </c>
      <c r="F959" s="5">
        <f t="shared" si="58"/>
        <v>606841</v>
      </c>
      <c r="G959" s="6">
        <f>SQRT(SUM($F$2:F959)/A959)</f>
        <v>1193.1970908005017</v>
      </c>
      <c r="H959" s="5">
        <f t="shared" si="59"/>
        <v>1</v>
      </c>
      <c r="I959" s="5">
        <f t="shared" si="60"/>
        <v>0</v>
      </c>
    </row>
    <row r="960" spans="1:9">
      <c r="A960">
        <v>959</v>
      </c>
      <c r="B960">
        <v>8</v>
      </c>
      <c r="C960">
        <v>5000</v>
      </c>
      <c r="D960">
        <v>3861</v>
      </c>
      <c r="E960" s="5">
        <f t="shared" si="57"/>
        <v>1139</v>
      </c>
      <c r="F960" s="5">
        <f t="shared" si="58"/>
        <v>1297321</v>
      </c>
      <c r="G960" s="6">
        <f>SQRT(SUM($F$2:F960)/A960)</f>
        <v>1193.1418588364136</v>
      </c>
      <c r="H960" s="5">
        <f t="shared" si="59"/>
        <v>0</v>
      </c>
      <c r="I960" s="5">
        <f t="shared" si="60"/>
        <v>0</v>
      </c>
    </row>
    <row r="961" spans="1:9">
      <c r="A961">
        <v>960</v>
      </c>
      <c r="B961">
        <v>11</v>
      </c>
      <c r="C961">
        <v>5000</v>
      </c>
      <c r="D961">
        <v>6560</v>
      </c>
      <c r="E961" s="5">
        <f t="shared" si="57"/>
        <v>1560</v>
      </c>
      <c r="F961" s="5">
        <f t="shared" si="58"/>
        <v>2433600</v>
      </c>
      <c r="G961" s="6">
        <f>SQRT(SUM($F$2:F961)/A961)</f>
        <v>1193.5826706460959</v>
      </c>
      <c r="H961" s="5">
        <f t="shared" si="59"/>
        <v>0</v>
      </c>
      <c r="I961" s="5">
        <f t="shared" si="60"/>
        <v>0</v>
      </c>
    </row>
    <row r="962" spans="1:9">
      <c r="A962">
        <v>961</v>
      </c>
      <c r="B962">
        <v>7</v>
      </c>
      <c r="C962">
        <v>5000</v>
      </c>
      <c r="D962">
        <v>3513</v>
      </c>
      <c r="E962" s="5">
        <f t="shared" si="57"/>
        <v>1487</v>
      </c>
      <c r="F962" s="5">
        <f t="shared" si="58"/>
        <v>2211169</v>
      </c>
      <c r="G962" s="6">
        <f>SQRT(SUM($F$2:F962)/A962)</f>
        <v>1193.925475305191</v>
      </c>
      <c r="H962" s="5">
        <f t="shared" si="59"/>
        <v>0</v>
      </c>
      <c r="I962" s="5">
        <f t="shared" si="60"/>
        <v>0</v>
      </c>
    </row>
    <row r="963" spans="1:9">
      <c r="A963">
        <v>962</v>
      </c>
      <c r="B963">
        <v>11</v>
      </c>
      <c r="C963">
        <v>5000</v>
      </c>
      <c r="D963">
        <v>6666</v>
      </c>
      <c r="E963" s="5">
        <f t="shared" ref="E963:E1011" si="61">ABS(C963-D963)</f>
        <v>1666</v>
      </c>
      <c r="F963" s="5">
        <f t="shared" ref="F963:F1011" si="62">POWER(E963,2)</f>
        <v>2775556</v>
      </c>
      <c r="G963" s="6">
        <f>SQRT(SUM($F$2:F963)/A963)</f>
        <v>1194.5130676618689</v>
      </c>
      <c r="H963" s="5">
        <f t="shared" ref="H963:H1011" si="63">IF(ABS(E963)/C963&gt;0.2,0,1)</f>
        <v>0</v>
      </c>
      <c r="I963" s="5">
        <f t="shared" ref="I963:I1011" si="64">IF(ABS(E963)/C963&gt;0.1,0,1)</f>
        <v>0</v>
      </c>
    </row>
    <row r="964" spans="1:9">
      <c r="A964">
        <v>963</v>
      </c>
      <c r="B964">
        <v>7</v>
      </c>
      <c r="C964">
        <v>5000</v>
      </c>
      <c r="D964">
        <v>3879</v>
      </c>
      <c r="E964" s="5">
        <f t="shared" si="61"/>
        <v>1121</v>
      </c>
      <c r="F964" s="5">
        <f t="shared" si="62"/>
        <v>1256641</v>
      </c>
      <c r="G964" s="6">
        <f>SQRT(SUM($F$2:F964)/A964)</f>
        <v>1194.4390768069884</v>
      </c>
      <c r="H964" s="5">
        <f t="shared" si="63"/>
        <v>0</v>
      </c>
      <c r="I964" s="5">
        <f t="shared" si="64"/>
        <v>0</v>
      </c>
    </row>
    <row r="965" spans="1:9">
      <c r="A965">
        <v>964</v>
      </c>
      <c r="B965">
        <v>10</v>
      </c>
      <c r="C965">
        <v>5000</v>
      </c>
      <c r="D965">
        <v>5827</v>
      </c>
      <c r="E965" s="5">
        <f t="shared" si="61"/>
        <v>827</v>
      </c>
      <c r="F965" s="5">
        <f t="shared" si="62"/>
        <v>683929</v>
      </c>
      <c r="G965" s="6">
        <f>SQRT(SUM($F$2:F965)/A965)</f>
        <v>1194.1164996474549</v>
      </c>
      <c r="H965" s="5">
        <f t="shared" si="63"/>
        <v>1</v>
      </c>
      <c r="I965" s="5">
        <f t="shared" si="64"/>
        <v>0</v>
      </c>
    </row>
    <row r="966" spans="1:9">
      <c r="A966">
        <v>965</v>
      </c>
      <c r="B966">
        <v>8</v>
      </c>
      <c r="C966">
        <v>5000</v>
      </c>
      <c r="D966">
        <v>4018</v>
      </c>
      <c r="E966" s="5">
        <f t="shared" si="61"/>
        <v>982</v>
      </c>
      <c r="F966" s="5">
        <f t="shared" si="62"/>
        <v>964324</v>
      </c>
      <c r="G966" s="6">
        <f>SQRT(SUM($F$2:F966)/A966)</f>
        <v>1193.9161959289918</v>
      </c>
      <c r="H966" s="5">
        <f t="shared" si="63"/>
        <v>1</v>
      </c>
      <c r="I966" s="5">
        <f t="shared" si="64"/>
        <v>0</v>
      </c>
    </row>
    <row r="967" spans="1:9">
      <c r="A967">
        <v>966</v>
      </c>
      <c r="B967">
        <v>10</v>
      </c>
      <c r="C967">
        <v>5000</v>
      </c>
      <c r="D967">
        <v>5874</v>
      </c>
      <c r="E967" s="5">
        <f t="shared" si="61"/>
        <v>874</v>
      </c>
      <c r="F967" s="5">
        <f t="shared" si="62"/>
        <v>763876</v>
      </c>
      <c r="G967" s="6">
        <f>SQRT(SUM($F$2:F967)/A967)</f>
        <v>1193.6293554962015</v>
      </c>
      <c r="H967" s="5">
        <f t="shared" si="63"/>
        <v>1</v>
      </c>
      <c r="I967" s="5">
        <f t="shared" si="64"/>
        <v>0</v>
      </c>
    </row>
    <row r="968" spans="1:9">
      <c r="A968">
        <v>967</v>
      </c>
      <c r="B968">
        <v>8</v>
      </c>
      <c r="C968">
        <v>5000</v>
      </c>
      <c r="D968">
        <v>4271</v>
      </c>
      <c r="E968" s="5">
        <f t="shared" si="61"/>
        <v>729</v>
      </c>
      <c r="F968" s="5">
        <f t="shared" si="62"/>
        <v>531441</v>
      </c>
      <c r="G968" s="6">
        <f>SQRT(SUM($F$2:F968)/A968)</f>
        <v>1193.2423236793306</v>
      </c>
      <c r="H968" s="5">
        <f t="shared" si="63"/>
        <v>1</v>
      </c>
      <c r="I968" s="5">
        <f t="shared" si="64"/>
        <v>0</v>
      </c>
    </row>
    <row r="969" spans="1:9">
      <c r="A969">
        <v>968</v>
      </c>
      <c r="B969">
        <v>10</v>
      </c>
      <c r="C969">
        <v>5000</v>
      </c>
      <c r="D969">
        <v>5573</v>
      </c>
      <c r="E969" s="5">
        <f t="shared" si="61"/>
        <v>573</v>
      </c>
      <c r="F969" s="5">
        <f t="shared" si="62"/>
        <v>328329</v>
      </c>
      <c r="G969" s="6">
        <f>SQRT(SUM($F$2:F969)/A969)</f>
        <v>1192.7680117938601</v>
      </c>
      <c r="H969" s="5">
        <f t="shared" si="63"/>
        <v>1</v>
      </c>
      <c r="I969" s="5">
        <f t="shared" si="64"/>
        <v>0</v>
      </c>
    </row>
    <row r="970" spans="1:9">
      <c r="A970">
        <v>969</v>
      </c>
      <c r="B970">
        <v>8</v>
      </c>
      <c r="C970">
        <v>5000</v>
      </c>
      <c r="D970">
        <v>5007</v>
      </c>
      <c r="E970" s="5">
        <f t="shared" si="61"/>
        <v>7</v>
      </c>
      <c r="F970" s="5">
        <f t="shared" si="62"/>
        <v>49</v>
      </c>
      <c r="G970" s="6">
        <f>SQRT(SUM($F$2:F970)/A970)</f>
        <v>1192.1524107617433</v>
      </c>
      <c r="H970" s="5">
        <f t="shared" si="63"/>
        <v>1</v>
      </c>
      <c r="I970" s="5">
        <f t="shared" si="64"/>
        <v>1</v>
      </c>
    </row>
    <row r="971" spans="1:9">
      <c r="A971">
        <v>970</v>
      </c>
      <c r="B971">
        <v>9</v>
      </c>
      <c r="C971">
        <v>5000</v>
      </c>
      <c r="D971">
        <v>4951</v>
      </c>
      <c r="E971" s="5">
        <f t="shared" si="61"/>
        <v>49</v>
      </c>
      <c r="F971" s="5">
        <f t="shared" si="62"/>
        <v>2401</v>
      </c>
      <c r="G971" s="6">
        <f>SQRT(SUM($F$2:F971)/A971)</f>
        <v>1191.5387794304463</v>
      </c>
      <c r="H971" s="5">
        <f t="shared" si="63"/>
        <v>1</v>
      </c>
      <c r="I971" s="5">
        <f t="shared" si="64"/>
        <v>1</v>
      </c>
    </row>
    <row r="972" spans="1:9">
      <c r="A972">
        <v>971</v>
      </c>
      <c r="B972">
        <v>9</v>
      </c>
      <c r="C972">
        <v>5000</v>
      </c>
      <c r="D972">
        <v>5098</v>
      </c>
      <c r="E972" s="5">
        <f t="shared" si="61"/>
        <v>98</v>
      </c>
      <c r="F972" s="5">
        <f t="shared" si="62"/>
        <v>9604</v>
      </c>
      <c r="G972" s="6">
        <f>SQRT(SUM($F$2:F972)/A972)</f>
        <v>1190.9292112463252</v>
      </c>
      <c r="H972" s="5">
        <f t="shared" si="63"/>
        <v>1</v>
      </c>
      <c r="I972" s="5">
        <f t="shared" si="64"/>
        <v>1</v>
      </c>
    </row>
    <row r="973" spans="1:9">
      <c r="A973">
        <v>972</v>
      </c>
      <c r="B973">
        <v>9</v>
      </c>
      <c r="C973">
        <v>5000</v>
      </c>
      <c r="D973">
        <v>5296</v>
      </c>
      <c r="E973" s="5">
        <f t="shared" si="61"/>
        <v>296</v>
      </c>
      <c r="F973" s="5">
        <f t="shared" si="62"/>
        <v>87616</v>
      </c>
      <c r="G973" s="6">
        <f>SQRT(SUM($F$2:F973)/A973)</f>
        <v>1190.354298936197</v>
      </c>
      <c r="H973" s="5">
        <f t="shared" si="63"/>
        <v>1</v>
      </c>
      <c r="I973" s="5">
        <f t="shared" si="64"/>
        <v>1</v>
      </c>
    </row>
    <row r="974" spans="1:9">
      <c r="A974">
        <v>973</v>
      </c>
      <c r="B974">
        <v>9</v>
      </c>
      <c r="C974">
        <v>5000</v>
      </c>
      <c r="D974">
        <v>5821</v>
      </c>
      <c r="E974" s="5">
        <f t="shared" si="61"/>
        <v>821</v>
      </c>
      <c r="F974" s="5">
        <f t="shared" si="62"/>
        <v>674041</v>
      </c>
      <c r="G974" s="6">
        <f>SQRT(SUM($F$2:F974)/A974)</f>
        <v>1190.0335456074843</v>
      </c>
      <c r="H974" s="5">
        <f t="shared" si="63"/>
        <v>1</v>
      </c>
      <c r="I974" s="5">
        <f t="shared" si="64"/>
        <v>0</v>
      </c>
    </row>
    <row r="975" spans="1:9">
      <c r="A975">
        <v>974</v>
      </c>
      <c r="B975">
        <v>8</v>
      </c>
      <c r="C975">
        <v>5000</v>
      </c>
      <c r="D975">
        <v>5267</v>
      </c>
      <c r="E975" s="5">
        <f t="shared" si="61"/>
        <v>267</v>
      </c>
      <c r="F975" s="5">
        <f t="shared" si="62"/>
        <v>71289</v>
      </c>
      <c r="G975" s="6">
        <f>SQRT(SUM($F$2:F975)/A975)</f>
        <v>1189.4532560191763</v>
      </c>
      <c r="H975" s="5">
        <f t="shared" si="63"/>
        <v>1</v>
      </c>
      <c r="I975" s="5">
        <f t="shared" si="64"/>
        <v>1</v>
      </c>
    </row>
    <row r="976" spans="1:9">
      <c r="A976">
        <v>975</v>
      </c>
      <c r="B976">
        <v>8</v>
      </c>
      <c r="C976">
        <v>5000</v>
      </c>
      <c r="D976">
        <v>4557</v>
      </c>
      <c r="E976" s="5">
        <f t="shared" si="61"/>
        <v>443</v>
      </c>
      <c r="F976" s="5">
        <f t="shared" si="62"/>
        <v>196249</v>
      </c>
      <c r="G976" s="6">
        <f>SQRT(SUM($F$2:F976)/A976)</f>
        <v>1188.927774649635</v>
      </c>
      <c r="H976" s="5">
        <f t="shared" si="63"/>
        <v>1</v>
      </c>
      <c r="I976" s="5">
        <f t="shared" si="64"/>
        <v>1</v>
      </c>
    </row>
    <row r="977" spans="1:9">
      <c r="A977">
        <v>976</v>
      </c>
      <c r="B977">
        <v>9</v>
      </c>
      <c r="C977">
        <v>5000</v>
      </c>
      <c r="D977">
        <v>5442</v>
      </c>
      <c r="E977" s="5">
        <f t="shared" si="61"/>
        <v>442</v>
      </c>
      <c r="F977" s="5">
        <f t="shared" si="62"/>
        <v>195364</v>
      </c>
      <c r="G977" s="6">
        <f>SQRT(SUM($F$2:F977)/A977)</f>
        <v>1188.4027569409784</v>
      </c>
      <c r="H977" s="5">
        <f t="shared" si="63"/>
        <v>1</v>
      </c>
      <c r="I977" s="5">
        <f t="shared" si="64"/>
        <v>1</v>
      </c>
    </row>
    <row r="978" spans="1:9">
      <c r="A978">
        <v>977</v>
      </c>
      <c r="B978">
        <v>8</v>
      </c>
      <c r="C978">
        <v>5000</v>
      </c>
      <c r="D978">
        <v>4850</v>
      </c>
      <c r="E978" s="5">
        <f t="shared" si="61"/>
        <v>150</v>
      </c>
      <c r="F978" s="5">
        <f t="shared" si="62"/>
        <v>22500</v>
      </c>
      <c r="G978" s="6">
        <f>SQRT(SUM($F$2:F978)/A978)</f>
        <v>1187.8041057573605</v>
      </c>
      <c r="H978" s="5">
        <f t="shared" si="63"/>
        <v>1</v>
      </c>
      <c r="I978" s="5">
        <f t="shared" si="64"/>
        <v>1</v>
      </c>
    </row>
    <row r="979" spans="1:9">
      <c r="A979">
        <v>978</v>
      </c>
      <c r="B979">
        <v>9</v>
      </c>
      <c r="C979">
        <v>5000</v>
      </c>
      <c r="D979">
        <v>5124</v>
      </c>
      <c r="E979" s="5">
        <f t="shared" si="61"/>
        <v>124</v>
      </c>
      <c r="F979" s="5">
        <f t="shared" si="62"/>
        <v>15376</v>
      </c>
      <c r="G979" s="6">
        <f>SQRT(SUM($F$2:F979)/A979)</f>
        <v>1187.2033100469789</v>
      </c>
      <c r="H979" s="5">
        <f t="shared" si="63"/>
        <v>1</v>
      </c>
      <c r="I979" s="5">
        <f t="shared" si="64"/>
        <v>1</v>
      </c>
    </row>
    <row r="980" spans="1:9">
      <c r="A980">
        <v>979</v>
      </c>
      <c r="B980">
        <v>9</v>
      </c>
      <c r="C980">
        <v>5000</v>
      </c>
      <c r="D980">
        <v>5040</v>
      </c>
      <c r="E980" s="5">
        <f t="shared" si="61"/>
        <v>40</v>
      </c>
      <c r="F980" s="5">
        <f t="shared" si="62"/>
        <v>1600</v>
      </c>
      <c r="G980" s="6">
        <f>SQRT(SUM($F$2:F980)/A980)</f>
        <v>1186.5975091078869</v>
      </c>
      <c r="H980" s="5">
        <f t="shared" si="63"/>
        <v>1</v>
      </c>
      <c r="I980" s="5">
        <f t="shared" si="64"/>
        <v>1</v>
      </c>
    </row>
    <row r="981" spans="1:9">
      <c r="A981">
        <v>980</v>
      </c>
      <c r="B981">
        <v>9</v>
      </c>
      <c r="C981">
        <v>5000</v>
      </c>
      <c r="D981">
        <v>5212</v>
      </c>
      <c r="E981" s="5">
        <f t="shared" si="61"/>
        <v>212</v>
      </c>
      <c r="F981" s="5">
        <f t="shared" si="62"/>
        <v>44944</v>
      </c>
      <c r="G981" s="6">
        <f>SQRT(SUM($F$2:F981)/A981)</f>
        <v>1186.0112820814522</v>
      </c>
      <c r="H981" s="5">
        <f t="shared" si="63"/>
        <v>1</v>
      </c>
      <c r="I981" s="5">
        <f t="shared" si="64"/>
        <v>1</v>
      </c>
    </row>
    <row r="982" spans="1:9">
      <c r="A982">
        <v>981</v>
      </c>
      <c r="B982">
        <v>8</v>
      </c>
      <c r="C982">
        <v>5000</v>
      </c>
      <c r="D982">
        <v>4644</v>
      </c>
      <c r="E982" s="5">
        <f t="shared" si="61"/>
        <v>356</v>
      </c>
      <c r="F982" s="5">
        <f t="shared" si="62"/>
        <v>126736</v>
      </c>
      <c r="G982" s="6">
        <f>SQRT(SUM($F$2:F982)/A982)</f>
        <v>1185.461127843048</v>
      </c>
      <c r="H982" s="5">
        <f t="shared" si="63"/>
        <v>1</v>
      </c>
      <c r="I982" s="5">
        <f t="shared" si="64"/>
        <v>1</v>
      </c>
    </row>
    <row r="983" spans="1:9">
      <c r="A983">
        <v>982</v>
      </c>
      <c r="B983">
        <v>9</v>
      </c>
      <c r="C983">
        <v>5000</v>
      </c>
      <c r="D983">
        <v>5222</v>
      </c>
      <c r="E983" s="5">
        <f t="shared" si="61"/>
        <v>222</v>
      </c>
      <c r="F983" s="5">
        <f t="shared" si="62"/>
        <v>49284</v>
      </c>
      <c r="G983" s="6">
        <f>SQRT(SUM($F$2:F983)/A983)</f>
        <v>1184.8785572873485</v>
      </c>
      <c r="H983" s="5">
        <f t="shared" si="63"/>
        <v>1</v>
      </c>
      <c r="I983" s="5">
        <f t="shared" si="64"/>
        <v>1</v>
      </c>
    </row>
    <row r="984" spans="1:9">
      <c r="A984">
        <v>983</v>
      </c>
      <c r="B984">
        <v>8</v>
      </c>
      <c r="C984">
        <v>5000</v>
      </c>
      <c r="D984">
        <v>4160</v>
      </c>
      <c r="E984" s="5">
        <f t="shared" si="61"/>
        <v>840</v>
      </c>
      <c r="F984" s="5">
        <f t="shared" si="62"/>
        <v>705600</v>
      </c>
      <c r="G984" s="6">
        <f>SQRT(SUM($F$2:F984)/A984)</f>
        <v>1184.578735788293</v>
      </c>
      <c r="H984" s="5">
        <f t="shared" si="63"/>
        <v>1</v>
      </c>
      <c r="I984" s="5">
        <f t="shared" si="64"/>
        <v>0</v>
      </c>
    </row>
    <row r="985" spans="1:9">
      <c r="A985">
        <v>984</v>
      </c>
      <c r="B985">
        <v>10</v>
      </c>
      <c r="C985">
        <v>5000</v>
      </c>
      <c r="D985">
        <v>6023</v>
      </c>
      <c r="E985" s="5">
        <f t="shared" si="61"/>
        <v>1023</v>
      </c>
      <c r="F985" s="5">
        <f t="shared" si="62"/>
        <v>1046529</v>
      </c>
      <c r="G985" s="6">
        <f>SQRT(SUM($F$2:F985)/A985)</f>
        <v>1184.425718876699</v>
      </c>
      <c r="H985" s="5">
        <f t="shared" si="63"/>
        <v>0</v>
      </c>
      <c r="I985" s="5">
        <f t="shared" si="64"/>
        <v>0</v>
      </c>
    </row>
    <row r="986" spans="1:9">
      <c r="A986">
        <v>985</v>
      </c>
      <c r="B986">
        <v>8</v>
      </c>
      <c r="C986">
        <v>5000</v>
      </c>
      <c r="D986">
        <v>5956</v>
      </c>
      <c r="E986" s="5">
        <f t="shared" si="61"/>
        <v>956</v>
      </c>
      <c r="F986" s="5">
        <f t="shared" si="62"/>
        <v>913936</v>
      </c>
      <c r="G986" s="6">
        <f>SQRT(SUM($F$2:F986)/A986)</f>
        <v>1184.2161583278071</v>
      </c>
      <c r="H986" s="5">
        <f t="shared" si="63"/>
        <v>1</v>
      </c>
      <c r="I986" s="5">
        <f t="shared" si="64"/>
        <v>0</v>
      </c>
    </row>
    <row r="987" spans="1:9">
      <c r="A987">
        <v>986</v>
      </c>
      <c r="B987">
        <v>7</v>
      </c>
      <c r="C987">
        <v>5000</v>
      </c>
      <c r="D987">
        <v>5028</v>
      </c>
      <c r="E987" s="5">
        <f t="shared" si="61"/>
        <v>28</v>
      </c>
      <c r="F987" s="5">
        <f t="shared" si="62"/>
        <v>784</v>
      </c>
      <c r="G987" s="6">
        <f>SQRT(SUM($F$2:F987)/A987)</f>
        <v>1183.6158265878714</v>
      </c>
      <c r="H987" s="5">
        <f t="shared" si="63"/>
        <v>1</v>
      </c>
      <c r="I987" s="5">
        <f t="shared" si="64"/>
        <v>1</v>
      </c>
    </row>
    <row r="988" spans="1:9">
      <c r="A988">
        <v>987</v>
      </c>
      <c r="B988">
        <v>8</v>
      </c>
      <c r="C988">
        <v>5000</v>
      </c>
      <c r="D988">
        <v>5217</v>
      </c>
      <c r="E988" s="5">
        <f t="shared" si="61"/>
        <v>217</v>
      </c>
      <c r="F988" s="5">
        <f t="shared" si="62"/>
        <v>47089</v>
      </c>
      <c r="G988" s="6">
        <f>SQRT(SUM($F$2:F988)/A988)</f>
        <v>1183.0362359464355</v>
      </c>
      <c r="H988" s="5">
        <f t="shared" si="63"/>
        <v>1</v>
      </c>
      <c r="I988" s="5">
        <f t="shared" si="64"/>
        <v>1</v>
      </c>
    </row>
    <row r="989" spans="1:9">
      <c r="A989">
        <v>988</v>
      </c>
      <c r="B989">
        <v>8</v>
      </c>
      <c r="C989">
        <v>5000</v>
      </c>
      <c r="D989">
        <v>4958</v>
      </c>
      <c r="E989" s="5">
        <f t="shared" si="61"/>
        <v>42</v>
      </c>
      <c r="F989" s="5">
        <f t="shared" si="62"/>
        <v>1764</v>
      </c>
      <c r="G989" s="6">
        <f>SQRT(SUM($F$2:F989)/A989)</f>
        <v>1182.4381368039603</v>
      </c>
      <c r="H989" s="5">
        <f t="shared" si="63"/>
        <v>1</v>
      </c>
      <c r="I989" s="5">
        <f t="shared" si="64"/>
        <v>1</v>
      </c>
    </row>
    <row r="990" spans="1:9">
      <c r="A990">
        <v>989</v>
      </c>
      <c r="B990">
        <v>8</v>
      </c>
      <c r="C990">
        <v>5000</v>
      </c>
      <c r="D990">
        <v>5073</v>
      </c>
      <c r="E990" s="5">
        <f t="shared" si="61"/>
        <v>73</v>
      </c>
      <c r="F990" s="5">
        <f t="shared" si="62"/>
        <v>5329</v>
      </c>
      <c r="G990" s="6">
        <f>SQRT(SUM($F$2:F990)/A990)</f>
        <v>1181.8424704137221</v>
      </c>
      <c r="H990" s="5">
        <f t="shared" si="63"/>
        <v>1</v>
      </c>
      <c r="I990" s="5">
        <f t="shared" si="64"/>
        <v>1</v>
      </c>
    </row>
    <row r="991" spans="1:9">
      <c r="A991">
        <v>990</v>
      </c>
      <c r="B991">
        <v>8</v>
      </c>
      <c r="C991">
        <v>5000</v>
      </c>
      <c r="D991">
        <v>4526</v>
      </c>
      <c r="E991" s="5">
        <f t="shared" si="61"/>
        <v>474</v>
      </c>
      <c r="F991" s="5">
        <f t="shared" si="62"/>
        <v>224676</v>
      </c>
      <c r="G991" s="6">
        <f>SQRT(SUM($F$2:F991)/A991)</f>
        <v>1181.3414875052049</v>
      </c>
      <c r="H991" s="5">
        <f t="shared" si="63"/>
        <v>1</v>
      </c>
      <c r="I991" s="5">
        <f t="shared" si="64"/>
        <v>1</v>
      </c>
    </row>
    <row r="992" spans="1:9">
      <c r="A992">
        <v>991</v>
      </c>
      <c r="B992">
        <v>9</v>
      </c>
      <c r="C992">
        <v>5000</v>
      </c>
      <c r="D992">
        <v>5648</v>
      </c>
      <c r="E992" s="5">
        <f t="shared" si="61"/>
        <v>648</v>
      </c>
      <c r="F992" s="5">
        <f t="shared" si="62"/>
        <v>419904</v>
      </c>
      <c r="G992" s="6">
        <f>SQRT(SUM($F$2:F992)/A992)</f>
        <v>1180.9247163435268</v>
      </c>
      <c r="H992" s="5">
        <f t="shared" si="63"/>
        <v>1</v>
      </c>
      <c r="I992" s="5">
        <f t="shared" si="64"/>
        <v>0</v>
      </c>
    </row>
    <row r="993" spans="1:9">
      <c r="A993">
        <v>992</v>
      </c>
      <c r="B993">
        <v>8</v>
      </c>
      <c r="C993">
        <v>5000</v>
      </c>
      <c r="D993">
        <v>4513</v>
      </c>
      <c r="E993" s="5">
        <f t="shared" si="61"/>
        <v>487</v>
      </c>
      <c r="F993" s="5">
        <f t="shared" si="62"/>
        <v>237169</v>
      </c>
      <c r="G993" s="6">
        <f>SQRT(SUM($F$2:F993)/A993)</f>
        <v>1180.4306152841004</v>
      </c>
      <c r="H993" s="5">
        <f t="shared" si="63"/>
        <v>1</v>
      </c>
      <c r="I993" s="5">
        <f t="shared" si="64"/>
        <v>1</v>
      </c>
    </row>
    <row r="994" spans="1:9">
      <c r="A994">
        <v>993</v>
      </c>
      <c r="B994">
        <v>9</v>
      </c>
      <c r="C994">
        <v>5000</v>
      </c>
      <c r="D994">
        <v>6334</v>
      </c>
      <c r="E994" s="5">
        <f t="shared" si="61"/>
        <v>1334</v>
      </c>
      <c r="F994" s="5">
        <f t="shared" si="62"/>
        <v>1779556</v>
      </c>
      <c r="G994" s="6">
        <f>SQRT(SUM($F$2:F994)/A994)</f>
        <v>1180.5953155479042</v>
      </c>
      <c r="H994" s="5">
        <f t="shared" si="63"/>
        <v>0</v>
      </c>
      <c r="I994" s="5">
        <f t="shared" si="64"/>
        <v>0</v>
      </c>
    </row>
    <row r="995" spans="1:9">
      <c r="A995">
        <v>994</v>
      </c>
      <c r="B995">
        <v>7</v>
      </c>
      <c r="C995">
        <v>5000</v>
      </c>
      <c r="D995">
        <v>4075</v>
      </c>
      <c r="E995" s="5">
        <f t="shared" si="61"/>
        <v>925</v>
      </c>
      <c r="F995" s="5">
        <f t="shared" si="62"/>
        <v>855625</v>
      </c>
      <c r="G995" s="6">
        <f>SQRT(SUM($F$2:F995)/A995)</f>
        <v>1180.365989946054</v>
      </c>
      <c r="H995" s="5">
        <f t="shared" si="63"/>
        <v>1</v>
      </c>
      <c r="I995" s="5">
        <f t="shared" si="64"/>
        <v>0</v>
      </c>
    </row>
    <row r="996" spans="1:9">
      <c r="A996">
        <v>995</v>
      </c>
      <c r="B996">
        <v>9</v>
      </c>
      <c r="C996">
        <v>5000</v>
      </c>
      <c r="D996">
        <v>4999</v>
      </c>
      <c r="E996" s="5">
        <f t="shared" si="61"/>
        <v>1</v>
      </c>
      <c r="F996" s="5">
        <f t="shared" si="62"/>
        <v>1</v>
      </c>
      <c r="G996" s="6">
        <f>SQRT(SUM($F$2:F996)/A996)</f>
        <v>1179.7726925260438</v>
      </c>
      <c r="H996" s="5">
        <f t="shared" si="63"/>
        <v>1</v>
      </c>
      <c r="I996" s="5">
        <f t="shared" si="64"/>
        <v>1</v>
      </c>
    </row>
    <row r="997" spans="1:9">
      <c r="A997">
        <v>996</v>
      </c>
      <c r="B997">
        <v>8</v>
      </c>
      <c r="C997">
        <v>5000</v>
      </c>
      <c r="D997">
        <v>4872</v>
      </c>
      <c r="E997" s="5">
        <f t="shared" si="61"/>
        <v>128</v>
      </c>
      <c r="F997" s="5">
        <f t="shared" si="62"/>
        <v>16384</v>
      </c>
      <c r="G997" s="6">
        <f>SQRT(SUM($F$2:F997)/A997)</f>
        <v>1179.1872635038246</v>
      </c>
      <c r="H997" s="5">
        <f t="shared" si="63"/>
        <v>1</v>
      </c>
      <c r="I997" s="5">
        <f t="shared" si="64"/>
        <v>1</v>
      </c>
    </row>
    <row r="998" spans="1:9">
      <c r="A998">
        <v>997</v>
      </c>
      <c r="B998">
        <v>8</v>
      </c>
      <c r="C998">
        <v>5000</v>
      </c>
      <c r="D998">
        <v>5194</v>
      </c>
      <c r="E998" s="5">
        <f t="shared" si="61"/>
        <v>194</v>
      </c>
      <c r="F998" s="5">
        <f t="shared" si="62"/>
        <v>37636</v>
      </c>
      <c r="G998" s="6">
        <f>SQRT(SUM($F$2:F998)/A998)</f>
        <v>1178.6117618007916</v>
      </c>
      <c r="H998" s="5">
        <f t="shared" si="63"/>
        <v>1</v>
      </c>
      <c r="I998" s="5">
        <f t="shared" si="64"/>
        <v>1</v>
      </c>
    </row>
    <row r="999" spans="1:9">
      <c r="A999">
        <v>998</v>
      </c>
      <c r="B999">
        <v>8</v>
      </c>
      <c r="C999">
        <v>5000</v>
      </c>
      <c r="D999">
        <v>5285</v>
      </c>
      <c r="E999" s="5">
        <f t="shared" si="61"/>
        <v>285</v>
      </c>
      <c r="F999" s="5">
        <f t="shared" si="62"/>
        <v>81225</v>
      </c>
      <c r="G999" s="6">
        <f>SQRT(SUM($F$2:F999)/A999)</f>
        <v>1178.0556707247131</v>
      </c>
      <c r="H999" s="5">
        <f t="shared" si="63"/>
        <v>1</v>
      </c>
      <c r="I999" s="5">
        <f t="shared" si="64"/>
        <v>1</v>
      </c>
    </row>
    <row r="1000" spans="1:9">
      <c r="A1000">
        <v>999</v>
      </c>
      <c r="B1000">
        <v>8</v>
      </c>
      <c r="C1000">
        <v>5000</v>
      </c>
      <c r="D1000">
        <v>4555</v>
      </c>
      <c r="E1000" s="5">
        <f t="shared" si="61"/>
        <v>445</v>
      </c>
      <c r="F1000" s="5">
        <f t="shared" si="62"/>
        <v>198025</v>
      </c>
      <c r="G1000" s="6">
        <f>SQRT(SUM($F$2:F1000)/A1000)</f>
        <v>1177.5500762949243</v>
      </c>
      <c r="H1000" s="5">
        <f t="shared" si="63"/>
        <v>1</v>
      </c>
      <c r="I1000" s="5">
        <f t="shared" si="64"/>
        <v>1</v>
      </c>
    </row>
    <row r="1001" spans="1:9">
      <c r="A1001">
        <v>1000</v>
      </c>
      <c r="B1001">
        <v>9</v>
      </c>
      <c r="C1001">
        <v>5000</v>
      </c>
      <c r="D1001">
        <v>5933</v>
      </c>
      <c r="E1001" s="5">
        <f t="shared" si="61"/>
        <v>933</v>
      </c>
      <c r="F1001" s="5">
        <f t="shared" si="62"/>
        <v>870489</v>
      </c>
      <c r="G1001" s="6">
        <f>SQRT(SUM($F$2:F1001)/A1001)</f>
        <v>1177.3308995350458</v>
      </c>
      <c r="H1001" s="5">
        <f t="shared" si="63"/>
        <v>1</v>
      </c>
      <c r="I1001" s="5">
        <f t="shared" si="64"/>
        <v>0</v>
      </c>
    </row>
    <row r="1002" spans="1:9">
      <c r="A1002">
        <v>1001</v>
      </c>
      <c r="B1002">
        <v>1</v>
      </c>
      <c r="C1002">
        <v>6000</v>
      </c>
      <c r="D1002">
        <v>769</v>
      </c>
      <c r="E1002" s="5">
        <f t="shared" si="61"/>
        <v>5231</v>
      </c>
      <c r="F1002" s="5">
        <f t="shared" si="62"/>
        <v>27363361</v>
      </c>
      <c r="G1002" s="6">
        <f>SQRT(SUM($F$2:F1002)/A1002)</f>
        <v>1188.3010345242271</v>
      </c>
      <c r="H1002" s="5">
        <f t="shared" si="63"/>
        <v>0</v>
      </c>
      <c r="I1002" s="5">
        <f t="shared" si="64"/>
        <v>0</v>
      </c>
    </row>
    <row r="1003" spans="1:9">
      <c r="A1003">
        <v>1002</v>
      </c>
      <c r="B1003">
        <v>7</v>
      </c>
      <c r="C1003">
        <v>6000</v>
      </c>
      <c r="D1003">
        <v>4671</v>
      </c>
      <c r="E1003" s="5">
        <f t="shared" si="61"/>
        <v>1329</v>
      </c>
      <c r="F1003" s="5">
        <f t="shared" si="62"/>
        <v>1766241</v>
      </c>
      <c r="G1003" s="6">
        <f>SQRT(SUM($F$2:F1003)/A1003)</f>
        <v>1188.4497563436553</v>
      </c>
      <c r="H1003" s="5">
        <f t="shared" si="63"/>
        <v>0</v>
      </c>
      <c r="I1003" s="5">
        <f t="shared" si="64"/>
        <v>0</v>
      </c>
    </row>
    <row r="1004" spans="1:9">
      <c r="A1004">
        <v>1003</v>
      </c>
      <c r="B1004">
        <v>3</v>
      </c>
      <c r="C1004">
        <v>6000</v>
      </c>
      <c r="D1004">
        <v>2397</v>
      </c>
      <c r="E1004" s="5">
        <f t="shared" si="61"/>
        <v>3603</v>
      </c>
      <c r="F1004" s="5">
        <f t="shared" si="62"/>
        <v>12981609</v>
      </c>
      <c r="G1004" s="6">
        <f>SQRT(SUM($F$2:F1004)/A1004)</f>
        <v>1193.2926781610377</v>
      </c>
      <c r="H1004" s="5">
        <f t="shared" si="63"/>
        <v>0</v>
      </c>
      <c r="I1004" s="5">
        <f t="shared" si="64"/>
        <v>0</v>
      </c>
    </row>
    <row r="1005" spans="1:9">
      <c r="A1005">
        <v>1004</v>
      </c>
      <c r="B1005">
        <v>6</v>
      </c>
      <c r="C1005">
        <v>6000</v>
      </c>
      <c r="D1005">
        <v>2434</v>
      </c>
      <c r="E1005" s="5">
        <f t="shared" si="61"/>
        <v>3566</v>
      </c>
      <c r="F1005" s="5">
        <f t="shared" si="62"/>
        <v>12716356</v>
      </c>
      <c r="G1005" s="6">
        <f>SQRT(SUM($F$2:F1005)/A1005)</f>
        <v>1197.9961747273464</v>
      </c>
      <c r="H1005" s="5">
        <f t="shared" si="63"/>
        <v>0</v>
      </c>
      <c r="I1005" s="5">
        <f t="shared" si="64"/>
        <v>0</v>
      </c>
    </row>
    <row r="1006" spans="1:9">
      <c r="A1006">
        <v>1005</v>
      </c>
      <c r="B1006">
        <v>7</v>
      </c>
      <c r="C1006">
        <v>6000</v>
      </c>
      <c r="D1006">
        <v>2418</v>
      </c>
      <c r="E1006" s="5">
        <f t="shared" si="61"/>
        <v>3582</v>
      </c>
      <c r="F1006" s="5">
        <f t="shared" si="62"/>
        <v>12830724</v>
      </c>
      <c r="G1006" s="6">
        <f>SQRT(SUM($F$2:F1006)/A1006)</f>
        <v>1202.7192813170252</v>
      </c>
      <c r="H1006" s="5">
        <f t="shared" si="63"/>
        <v>0</v>
      </c>
      <c r="I1006" s="5">
        <f t="shared" si="64"/>
        <v>0</v>
      </c>
    </row>
    <row r="1007" spans="1:9">
      <c r="A1007">
        <v>1006</v>
      </c>
      <c r="B1007">
        <v>8</v>
      </c>
      <c r="C1007">
        <v>6000</v>
      </c>
      <c r="D1007">
        <v>2176</v>
      </c>
      <c r="E1007" s="5">
        <f t="shared" si="61"/>
        <v>3824</v>
      </c>
      <c r="F1007" s="5">
        <f t="shared" si="62"/>
        <v>14622976</v>
      </c>
      <c r="G1007" s="6">
        <f>SQRT(SUM($F$2:F1007)/A1007)</f>
        <v>1208.1521116361528</v>
      </c>
      <c r="H1007" s="5">
        <f t="shared" si="63"/>
        <v>0</v>
      </c>
      <c r="I1007" s="5">
        <f t="shared" si="64"/>
        <v>0</v>
      </c>
    </row>
    <row r="1008" spans="1:9">
      <c r="A1008">
        <v>1007</v>
      </c>
      <c r="B1008">
        <v>9</v>
      </c>
      <c r="C1008">
        <v>6000</v>
      </c>
      <c r="D1008">
        <v>4656</v>
      </c>
      <c r="E1008" s="5">
        <f t="shared" si="61"/>
        <v>1344</v>
      </c>
      <c r="F1008" s="5">
        <f t="shared" si="62"/>
        <v>1806336</v>
      </c>
      <c r="G1008" s="6">
        <f>SQRT(SUM($F$2:F1008)/A1008)</f>
        <v>1208.2945912587477</v>
      </c>
      <c r="H1008" s="5">
        <f t="shared" si="63"/>
        <v>0</v>
      </c>
      <c r="I1008" s="5">
        <f t="shared" si="64"/>
        <v>0</v>
      </c>
    </row>
    <row r="1009" spans="1:9">
      <c r="A1009">
        <v>1008</v>
      </c>
      <c r="B1009">
        <v>6</v>
      </c>
      <c r="C1009">
        <v>6000</v>
      </c>
      <c r="D1009">
        <v>2920</v>
      </c>
      <c r="E1009" s="5">
        <f t="shared" si="61"/>
        <v>3080</v>
      </c>
      <c r="F1009" s="5">
        <f t="shared" si="62"/>
        <v>9486400</v>
      </c>
      <c r="G1009" s="6">
        <f>SQRT(SUM($F$2:F1009)/A1009)</f>
        <v>1211.5851359548228</v>
      </c>
      <c r="H1009" s="5">
        <f t="shared" si="63"/>
        <v>0</v>
      </c>
      <c r="I1009" s="5">
        <f t="shared" si="64"/>
        <v>0</v>
      </c>
    </row>
    <row r="1010" spans="1:9">
      <c r="A1010">
        <v>1009</v>
      </c>
      <c r="B1010">
        <v>9</v>
      </c>
      <c r="C1010">
        <v>6000</v>
      </c>
      <c r="D1010">
        <v>5041</v>
      </c>
      <c r="E1010" s="5">
        <f t="shared" si="61"/>
        <v>959</v>
      </c>
      <c r="F1010" s="5">
        <f t="shared" si="62"/>
        <v>919681</v>
      </c>
      <c r="G1010" s="6">
        <f>SQRT(SUM($F$2:F1010)/A1010)</f>
        <v>1211.3608770428939</v>
      </c>
      <c r="H1010" s="5">
        <f t="shared" si="63"/>
        <v>1</v>
      </c>
      <c r="I1010" s="5">
        <f t="shared" si="64"/>
        <v>0</v>
      </c>
    </row>
    <row r="1011" spans="1:9">
      <c r="A1011">
        <v>1010</v>
      </c>
      <c r="B1011">
        <v>7</v>
      </c>
      <c r="C1011">
        <v>6000</v>
      </c>
      <c r="D1011">
        <v>4099</v>
      </c>
      <c r="E1011" s="5">
        <f t="shared" si="61"/>
        <v>1901</v>
      </c>
      <c r="F1011" s="5">
        <f t="shared" si="62"/>
        <v>3613801</v>
      </c>
      <c r="G1011" s="6">
        <f>SQRT(SUM($F$2:F1011)/A1011)</f>
        <v>1212.2377360538119</v>
      </c>
      <c r="H1011" s="5">
        <f t="shared" si="63"/>
        <v>0</v>
      </c>
      <c r="I1011" s="5">
        <f t="shared" si="64"/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1"/>
  <sheetViews>
    <sheetView workbookViewId="0">
      <selection activeCell="A2" sqref="A2:D1001"/>
    </sheetView>
  </sheetViews>
  <sheetFormatPr defaultRowHeight="14.5"/>
  <sheetData>
    <row r="1" spans="1:9" ht="43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</row>
    <row r="2" spans="1:9">
      <c r="A2">
        <v>1</v>
      </c>
      <c r="B2">
        <v>1</v>
      </c>
      <c r="C2">
        <v>5000</v>
      </c>
      <c r="D2">
        <v>1333</v>
      </c>
      <c r="E2" s="5">
        <f>ABS(C2-D2)</f>
        <v>3667</v>
      </c>
      <c r="F2" s="5">
        <f>POWER(E2,2)</f>
        <v>13446889</v>
      </c>
      <c r="G2" s="6">
        <f>SQRT(SUM($F$2:F2)/A2)</f>
        <v>3667</v>
      </c>
      <c r="H2" s="5">
        <f t="shared" ref="H2" si="0">IF(ABS(E2)/C2&gt;0.2,0,1)</f>
        <v>0</v>
      </c>
      <c r="I2" s="5">
        <f>IF(ABS(E2)/C2&gt;0.1,0,1)</f>
        <v>0</v>
      </c>
    </row>
    <row r="3" spans="1:9">
      <c r="A3">
        <v>2</v>
      </c>
      <c r="B3">
        <v>5</v>
      </c>
      <c r="C3">
        <v>5000</v>
      </c>
      <c r="D3">
        <v>3400</v>
      </c>
      <c r="E3" s="5">
        <f t="shared" ref="E3:E66" si="1">ABS(C3-D3)</f>
        <v>1600</v>
      </c>
      <c r="F3" s="5">
        <f t="shared" ref="F3:F66" si="2">POWER(E3,2)</f>
        <v>2560000</v>
      </c>
      <c r="G3" s="6">
        <f>SQRT(SUM($F$2:F3)/A3)</f>
        <v>2829.0359665440806</v>
      </c>
      <c r="H3" s="5">
        <f t="shared" ref="H3:H66" si="3">IF(ABS(E3)/C3&gt;0.2,0,1)</f>
        <v>0</v>
      </c>
      <c r="I3" s="5">
        <f t="shared" ref="I3:I66" si="4">IF(ABS(E3)/C3&gt;0.1,0,1)</f>
        <v>0</v>
      </c>
    </row>
    <row r="4" spans="1:9">
      <c r="A4">
        <v>3</v>
      </c>
      <c r="B4">
        <v>3</v>
      </c>
      <c r="C4">
        <v>5000</v>
      </c>
      <c r="D4">
        <v>1956</v>
      </c>
      <c r="E4" s="5">
        <f t="shared" si="1"/>
        <v>3044</v>
      </c>
      <c r="F4" s="5">
        <f t="shared" si="2"/>
        <v>9265936</v>
      </c>
      <c r="G4" s="6">
        <f>SQRT(SUM($F$2:F4)/A4)</f>
        <v>2902.4601633786465</v>
      </c>
      <c r="H4" s="5">
        <f t="shared" si="3"/>
        <v>0</v>
      </c>
      <c r="I4" s="5">
        <f t="shared" si="4"/>
        <v>0</v>
      </c>
    </row>
    <row r="5" spans="1:9">
      <c r="A5">
        <v>4</v>
      </c>
      <c r="B5">
        <v>5</v>
      </c>
      <c r="C5">
        <v>5000</v>
      </c>
      <c r="D5">
        <v>4263</v>
      </c>
      <c r="E5" s="5">
        <f t="shared" si="1"/>
        <v>737</v>
      </c>
      <c r="F5" s="5">
        <f t="shared" si="2"/>
        <v>543169</v>
      </c>
      <c r="G5" s="6">
        <f>SQRT(SUM($F$2:F5)/A5)</f>
        <v>2540.4721017952547</v>
      </c>
      <c r="H5" s="5">
        <f t="shared" si="3"/>
        <v>1</v>
      </c>
      <c r="I5" s="5">
        <f t="shared" si="4"/>
        <v>0</v>
      </c>
    </row>
    <row r="6" spans="1:9">
      <c r="A6">
        <v>5</v>
      </c>
      <c r="B6">
        <v>3</v>
      </c>
      <c r="C6">
        <v>5000</v>
      </c>
      <c r="D6">
        <v>2212</v>
      </c>
      <c r="E6" s="5">
        <f t="shared" si="1"/>
        <v>2788</v>
      </c>
      <c r="F6" s="5">
        <f t="shared" si="2"/>
        <v>7772944</v>
      </c>
      <c r="G6" s="6">
        <f>SQRT(SUM($F$2:F6)/A6)</f>
        <v>2591.8695183207042</v>
      </c>
      <c r="H6" s="5">
        <f t="shared" si="3"/>
        <v>0</v>
      </c>
      <c r="I6" s="5">
        <f t="shared" si="4"/>
        <v>0</v>
      </c>
    </row>
    <row r="7" spans="1:9">
      <c r="A7">
        <v>6</v>
      </c>
      <c r="B7">
        <v>6</v>
      </c>
      <c r="C7">
        <v>5000</v>
      </c>
      <c r="D7">
        <v>4650</v>
      </c>
      <c r="E7" s="5">
        <f t="shared" si="1"/>
        <v>350</v>
      </c>
      <c r="F7" s="5">
        <f t="shared" si="2"/>
        <v>122500</v>
      </c>
      <c r="G7" s="6">
        <f>SQRT(SUM($F$2:F7)/A7)</f>
        <v>2370.3529273085051</v>
      </c>
      <c r="H7" s="5">
        <f t="shared" si="3"/>
        <v>1</v>
      </c>
      <c r="I7" s="5">
        <f t="shared" si="4"/>
        <v>1</v>
      </c>
    </row>
    <row r="8" spans="1:9">
      <c r="A8">
        <v>7</v>
      </c>
      <c r="B8">
        <v>4</v>
      </c>
      <c r="C8">
        <v>5000</v>
      </c>
      <c r="D8">
        <v>3422</v>
      </c>
      <c r="E8" s="5">
        <f t="shared" si="1"/>
        <v>1578</v>
      </c>
      <c r="F8" s="5">
        <f t="shared" si="2"/>
        <v>2490084</v>
      </c>
      <c r="G8" s="6">
        <f>SQRT(SUM($F$2:F8)/A8)</f>
        <v>2274.1253263617641</v>
      </c>
      <c r="H8" s="5">
        <f t="shared" si="3"/>
        <v>0</v>
      </c>
      <c r="I8" s="5">
        <f t="shared" si="4"/>
        <v>0</v>
      </c>
    </row>
    <row r="9" spans="1:9">
      <c r="A9">
        <v>8</v>
      </c>
      <c r="B9">
        <v>5</v>
      </c>
      <c r="C9">
        <v>5000</v>
      </c>
      <c r="D9">
        <v>3145</v>
      </c>
      <c r="E9" s="5">
        <f t="shared" si="1"/>
        <v>1855</v>
      </c>
      <c r="F9" s="5">
        <f t="shared" si="2"/>
        <v>3441025</v>
      </c>
      <c r="G9" s="6">
        <f>SQRT(SUM($F$2:F9)/A9)</f>
        <v>2226.0544411581673</v>
      </c>
      <c r="H9" s="5">
        <f t="shared" si="3"/>
        <v>0</v>
      </c>
      <c r="I9" s="5">
        <f t="shared" si="4"/>
        <v>0</v>
      </c>
    </row>
    <row r="10" spans="1:9">
      <c r="A10">
        <v>9</v>
      </c>
      <c r="B10">
        <v>6</v>
      </c>
      <c r="C10">
        <v>5000</v>
      </c>
      <c r="D10">
        <v>4123</v>
      </c>
      <c r="E10" s="5">
        <f t="shared" si="1"/>
        <v>877</v>
      </c>
      <c r="F10" s="5">
        <f t="shared" si="2"/>
        <v>769129</v>
      </c>
      <c r="G10" s="6">
        <f>SQRT(SUM($F$2:F10)/A10)</f>
        <v>2119.0059514362442</v>
      </c>
      <c r="H10" s="5">
        <f t="shared" si="3"/>
        <v>1</v>
      </c>
      <c r="I10" s="5">
        <f t="shared" si="4"/>
        <v>0</v>
      </c>
    </row>
    <row r="11" spans="1:9">
      <c r="A11">
        <v>10</v>
      </c>
      <c r="B11">
        <v>5</v>
      </c>
      <c r="C11">
        <v>5000</v>
      </c>
      <c r="D11">
        <v>4070</v>
      </c>
      <c r="E11" s="5">
        <f t="shared" si="1"/>
        <v>930</v>
      </c>
      <c r="F11" s="5">
        <f t="shared" si="2"/>
        <v>864900</v>
      </c>
      <c r="G11" s="6">
        <f>SQRT(SUM($F$2:F11)/A11)</f>
        <v>2031.6637517069601</v>
      </c>
      <c r="H11" s="5">
        <f t="shared" si="3"/>
        <v>1</v>
      </c>
      <c r="I11" s="5">
        <f t="shared" si="4"/>
        <v>0</v>
      </c>
    </row>
    <row r="12" spans="1:9">
      <c r="A12">
        <v>11</v>
      </c>
      <c r="B12">
        <v>6</v>
      </c>
      <c r="C12">
        <v>5000</v>
      </c>
      <c r="D12">
        <v>4700</v>
      </c>
      <c r="E12" s="5">
        <f t="shared" si="1"/>
        <v>300</v>
      </c>
      <c r="F12" s="5">
        <f t="shared" si="2"/>
        <v>90000</v>
      </c>
      <c r="G12" s="6">
        <f>SQRT(SUM($F$2:F12)/A12)</f>
        <v>1939.2260874332881</v>
      </c>
      <c r="H12" s="5">
        <f t="shared" si="3"/>
        <v>1</v>
      </c>
      <c r="I12" s="5">
        <f t="shared" si="4"/>
        <v>1</v>
      </c>
    </row>
    <row r="13" spans="1:9">
      <c r="A13">
        <v>12</v>
      </c>
      <c r="B13">
        <v>5</v>
      </c>
      <c r="C13">
        <v>5000</v>
      </c>
      <c r="D13">
        <v>3271</v>
      </c>
      <c r="E13" s="5">
        <f t="shared" si="1"/>
        <v>1729</v>
      </c>
      <c r="F13" s="5">
        <f t="shared" si="2"/>
        <v>2989441</v>
      </c>
      <c r="G13" s="6">
        <f>SQRT(SUM($F$2:F13)/A13)</f>
        <v>1922.5854337323999</v>
      </c>
      <c r="H13" s="5">
        <f t="shared" si="3"/>
        <v>0</v>
      </c>
      <c r="I13" s="5">
        <f t="shared" si="4"/>
        <v>0</v>
      </c>
    </row>
    <row r="14" spans="1:9">
      <c r="A14">
        <v>13</v>
      </c>
      <c r="B14">
        <v>7</v>
      </c>
      <c r="C14">
        <v>5000</v>
      </c>
      <c r="D14">
        <v>4751</v>
      </c>
      <c r="E14" s="5">
        <f t="shared" si="1"/>
        <v>249</v>
      </c>
      <c r="F14" s="5">
        <f t="shared" si="2"/>
        <v>62001</v>
      </c>
      <c r="G14" s="6">
        <f>SQRT(SUM($F$2:F14)/A14)</f>
        <v>1848.4508690751334</v>
      </c>
      <c r="H14" s="5">
        <f t="shared" si="3"/>
        <v>1</v>
      </c>
      <c r="I14" s="5">
        <f t="shared" si="4"/>
        <v>1</v>
      </c>
    </row>
    <row r="15" spans="1:9">
      <c r="A15">
        <v>14</v>
      </c>
      <c r="B15">
        <v>6</v>
      </c>
      <c r="C15">
        <v>5000</v>
      </c>
      <c r="D15">
        <v>4230</v>
      </c>
      <c r="E15" s="5">
        <f t="shared" si="1"/>
        <v>770</v>
      </c>
      <c r="F15" s="5">
        <f t="shared" si="2"/>
        <v>592900</v>
      </c>
      <c r="G15" s="6">
        <f>SQRT(SUM($F$2:F15)/A15)</f>
        <v>1793.060392577052</v>
      </c>
      <c r="H15" s="5">
        <f t="shared" si="3"/>
        <v>1</v>
      </c>
      <c r="I15" s="5">
        <f t="shared" si="4"/>
        <v>0</v>
      </c>
    </row>
    <row r="16" spans="1:9">
      <c r="A16">
        <v>15</v>
      </c>
      <c r="B16">
        <v>6</v>
      </c>
      <c r="C16">
        <v>5000</v>
      </c>
      <c r="D16">
        <v>4669</v>
      </c>
      <c r="E16" s="5">
        <f t="shared" si="1"/>
        <v>331</v>
      </c>
      <c r="F16" s="5">
        <f t="shared" si="2"/>
        <v>109561</v>
      </c>
      <c r="G16" s="6">
        <f>SQRT(SUM($F$2:F16)/A16)</f>
        <v>1734.3678771625509</v>
      </c>
      <c r="H16" s="5">
        <f t="shared" si="3"/>
        <v>1</v>
      </c>
      <c r="I16" s="5">
        <f t="shared" si="4"/>
        <v>1</v>
      </c>
    </row>
    <row r="17" spans="1:9">
      <c r="A17">
        <v>16</v>
      </c>
      <c r="B17">
        <v>6</v>
      </c>
      <c r="C17">
        <v>5000</v>
      </c>
      <c r="D17">
        <v>4083</v>
      </c>
      <c r="E17" s="5">
        <f t="shared" si="1"/>
        <v>917</v>
      </c>
      <c r="F17" s="5">
        <f t="shared" si="2"/>
        <v>840889</v>
      </c>
      <c r="G17" s="6">
        <f>SQRT(SUM($F$2:F17)/A17)</f>
        <v>1694.8703490237831</v>
      </c>
      <c r="H17" s="5">
        <f t="shared" si="3"/>
        <v>1</v>
      </c>
      <c r="I17" s="5">
        <f t="shared" si="4"/>
        <v>0</v>
      </c>
    </row>
    <row r="18" spans="1:9">
      <c r="A18">
        <v>17</v>
      </c>
      <c r="B18">
        <v>7</v>
      </c>
      <c r="C18">
        <v>5000</v>
      </c>
      <c r="D18">
        <v>4581</v>
      </c>
      <c r="E18" s="5">
        <f t="shared" si="1"/>
        <v>419</v>
      </c>
      <c r="F18" s="5">
        <f t="shared" si="2"/>
        <v>175561</v>
      </c>
      <c r="G18" s="6">
        <f>SQRT(SUM($F$2:F18)/A18)</f>
        <v>1647.403107924712</v>
      </c>
      <c r="H18" s="5">
        <f t="shared" si="3"/>
        <v>1</v>
      </c>
      <c r="I18" s="5">
        <f t="shared" si="4"/>
        <v>1</v>
      </c>
    </row>
    <row r="19" spans="1:9">
      <c r="A19">
        <v>18</v>
      </c>
      <c r="B19">
        <v>7</v>
      </c>
      <c r="C19">
        <v>5000</v>
      </c>
      <c r="D19">
        <v>5326</v>
      </c>
      <c r="E19" s="5">
        <f t="shared" si="1"/>
        <v>326</v>
      </c>
      <c r="F19" s="5">
        <f t="shared" si="2"/>
        <v>106276</v>
      </c>
      <c r="G19" s="6">
        <f>SQRT(SUM($F$2:F19)/A19)</f>
        <v>1602.8309157376659</v>
      </c>
      <c r="H19" s="5">
        <f t="shared" si="3"/>
        <v>1</v>
      </c>
      <c r="I19" s="5">
        <f t="shared" si="4"/>
        <v>1</v>
      </c>
    </row>
    <row r="20" spans="1:9">
      <c r="A20">
        <v>19</v>
      </c>
      <c r="B20">
        <v>6</v>
      </c>
      <c r="C20">
        <v>5000</v>
      </c>
      <c r="D20">
        <v>4849</v>
      </c>
      <c r="E20" s="5">
        <f t="shared" si="1"/>
        <v>151</v>
      </c>
      <c r="F20" s="5">
        <f t="shared" si="2"/>
        <v>22801</v>
      </c>
      <c r="G20" s="6">
        <f>SQRT(SUM($F$2:F20)/A20)</f>
        <v>1560.4656187716605</v>
      </c>
      <c r="H20" s="5">
        <f t="shared" si="3"/>
        <v>1</v>
      </c>
      <c r="I20" s="5">
        <f t="shared" si="4"/>
        <v>1</v>
      </c>
    </row>
    <row r="21" spans="1:9">
      <c r="A21">
        <v>20</v>
      </c>
      <c r="B21">
        <v>6</v>
      </c>
      <c r="C21">
        <v>5000</v>
      </c>
      <c r="D21">
        <v>5412</v>
      </c>
      <c r="E21" s="5">
        <f t="shared" si="1"/>
        <v>412</v>
      </c>
      <c r="F21" s="5">
        <f t="shared" si="2"/>
        <v>169744</v>
      </c>
      <c r="G21" s="6">
        <f>SQRT(SUM($F$2:F21)/A21)</f>
        <v>1523.7412838142832</v>
      </c>
      <c r="H21" s="5">
        <f t="shared" si="3"/>
        <v>1</v>
      </c>
      <c r="I21" s="5">
        <f t="shared" si="4"/>
        <v>1</v>
      </c>
    </row>
    <row r="22" spans="1:9">
      <c r="A22">
        <v>21</v>
      </c>
      <c r="B22">
        <v>6</v>
      </c>
      <c r="C22">
        <v>5000</v>
      </c>
      <c r="D22">
        <v>4713</v>
      </c>
      <c r="E22" s="5">
        <f t="shared" si="1"/>
        <v>287</v>
      </c>
      <c r="F22" s="5">
        <f t="shared" si="2"/>
        <v>82369</v>
      </c>
      <c r="G22" s="6">
        <f>SQRT(SUM($F$2:F22)/A22)</f>
        <v>1488.3375033269583</v>
      </c>
      <c r="H22" s="5">
        <f t="shared" si="3"/>
        <v>1</v>
      </c>
      <c r="I22" s="5">
        <f t="shared" si="4"/>
        <v>1</v>
      </c>
    </row>
    <row r="23" spans="1:9">
      <c r="A23">
        <v>22</v>
      </c>
      <c r="B23">
        <v>6</v>
      </c>
      <c r="C23">
        <v>5000</v>
      </c>
      <c r="D23">
        <v>4978</v>
      </c>
      <c r="E23" s="5">
        <f t="shared" si="1"/>
        <v>22</v>
      </c>
      <c r="F23" s="5">
        <f t="shared" si="2"/>
        <v>484</v>
      </c>
      <c r="G23" s="6">
        <f>SQRT(SUM($F$2:F23)/A23)</f>
        <v>1454.1258386210784</v>
      </c>
      <c r="H23" s="5">
        <f t="shared" si="3"/>
        <v>1</v>
      </c>
      <c r="I23" s="5">
        <f t="shared" si="4"/>
        <v>1</v>
      </c>
    </row>
    <row r="24" spans="1:9">
      <c r="A24">
        <v>23</v>
      </c>
      <c r="B24">
        <v>6</v>
      </c>
      <c r="C24">
        <v>5000</v>
      </c>
      <c r="D24">
        <v>4494</v>
      </c>
      <c r="E24" s="5">
        <f t="shared" si="1"/>
        <v>506</v>
      </c>
      <c r="F24" s="5">
        <f t="shared" si="2"/>
        <v>256036</v>
      </c>
      <c r="G24" s="6">
        <f>SQRT(SUM($F$2:F24)/A24)</f>
        <v>1426.0715117138197</v>
      </c>
      <c r="H24" s="5">
        <f t="shared" si="3"/>
        <v>1</v>
      </c>
      <c r="I24" s="5">
        <f t="shared" si="4"/>
        <v>0</v>
      </c>
    </row>
    <row r="25" spans="1:9">
      <c r="A25">
        <v>24</v>
      </c>
      <c r="B25">
        <v>7</v>
      </c>
      <c r="C25">
        <v>5000</v>
      </c>
      <c r="D25">
        <v>5808</v>
      </c>
      <c r="E25" s="5">
        <f t="shared" si="1"/>
        <v>808</v>
      </c>
      <c r="F25" s="5">
        <f t="shared" si="2"/>
        <v>652864</v>
      </c>
      <c r="G25" s="6">
        <f>SQRT(SUM($F$2:F25)/A25)</f>
        <v>1405.7545868085699</v>
      </c>
      <c r="H25" s="5">
        <f t="shared" si="3"/>
        <v>1</v>
      </c>
      <c r="I25" s="5">
        <f t="shared" si="4"/>
        <v>0</v>
      </c>
    </row>
    <row r="26" spans="1:9">
      <c r="A26">
        <v>25</v>
      </c>
      <c r="B26">
        <v>5</v>
      </c>
      <c r="C26">
        <v>5000</v>
      </c>
      <c r="D26">
        <v>3517</v>
      </c>
      <c r="E26" s="5">
        <f t="shared" si="1"/>
        <v>1483</v>
      </c>
      <c r="F26" s="5">
        <f t="shared" si="2"/>
        <v>2199289</v>
      </c>
      <c r="G26" s="6">
        <f>SQRT(SUM($F$2:F26)/A26)</f>
        <v>1408.9257184110168</v>
      </c>
      <c r="H26" s="5">
        <f t="shared" si="3"/>
        <v>0</v>
      </c>
      <c r="I26" s="5">
        <f t="shared" si="4"/>
        <v>0</v>
      </c>
    </row>
    <row r="27" spans="1:9">
      <c r="A27">
        <v>26</v>
      </c>
      <c r="B27">
        <v>8</v>
      </c>
      <c r="C27">
        <v>5000</v>
      </c>
      <c r="D27">
        <v>5529</v>
      </c>
      <c r="E27" s="5">
        <f t="shared" si="1"/>
        <v>529</v>
      </c>
      <c r="F27" s="5">
        <f t="shared" si="2"/>
        <v>279841</v>
      </c>
      <c r="G27" s="6">
        <f>SQRT(SUM($F$2:F27)/A27)</f>
        <v>1385.4551182248324</v>
      </c>
      <c r="H27" s="5">
        <f t="shared" si="3"/>
        <v>1</v>
      </c>
      <c r="I27" s="5">
        <f t="shared" si="4"/>
        <v>0</v>
      </c>
    </row>
    <row r="28" spans="1:9">
      <c r="A28">
        <v>27</v>
      </c>
      <c r="B28">
        <v>6</v>
      </c>
      <c r="C28">
        <v>5000</v>
      </c>
      <c r="D28">
        <v>4657</v>
      </c>
      <c r="E28" s="5">
        <f t="shared" si="1"/>
        <v>343</v>
      </c>
      <c r="F28" s="5">
        <f t="shared" si="2"/>
        <v>117649</v>
      </c>
      <c r="G28" s="6">
        <f>SQRT(SUM($F$2:F28)/A28)</f>
        <v>1361.1580309373285</v>
      </c>
      <c r="H28" s="5">
        <f t="shared" si="3"/>
        <v>1</v>
      </c>
      <c r="I28" s="5">
        <f t="shared" si="4"/>
        <v>1</v>
      </c>
    </row>
    <row r="29" spans="1:9">
      <c r="A29">
        <v>28</v>
      </c>
      <c r="B29">
        <v>7</v>
      </c>
      <c r="C29">
        <v>5000</v>
      </c>
      <c r="D29">
        <v>5529</v>
      </c>
      <c r="E29" s="5">
        <f t="shared" si="1"/>
        <v>529</v>
      </c>
      <c r="F29" s="5">
        <f t="shared" si="2"/>
        <v>279841</v>
      </c>
      <c r="G29" s="6">
        <f>SQRT(SUM($F$2:F29)/A29)</f>
        <v>1340.3640630174218</v>
      </c>
      <c r="H29" s="5">
        <f t="shared" si="3"/>
        <v>1</v>
      </c>
      <c r="I29" s="5">
        <f t="shared" si="4"/>
        <v>0</v>
      </c>
    </row>
    <row r="30" spans="1:9">
      <c r="A30">
        <v>29</v>
      </c>
      <c r="B30">
        <v>6</v>
      </c>
      <c r="C30">
        <v>5000</v>
      </c>
      <c r="D30">
        <v>4578</v>
      </c>
      <c r="E30" s="5">
        <f t="shared" si="1"/>
        <v>422</v>
      </c>
      <c r="F30" s="5">
        <f t="shared" si="2"/>
        <v>178084</v>
      </c>
      <c r="G30" s="6">
        <f>SQRT(SUM($F$2:F30)/A30)</f>
        <v>1319.3808239551952</v>
      </c>
      <c r="H30" s="5">
        <f t="shared" si="3"/>
        <v>1</v>
      </c>
      <c r="I30" s="5">
        <f t="shared" si="4"/>
        <v>1</v>
      </c>
    </row>
    <row r="31" spans="1:9">
      <c r="A31">
        <v>30</v>
      </c>
      <c r="B31">
        <v>7</v>
      </c>
      <c r="C31">
        <v>5000</v>
      </c>
      <c r="D31">
        <v>5394</v>
      </c>
      <c r="E31" s="5">
        <f t="shared" si="1"/>
        <v>394</v>
      </c>
      <c r="F31" s="5">
        <f t="shared" si="2"/>
        <v>155236</v>
      </c>
      <c r="G31" s="6">
        <f>SQRT(SUM($F$2:F31)/A31)</f>
        <v>1299.1977396326806</v>
      </c>
      <c r="H31" s="5">
        <f t="shared" si="3"/>
        <v>1</v>
      </c>
      <c r="I31" s="5">
        <f t="shared" si="4"/>
        <v>1</v>
      </c>
    </row>
    <row r="32" spans="1:9">
      <c r="A32">
        <v>31</v>
      </c>
      <c r="B32">
        <v>6</v>
      </c>
      <c r="C32">
        <v>5000</v>
      </c>
      <c r="D32">
        <v>4486</v>
      </c>
      <c r="E32" s="5">
        <f t="shared" si="1"/>
        <v>514</v>
      </c>
      <c r="F32" s="5">
        <f t="shared" si="2"/>
        <v>264196</v>
      </c>
      <c r="G32" s="6">
        <f>SQRT(SUM($F$2:F32)/A32)</f>
        <v>1281.4009344614626</v>
      </c>
      <c r="H32" s="5">
        <f t="shared" si="3"/>
        <v>1</v>
      </c>
      <c r="I32" s="5">
        <f t="shared" si="4"/>
        <v>0</v>
      </c>
    </row>
    <row r="33" spans="1:9">
      <c r="A33">
        <v>32</v>
      </c>
      <c r="B33">
        <v>7</v>
      </c>
      <c r="C33">
        <v>5000</v>
      </c>
      <c r="D33">
        <v>5864</v>
      </c>
      <c r="E33" s="5">
        <f t="shared" si="1"/>
        <v>864</v>
      </c>
      <c r="F33" s="5">
        <f t="shared" si="2"/>
        <v>746496</v>
      </c>
      <c r="G33" s="6">
        <f>SQRT(SUM($F$2:F33)/A33)</f>
        <v>1270.4346574106046</v>
      </c>
      <c r="H33" s="5">
        <f t="shared" si="3"/>
        <v>1</v>
      </c>
      <c r="I33" s="5">
        <f t="shared" si="4"/>
        <v>0</v>
      </c>
    </row>
    <row r="34" spans="1:9">
      <c r="A34">
        <v>33</v>
      </c>
      <c r="B34">
        <v>5</v>
      </c>
      <c r="C34">
        <v>5000</v>
      </c>
      <c r="D34">
        <v>3638</v>
      </c>
      <c r="E34" s="5">
        <f t="shared" si="1"/>
        <v>1362</v>
      </c>
      <c r="F34" s="5">
        <f t="shared" si="2"/>
        <v>1855044</v>
      </c>
      <c r="G34" s="6">
        <f>SQRT(SUM($F$2:F34)/A34)</f>
        <v>1273.3061118778369</v>
      </c>
      <c r="H34" s="5">
        <f t="shared" si="3"/>
        <v>0</v>
      </c>
      <c r="I34" s="5">
        <f t="shared" si="4"/>
        <v>0</v>
      </c>
    </row>
    <row r="35" spans="1:9">
      <c r="A35">
        <v>34</v>
      </c>
      <c r="B35">
        <v>8</v>
      </c>
      <c r="C35">
        <v>5000</v>
      </c>
      <c r="D35">
        <v>6086</v>
      </c>
      <c r="E35" s="5">
        <f t="shared" si="1"/>
        <v>1086</v>
      </c>
      <c r="F35" s="5">
        <f t="shared" si="2"/>
        <v>1179396</v>
      </c>
      <c r="G35" s="6">
        <f>SQRT(SUM($F$2:F35)/A35)</f>
        <v>1268.1920317569279</v>
      </c>
      <c r="H35" s="5">
        <f t="shared" si="3"/>
        <v>0</v>
      </c>
      <c r="I35" s="5">
        <f t="shared" si="4"/>
        <v>0</v>
      </c>
    </row>
    <row r="36" spans="1:9">
      <c r="A36">
        <v>35</v>
      </c>
      <c r="B36">
        <v>5</v>
      </c>
      <c r="C36">
        <v>5000</v>
      </c>
      <c r="D36">
        <v>3901</v>
      </c>
      <c r="E36" s="5">
        <f t="shared" si="1"/>
        <v>1099</v>
      </c>
      <c r="F36" s="5">
        <f t="shared" si="2"/>
        <v>1207801</v>
      </c>
      <c r="G36" s="6">
        <f>SQRT(SUM($F$2:F36)/A36)</f>
        <v>1263.6723806882405</v>
      </c>
      <c r="H36" s="5">
        <f t="shared" si="3"/>
        <v>0</v>
      </c>
      <c r="I36" s="5">
        <f t="shared" si="4"/>
        <v>0</v>
      </c>
    </row>
    <row r="37" spans="1:9">
      <c r="A37">
        <v>36</v>
      </c>
      <c r="B37">
        <v>8</v>
      </c>
      <c r="C37">
        <v>5000</v>
      </c>
      <c r="D37">
        <v>6090</v>
      </c>
      <c r="E37" s="5">
        <f t="shared" si="1"/>
        <v>1090</v>
      </c>
      <c r="F37" s="5">
        <f t="shared" si="2"/>
        <v>1188100</v>
      </c>
      <c r="G37" s="6">
        <f>SQRT(SUM($F$2:F37)/A37)</f>
        <v>1259.1716412873275</v>
      </c>
      <c r="H37" s="5">
        <f t="shared" si="3"/>
        <v>0</v>
      </c>
      <c r="I37" s="5">
        <f t="shared" si="4"/>
        <v>0</v>
      </c>
    </row>
    <row r="38" spans="1:9">
      <c r="A38">
        <v>37</v>
      </c>
      <c r="B38">
        <v>5</v>
      </c>
      <c r="C38">
        <v>5000</v>
      </c>
      <c r="D38">
        <v>3971</v>
      </c>
      <c r="E38" s="5">
        <f t="shared" si="1"/>
        <v>1029</v>
      </c>
      <c r="F38" s="5">
        <f t="shared" si="2"/>
        <v>1058841</v>
      </c>
      <c r="G38" s="6">
        <f>SQRT(SUM($F$2:F38)/A38)</f>
        <v>1253.5066165911683</v>
      </c>
      <c r="H38" s="5">
        <f t="shared" si="3"/>
        <v>0</v>
      </c>
      <c r="I38" s="5">
        <f t="shared" si="4"/>
        <v>0</v>
      </c>
    </row>
    <row r="39" spans="1:9">
      <c r="A39">
        <v>38</v>
      </c>
      <c r="B39">
        <v>8</v>
      </c>
      <c r="C39">
        <v>5000</v>
      </c>
      <c r="D39">
        <v>6191</v>
      </c>
      <c r="E39" s="5">
        <f t="shared" si="1"/>
        <v>1191</v>
      </c>
      <c r="F39" s="5">
        <f t="shared" si="2"/>
        <v>1418481</v>
      </c>
      <c r="G39" s="6">
        <f>SQRT(SUM($F$2:F39)/A39)</f>
        <v>1251.9016902717494</v>
      </c>
      <c r="H39" s="5">
        <f t="shared" si="3"/>
        <v>0</v>
      </c>
      <c r="I39" s="5">
        <f t="shared" si="4"/>
        <v>0</v>
      </c>
    </row>
    <row r="40" spans="1:9">
      <c r="A40">
        <v>39</v>
      </c>
      <c r="B40">
        <v>5</v>
      </c>
      <c r="C40">
        <v>5000</v>
      </c>
      <c r="D40">
        <v>3658</v>
      </c>
      <c r="E40" s="5">
        <f t="shared" si="1"/>
        <v>1342</v>
      </c>
      <c r="F40" s="5">
        <f t="shared" si="2"/>
        <v>1800964</v>
      </c>
      <c r="G40" s="6">
        <f>SQRT(SUM($F$2:F40)/A40)</f>
        <v>1254.2927519890673</v>
      </c>
      <c r="H40" s="5">
        <f t="shared" si="3"/>
        <v>0</v>
      </c>
      <c r="I40" s="5">
        <f t="shared" si="4"/>
        <v>0</v>
      </c>
    </row>
    <row r="41" spans="1:9">
      <c r="A41">
        <v>40</v>
      </c>
      <c r="B41">
        <v>8</v>
      </c>
      <c r="C41">
        <v>5000</v>
      </c>
      <c r="D41">
        <v>6101</v>
      </c>
      <c r="E41" s="5">
        <f t="shared" si="1"/>
        <v>1101</v>
      </c>
      <c r="F41" s="5">
        <f t="shared" si="2"/>
        <v>1212201</v>
      </c>
      <c r="G41" s="6">
        <f>SQRT(SUM($F$2:F41)/A41)</f>
        <v>1250.6894398690667</v>
      </c>
      <c r="H41" s="5">
        <f t="shared" si="3"/>
        <v>0</v>
      </c>
      <c r="I41" s="5">
        <f t="shared" si="4"/>
        <v>0</v>
      </c>
    </row>
    <row r="42" spans="1:9">
      <c r="A42">
        <v>41</v>
      </c>
      <c r="B42">
        <v>5</v>
      </c>
      <c r="C42">
        <v>5000</v>
      </c>
      <c r="D42">
        <v>3935</v>
      </c>
      <c r="E42" s="5">
        <f t="shared" si="1"/>
        <v>1065</v>
      </c>
      <c r="F42" s="5">
        <f t="shared" si="2"/>
        <v>1134225</v>
      </c>
      <c r="G42" s="6">
        <f>SQRT(SUM($F$2:F42)/A42)</f>
        <v>1246.4895878758582</v>
      </c>
      <c r="H42" s="5">
        <f t="shared" si="3"/>
        <v>0</v>
      </c>
      <c r="I42" s="5">
        <f t="shared" si="4"/>
        <v>0</v>
      </c>
    </row>
    <row r="43" spans="1:9">
      <c r="A43">
        <v>42</v>
      </c>
      <c r="B43">
        <v>8</v>
      </c>
      <c r="C43">
        <v>5000</v>
      </c>
      <c r="D43">
        <v>6427</v>
      </c>
      <c r="E43" s="5">
        <f t="shared" si="1"/>
        <v>1427</v>
      </c>
      <c r="F43" s="5">
        <f t="shared" si="2"/>
        <v>2036329</v>
      </c>
      <c r="G43" s="6">
        <f>SQRT(SUM($F$2:F43)/A43)</f>
        <v>1251.0901627133414</v>
      </c>
      <c r="H43" s="5">
        <f t="shared" si="3"/>
        <v>0</v>
      </c>
      <c r="I43" s="5">
        <f t="shared" si="4"/>
        <v>0</v>
      </c>
    </row>
    <row r="44" spans="1:9">
      <c r="A44">
        <v>43</v>
      </c>
      <c r="B44">
        <v>5</v>
      </c>
      <c r="C44">
        <v>5000</v>
      </c>
      <c r="D44">
        <v>3543</v>
      </c>
      <c r="E44" s="5">
        <f t="shared" si="1"/>
        <v>1457</v>
      </c>
      <c r="F44" s="5">
        <f t="shared" si="2"/>
        <v>2122849</v>
      </c>
      <c r="G44" s="6">
        <f>SQRT(SUM($F$2:F44)/A44)</f>
        <v>1256.2621375093397</v>
      </c>
      <c r="H44" s="5">
        <f t="shared" si="3"/>
        <v>0</v>
      </c>
      <c r="I44" s="5">
        <f t="shared" si="4"/>
        <v>0</v>
      </c>
    </row>
    <row r="45" spans="1:9">
      <c r="A45">
        <v>44</v>
      </c>
      <c r="B45">
        <v>8</v>
      </c>
      <c r="C45">
        <v>5000</v>
      </c>
      <c r="D45">
        <v>5705</v>
      </c>
      <c r="E45" s="5">
        <f t="shared" si="1"/>
        <v>705</v>
      </c>
      <c r="F45" s="5">
        <f t="shared" si="2"/>
        <v>497025</v>
      </c>
      <c r="G45" s="6">
        <f>SQRT(SUM($F$2:F45)/A45)</f>
        <v>1246.4439508968194</v>
      </c>
      <c r="H45" s="5">
        <f t="shared" si="3"/>
        <v>1</v>
      </c>
      <c r="I45" s="5">
        <f t="shared" si="4"/>
        <v>0</v>
      </c>
    </row>
    <row r="46" spans="1:9">
      <c r="A46">
        <v>45</v>
      </c>
      <c r="B46">
        <v>6</v>
      </c>
      <c r="C46">
        <v>5000</v>
      </c>
      <c r="D46">
        <v>4815</v>
      </c>
      <c r="E46" s="5">
        <f t="shared" si="1"/>
        <v>185</v>
      </c>
      <c r="F46" s="5">
        <f t="shared" si="2"/>
        <v>34225</v>
      </c>
      <c r="G46" s="6">
        <f>SQRT(SUM($F$2:F46)/A46)</f>
        <v>1232.8252647205659</v>
      </c>
      <c r="H46" s="5">
        <f t="shared" si="3"/>
        <v>1</v>
      </c>
      <c r="I46" s="5">
        <f t="shared" si="4"/>
        <v>1</v>
      </c>
    </row>
    <row r="47" spans="1:9">
      <c r="A47">
        <v>46</v>
      </c>
      <c r="B47">
        <v>7</v>
      </c>
      <c r="C47">
        <v>5000</v>
      </c>
      <c r="D47">
        <v>5018</v>
      </c>
      <c r="E47" s="5">
        <f t="shared" si="1"/>
        <v>18</v>
      </c>
      <c r="F47" s="5">
        <f t="shared" si="2"/>
        <v>324</v>
      </c>
      <c r="G47" s="6">
        <f>SQRT(SUM($F$2:F47)/A47)</f>
        <v>1219.3542482021767</v>
      </c>
      <c r="H47" s="5">
        <f t="shared" si="3"/>
        <v>1</v>
      </c>
      <c r="I47" s="5">
        <f t="shared" si="4"/>
        <v>1</v>
      </c>
    </row>
    <row r="48" spans="1:9">
      <c r="A48">
        <v>47</v>
      </c>
      <c r="B48">
        <v>6</v>
      </c>
      <c r="C48">
        <v>5000</v>
      </c>
      <c r="D48">
        <v>3291</v>
      </c>
      <c r="E48" s="5">
        <f t="shared" si="1"/>
        <v>1709</v>
      </c>
      <c r="F48" s="5">
        <f t="shared" si="2"/>
        <v>2920681</v>
      </c>
      <c r="G48" s="6">
        <f>SQRT(SUM($F$2:F48)/A48)</f>
        <v>1231.800455310083</v>
      </c>
      <c r="H48" s="5">
        <f t="shared" si="3"/>
        <v>0</v>
      </c>
      <c r="I48" s="5">
        <f t="shared" si="4"/>
        <v>0</v>
      </c>
    </row>
    <row r="49" spans="1:9">
      <c r="A49">
        <v>48</v>
      </c>
      <c r="B49">
        <v>9</v>
      </c>
      <c r="C49">
        <v>5000</v>
      </c>
      <c r="D49">
        <v>4736</v>
      </c>
      <c r="E49" s="5">
        <f t="shared" si="1"/>
        <v>264</v>
      </c>
      <c r="F49" s="5">
        <f t="shared" si="2"/>
        <v>69696</v>
      </c>
      <c r="G49" s="6">
        <f>SQRT(SUM($F$2:F49)/A49)</f>
        <v>1219.4971385096947</v>
      </c>
      <c r="H49" s="5">
        <f t="shared" si="3"/>
        <v>1</v>
      </c>
      <c r="I49" s="5">
        <f t="shared" si="4"/>
        <v>1</v>
      </c>
    </row>
    <row r="50" spans="1:9">
      <c r="A50">
        <v>49</v>
      </c>
      <c r="B50">
        <v>7</v>
      </c>
      <c r="C50">
        <v>5000</v>
      </c>
      <c r="D50">
        <v>1073</v>
      </c>
      <c r="E50" s="5">
        <f t="shared" si="1"/>
        <v>3927</v>
      </c>
      <c r="F50" s="5">
        <f t="shared" si="2"/>
        <v>15421329</v>
      </c>
      <c r="G50" s="6">
        <f>SQRT(SUM($F$2:F50)/A50)</f>
        <v>1330.9935371437261</v>
      </c>
      <c r="H50" s="5">
        <f t="shared" si="3"/>
        <v>0</v>
      </c>
      <c r="I50" s="5">
        <f t="shared" si="4"/>
        <v>0</v>
      </c>
    </row>
    <row r="51" spans="1:9">
      <c r="A51">
        <v>50</v>
      </c>
      <c r="B51">
        <v>12</v>
      </c>
      <c r="C51">
        <v>5000</v>
      </c>
      <c r="D51">
        <v>2957</v>
      </c>
      <c r="E51" s="5">
        <f t="shared" si="1"/>
        <v>2043</v>
      </c>
      <c r="F51" s="5">
        <f t="shared" si="2"/>
        <v>4173849</v>
      </c>
      <c r="G51" s="6">
        <f>SQRT(SUM($F$2:F51)/A51)</f>
        <v>1348.9217545877152</v>
      </c>
      <c r="H51" s="5">
        <f t="shared" si="3"/>
        <v>0</v>
      </c>
      <c r="I51" s="5">
        <f t="shared" si="4"/>
        <v>0</v>
      </c>
    </row>
    <row r="52" spans="1:9">
      <c r="A52">
        <v>51</v>
      </c>
      <c r="B52">
        <v>11</v>
      </c>
      <c r="C52">
        <v>5000</v>
      </c>
      <c r="D52">
        <v>6346</v>
      </c>
      <c r="E52" s="5">
        <f t="shared" si="1"/>
        <v>1346</v>
      </c>
      <c r="F52" s="5">
        <f t="shared" si="2"/>
        <v>1811716</v>
      </c>
      <c r="G52" s="6">
        <f>SQRT(SUM($F$2:F52)/A52)</f>
        <v>1348.8645261122117</v>
      </c>
      <c r="H52" s="5">
        <f t="shared" si="3"/>
        <v>0</v>
      </c>
      <c r="I52" s="5">
        <f t="shared" si="4"/>
        <v>0</v>
      </c>
    </row>
    <row r="53" spans="1:9">
      <c r="A53">
        <v>52</v>
      </c>
      <c r="B53">
        <v>7</v>
      </c>
      <c r="C53">
        <v>5000</v>
      </c>
      <c r="D53">
        <v>3864</v>
      </c>
      <c r="E53" s="5">
        <f t="shared" si="1"/>
        <v>1136</v>
      </c>
      <c r="F53" s="5">
        <f t="shared" si="2"/>
        <v>1290496</v>
      </c>
      <c r="G53" s="6">
        <f>SQRT(SUM($F$2:F53)/A53)</f>
        <v>1345.0886945305303</v>
      </c>
      <c r="H53" s="5">
        <f t="shared" si="3"/>
        <v>0</v>
      </c>
      <c r="I53" s="5">
        <f t="shared" si="4"/>
        <v>0</v>
      </c>
    </row>
    <row r="54" spans="1:9">
      <c r="A54">
        <v>53</v>
      </c>
      <c r="B54">
        <v>10</v>
      </c>
      <c r="C54">
        <v>5000</v>
      </c>
      <c r="D54">
        <v>5933</v>
      </c>
      <c r="E54" s="5">
        <f t="shared" si="1"/>
        <v>933</v>
      </c>
      <c r="F54" s="5">
        <f t="shared" si="2"/>
        <v>870489</v>
      </c>
      <c r="G54" s="6">
        <f>SQRT(SUM($F$2:F54)/A54)</f>
        <v>1338.4882770964145</v>
      </c>
      <c r="H54" s="5">
        <f t="shared" si="3"/>
        <v>1</v>
      </c>
      <c r="I54" s="5">
        <f t="shared" si="4"/>
        <v>0</v>
      </c>
    </row>
    <row r="55" spans="1:9">
      <c r="A55">
        <v>54</v>
      </c>
      <c r="B55">
        <v>7</v>
      </c>
      <c r="C55">
        <v>5000</v>
      </c>
      <c r="D55">
        <v>4199</v>
      </c>
      <c r="E55" s="5">
        <f t="shared" si="1"/>
        <v>801</v>
      </c>
      <c r="F55" s="5">
        <f t="shared" si="2"/>
        <v>641601</v>
      </c>
      <c r="G55" s="6">
        <f>SQRT(SUM($F$2:F55)/A55)</f>
        <v>1330.5094888801057</v>
      </c>
      <c r="H55" s="5">
        <f t="shared" si="3"/>
        <v>1</v>
      </c>
      <c r="I55" s="5">
        <f t="shared" si="4"/>
        <v>0</v>
      </c>
    </row>
    <row r="56" spans="1:9">
      <c r="A56">
        <v>55</v>
      </c>
      <c r="B56">
        <v>9</v>
      </c>
      <c r="C56">
        <v>5000</v>
      </c>
      <c r="D56">
        <v>5846</v>
      </c>
      <c r="E56" s="5">
        <f t="shared" si="1"/>
        <v>846</v>
      </c>
      <c r="F56" s="5">
        <f t="shared" si="2"/>
        <v>715716</v>
      </c>
      <c r="G56" s="6">
        <f>SQRT(SUM($F$2:F56)/A56)</f>
        <v>1323.2845705083448</v>
      </c>
      <c r="H56" s="5">
        <f t="shared" si="3"/>
        <v>1</v>
      </c>
      <c r="I56" s="5">
        <f t="shared" si="4"/>
        <v>0</v>
      </c>
    </row>
    <row r="57" spans="1:9">
      <c r="A57">
        <v>56</v>
      </c>
      <c r="B57">
        <v>7</v>
      </c>
      <c r="C57">
        <v>5000</v>
      </c>
      <c r="D57">
        <v>3683</v>
      </c>
      <c r="E57" s="5">
        <f t="shared" si="1"/>
        <v>1317</v>
      </c>
      <c r="F57" s="5">
        <f t="shared" si="2"/>
        <v>1734489</v>
      </c>
      <c r="G57" s="6">
        <f>SQRT(SUM($F$2:F57)/A57)</f>
        <v>1323.1726077878125</v>
      </c>
      <c r="H57" s="5">
        <f t="shared" si="3"/>
        <v>0</v>
      </c>
      <c r="I57" s="5">
        <f t="shared" si="4"/>
        <v>0</v>
      </c>
    </row>
    <row r="58" spans="1:9">
      <c r="A58">
        <v>57</v>
      </c>
      <c r="B58">
        <v>10</v>
      </c>
      <c r="C58">
        <v>5000</v>
      </c>
      <c r="D58">
        <v>5751</v>
      </c>
      <c r="E58" s="5">
        <f t="shared" si="1"/>
        <v>751</v>
      </c>
      <c r="F58" s="5">
        <f t="shared" si="2"/>
        <v>564001</v>
      </c>
      <c r="G58" s="6">
        <f>SQRT(SUM($F$2:F58)/A58)</f>
        <v>1315.2813253871891</v>
      </c>
      <c r="H58" s="5">
        <f t="shared" si="3"/>
        <v>1</v>
      </c>
      <c r="I58" s="5">
        <f t="shared" si="4"/>
        <v>0</v>
      </c>
    </row>
    <row r="59" spans="1:9">
      <c r="A59">
        <v>58</v>
      </c>
      <c r="B59">
        <v>8</v>
      </c>
      <c r="C59">
        <v>5000</v>
      </c>
      <c r="D59">
        <v>5558</v>
      </c>
      <c r="E59" s="5">
        <f t="shared" si="1"/>
        <v>558</v>
      </c>
      <c r="F59" s="5">
        <f t="shared" si="2"/>
        <v>311364</v>
      </c>
      <c r="G59" s="6">
        <f>SQRT(SUM($F$2:F59)/A59)</f>
        <v>1305.9503541812785</v>
      </c>
      <c r="H59" s="5">
        <f t="shared" si="3"/>
        <v>1</v>
      </c>
      <c r="I59" s="5">
        <f t="shared" si="4"/>
        <v>0</v>
      </c>
    </row>
    <row r="60" spans="1:9">
      <c r="A60">
        <v>59</v>
      </c>
      <c r="B60">
        <v>8</v>
      </c>
      <c r="C60">
        <v>5000</v>
      </c>
      <c r="D60">
        <v>5261</v>
      </c>
      <c r="E60" s="5">
        <f t="shared" si="1"/>
        <v>261</v>
      </c>
      <c r="F60" s="5">
        <f t="shared" si="2"/>
        <v>68121</v>
      </c>
      <c r="G60" s="6">
        <f>SQRT(SUM($F$2:F60)/A60)</f>
        <v>1295.2814496850888</v>
      </c>
      <c r="H60" s="5">
        <f t="shared" si="3"/>
        <v>1</v>
      </c>
      <c r="I60" s="5">
        <f t="shared" si="4"/>
        <v>1</v>
      </c>
    </row>
    <row r="61" spans="1:9">
      <c r="A61">
        <v>60</v>
      </c>
      <c r="B61">
        <v>8</v>
      </c>
      <c r="C61">
        <v>5000</v>
      </c>
      <c r="D61">
        <v>5696</v>
      </c>
      <c r="E61" s="5">
        <f t="shared" si="1"/>
        <v>696</v>
      </c>
      <c r="F61" s="5">
        <f t="shared" si="2"/>
        <v>484416</v>
      </c>
      <c r="G61" s="6">
        <f>SQRT(SUM($F$2:F61)/A61)</f>
        <v>1287.5810912974246</v>
      </c>
      <c r="H61" s="5">
        <f t="shared" si="3"/>
        <v>1</v>
      </c>
      <c r="I61" s="5">
        <f t="shared" si="4"/>
        <v>0</v>
      </c>
    </row>
    <row r="62" spans="1:9">
      <c r="A62">
        <v>61</v>
      </c>
      <c r="B62">
        <v>7</v>
      </c>
      <c r="C62">
        <v>5000</v>
      </c>
      <c r="D62">
        <v>5026</v>
      </c>
      <c r="E62" s="5">
        <f t="shared" si="1"/>
        <v>26</v>
      </c>
      <c r="F62" s="5">
        <f t="shared" si="2"/>
        <v>676</v>
      </c>
      <c r="G62" s="6">
        <f>SQRT(SUM($F$2:F62)/A62)</f>
        <v>1276.9878749568788</v>
      </c>
      <c r="H62" s="5">
        <f t="shared" si="3"/>
        <v>1</v>
      </c>
      <c r="I62" s="5">
        <f t="shared" si="4"/>
        <v>1</v>
      </c>
    </row>
    <row r="63" spans="1:9">
      <c r="A63">
        <v>62</v>
      </c>
      <c r="B63">
        <v>8</v>
      </c>
      <c r="C63">
        <v>5000</v>
      </c>
      <c r="D63">
        <v>6024</v>
      </c>
      <c r="E63" s="5">
        <f t="shared" si="1"/>
        <v>1024</v>
      </c>
      <c r="F63" s="5">
        <f t="shared" si="2"/>
        <v>1048576</v>
      </c>
      <c r="G63" s="6">
        <f>SQRT(SUM($F$2:F63)/A63)</f>
        <v>1273.306313399072</v>
      </c>
      <c r="H63" s="5">
        <f t="shared" si="3"/>
        <v>0</v>
      </c>
      <c r="I63" s="5">
        <f t="shared" si="4"/>
        <v>0</v>
      </c>
    </row>
    <row r="64" spans="1:9">
      <c r="A64">
        <v>63</v>
      </c>
      <c r="B64">
        <v>7</v>
      </c>
      <c r="C64">
        <v>5000</v>
      </c>
      <c r="D64">
        <v>5684</v>
      </c>
      <c r="E64" s="5">
        <f t="shared" si="1"/>
        <v>684</v>
      </c>
      <c r="F64" s="5">
        <f t="shared" si="2"/>
        <v>467856</v>
      </c>
      <c r="G64" s="6">
        <f>SQRT(SUM($F$2:F64)/A64)</f>
        <v>1266.0964380631478</v>
      </c>
      <c r="H64" s="5">
        <f t="shared" si="3"/>
        <v>1</v>
      </c>
      <c r="I64" s="5">
        <f t="shared" si="4"/>
        <v>0</v>
      </c>
    </row>
    <row r="65" spans="1:9">
      <c r="A65">
        <v>64</v>
      </c>
      <c r="B65">
        <v>7</v>
      </c>
      <c r="C65">
        <v>5000</v>
      </c>
      <c r="D65">
        <v>4717</v>
      </c>
      <c r="E65" s="5">
        <f t="shared" si="1"/>
        <v>283</v>
      </c>
      <c r="F65" s="5">
        <f t="shared" si="2"/>
        <v>80089</v>
      </c>
      <c r="G65" s="6">
        <f>SQRT(SUM($F$2:F65)/A65)</f>
        <v>1256.6641170674843</v>
      </c>
      <c r="H65" s="5">
        <f t="shared" si="3"/>
        <v>1</v>
      </c>
      <c r="I65" s="5">
        <f t="shared" si="4"/>
        <v>1</v>
      </c>
    </row>
    <row r="66" spans="1:9">
      <c r="A66">
        <v>65</v>
      </c>
      <c r="B66">
        <v>8</v>
      </c>
      <c r="C66">
        <v>5000</v>
      </c>
      <c r="D66">
        <v>5352</v>
      </c>
      <c r="E66" s="5">
        <f t="shared" si="1"/>
        <v>352</v>
      </c>
      <c r="F66" s="5">
        <f t="shared" si="2"/>
        <v>123904</v>
      </c>
      <c r="G66" s="6">
        <f>SQRT(SUM($F$2:F66)/A66)</f>
        <v>1247.7241127502753</v>
      </c>
      <c r="H66" s="5">
        <f t="shared" si="3"/>
        <v>1</v>
      </c>
      <c r="I66" s="5">
        <f t="shared" si="4"/>
        <v>1</v>
      </c>
    </row>
    <row r="67" spans="1:9">
      <c r="A67">
        <v>66</v>
      </c>
      <c r="B67">
        <v>7</v>
      </c>
      <c r="C67">
        <v>5000</v>
      </c>
      <c r="D67">
        <v>5286</v>
      </c>
      <c r="E67" s="5">
        <f t="shared" ref="E67:E130" si="5">ABS(C67-D67)</f>
        <v>286</v>
      </c>
      <c r="F67" s="5">
        <f t="shared" ref="F67:F130" si="6">POWER(E67,2)</f>
        <v>81796</v>
      </c>
      <c r="G67" s="6">
        <f>SQRT(SUM($F$2:F67)/A67)</f>
        <v>1238.7359209364124</v>
      </c>
      <c r="H67" s="5">
        <f t="shared" ref="H67:H130" si="7">IF(ABS(E67)/C67&gt;0.2,0,1)</f>
        <v>1</v>
      </c>
      <c r="I67" s="5">
        <f t="shared" ref="I67:I130" si="8">IF(ABS(E67)/C67&gt;0.1,0,1)</f>
        <v>1</v>
      </c>
    </row>
    <row r="68" spans="1:9">
      <c r="A68">
        <v>67</v>
      </c>
      <c r="B68">
        <v>7</v>
      </c>
      <c r="C68">
        <v>5000</v>
      </c>
      <c r="D68">
        <v>5338</v>
      </c>
      <c r="E68" s="5">
        <f t="shared" si="5"/>
        <v>338</v>
      </c>
      <c r="F68" s="5">
        <f t="shared" si="6"/>
        <v>114244</v>
      </c>
      <c r="G68" s="6">
        <f>SQRT(SUM($F$2:F68)/A68)</f>
        <v>1230.1501243174384</v>
      </c>
      <c r="H68" s="5">
        <f t="shared" si="7"/>
        <v>1</v>
      </c>
      <c r="I68" s="5">
        <f t="shared" si="8"/>
        <v>1</v>
      </c>
    </row>
    <row r="69" spans="1:9">
      <c r="A69">
        <v>68</v>
      </c>
      <c r="B69">
        <v>7</v>
      </c>
      <c r="C69">
        <v>5000</v>
      </c>
      <c r="D69">
        <v>6118</v>
      </c>
      <c r="E69" s="5">
        <f t="shared" si="5"/>
        <v>1118</v>
      </c>
      <c r="F69" s="5">
        <f t="shared" si="6"/>
        <v>1249924</v>
      </c>
      <c r="G69" s="6">
        <f>SQRT(SUM($F$2:F69)/A69)</f>
        <v>1228.5750294309162</v>
      </c>
      <c r="H69" s="5">
        <f t="shared" si="7"/>
        <v>0</v>
      </c>
      <c r="I69" s="5">
        <f t="shared" si="8"/>
        <v>0</v>
      </c>
    </row>
    <row r="70" spans="1:9">
      <c r="A70">
        <v>69</v>
      </c>
      <c r="B70">
        <v>6</v>
      </c>
      <c r="C70">
        <v>5000</v>
      </c>
      <c r="D70">
        <v>4518</v>
      </c>
      <c r="E70" s="5">
        <f t="shared" si="5"/>
        <v>482</v>
      </c>
      <c r="F70" s="5">
        <f t="shared" si="6"/>
        <v>232324</v>
      </c>
      <c r="G70" s="6">
        <f>SQRT(SUM($F$2:F70)/A70)</f>
        <v>1221.0193709961468</v>
      </c>
      <c r="H70" s="5">
        <f t="shared" si="7"/>
        <v>1</v>
      </c>
      <c r="I70" s="5">
        <f t="shared" si="8"/>
        <v>1</v>
      </c>
    </row>
    <row r="71" spans="1:9">
      <c r="A71">
        <v>70</v>
      </c>
      <c r="B71">
        <v>8</v>
      </c>
      <c r="C71">
        <v>5000</v>
      </c>
      <c r="D71">
        <v>5987</v>
      </c>
      <c r="E71" s="5">
        <f t="shared" si="5"/>
        <v>987</v>
      </c>
      <c r="F71" s="5">
        <f t="shared" si="6"/>
        <v>974169</v>
      </c>
      <c r="G71" s="6">
        <f>SQRT(SUM($F$2:F71)/A71)</f>
        <v>1217.9928571219127</v>
      </c>
      <c r="H71" s="5">
        <f t="shared" si="7"/>
        <v>1</v>
      </c>
      <c r="I71" s="5">
        <f t="shared" si="8"/>
        <v>0</v>
      </c>
    </row>
    <row r="72" spans="1:9">
      <c r="A72">
        <v>71</v>
      </c>
      <c r="B72">
        <v>6</v>
      </c>
      <c r="C72">
        <v>5000</v>
      </c>
      <c r="D72">
        <v>4546</v>
      </c>
      <c r="E72" s="5">
        <f t="shared" si="5"/>
        <v>454</v>
      </c>
      <c r="F72" s="5">
        <f t="shared" si="6"/>
        <v>206116</v>
      </c>
      <c r="G72" s="6">
        <f>SQRT(SUM($F$2:F72)/A72)</f>
        <v>1210.5846451605901</v>
      </c>
      <c r="H72" s="5">
        <f t="shared" si="7"/>
        <v>1</v>
      </c>
      <c r="I72" s="5">
        <f t="shared" si="8"/>
        <v>1</v>
      </c>
    </row>
    <row r="73" spans="1:9">
      <c r="A73">
        <v>72</v>
      </c>
      <c r="B73">
        <v>7</v>
      </c>
      <c r="C73">
        <v>5000</v>
      </c>
      <c r="D73">
        <v>5590</v>
      </c>
      <c r="E73" s="5">
        <f t="shared" si="5"/>
        <v>590</v>
      </c>
      <c r="F73" s="5">
        <f t="shared" si="6"/>
        <v>348100</v>
      </c>
      <c r="G73" s="6">
        <f>SQRT(SUM($F$2:F73)/A73)</f>
        <v>1204.1576008885954</v>
      </c>
      <c r="H73" s="5">
        <f t="shared" si="7"/>
        <v>1</v>
      </c>
      <c r="I73" s="5">
        <f t="shared" si="8"/>
        <v>0</v>
      </c>
    </row>
    <row r="74" spans="1:9">
      <c r="A74">
        <v>73</v>
      </c>
      <c r="B74">
        <v>6</v>
      </c>
      <c r="C74">
        <v>5000</v>
      </c>
      <c r="D74">
        <v>4352</v>
      </c>
      <c r="E74" s="5">
        <f t="shared" si="5"/>
        <v>648</v>
      </c>
      <c r="F74" s="5">
        <f t="shared" si="6"/>
        <v>419904</v>
      </c>
      <c r="G74" s="6">
        <f>SQRT(SUM($F$2:F74)/A74)</f>
        <v>1198.284058531827</v>
      </c>
      <c r="H74" s="5">
        <f t="shared" si="7"/>
        <v>1</v>
      </c>
      <c r="I74" s="5">
        <f t="shared" si="8"/>
        <v>0</v>
      </c>
    </row>
    <row r="75" spans="1:9">
      <c r="A75">
        <v>74</v>
      </c>
      <c r="B75">
        <v>8</v>
      </c>
      <c r="C75">
        <v>5000</v>
      </c>
      <c r="D75">
        <v>5006</v>
      </c>
      <c r="E75" s="5">
        <f t="shared" si="5"/>
        <v>6</v>
      </c>
      <c r="F75" s="5">
        <f t="shared" si="6"/>
        <v>36</v>
      </c>
      <c r="G75" s="6">
        <f>SQRT(SUM($F$2:F75)/A75)</f>
        <v>1190.1602095198461</v>
      </c>
      <c r="H75" s="5">
        <f t="shared" si="7"/>
        <v>1</v>
      </c>
      <c r="I75" s="5">
        <f t="shared" si="8"/>
        <v>1</v>
      </c>
    </row>
    <row r="76" spans="1:9">
      <c r="A76">
        <v>75</v>
      </c>
      <c r="B76">
        <v>7</v>
      </c>
      <c r="C76">
        <v>5000</v>
      </c>
      <c r="D76">
        <v>5101</v>
      </c>
      <c r="E76" s="5">
        <f t="shared" si="5"/>
        <v>101</v>
      </c>
      <c r="F76" s="5">
        <f t="shared" si="6"/>
        <v>10201</v>
      </c>
      <c r="G76" s="6">
        <f>SQRT(SUM($F$2:F76)/A76)</f>
        <v>1182.2567064728371</v>
      </c>
      <c r="H76" s="5">
        <f t="shared" si="7"/>
        <v>1</v>
      </c>
      <c r="I76" s="5">
        <f t="shared" si="8"/>
        <v>1</v>
      </c>
    </row>
    <row r="77" spans="1:9">
      <c r="A77">
        <v>76</v>
      </c>
      <c r="B77">
        <v>7</v>
      </c>
      <c r="C77">
        <v>5000</v>
      </c>
      <c r="D77">
        <v>4968</v>
      </c>
      <c r="E77" s="5">
        <f t="shared" si="5"/>
        <v>32</v>
      </c>
      <c r="F77" s="5">
        <f t="shared" si="6"/>
        <v>1024</v>
      </c>
      <c r="G77" s="6">
        <f>SQRT(SUM($F$2:F77)/A77)</f>
        <v>1174.4586826995751</v>
      </c>
      <c r="H77" s="5">
        <f t="shared" si="7"/>
        <v>1</v>
      </c>
      <c r="I77" s="5">
        <f t="shared" si="8"/>
        <v>1</v>
      </c>
    </row>
    <row r="78" spans="1:9">
      <c r="A78">
        <v>77</v>
      </c>
      <c r="B78">
        <v>7</v>
      </c>
      <c r="C78">
        <v>5000</v>
      </c>
      <c r="D78">
        <v>5015</v>
      </c>
      <c r="E78" s="5">
        <f t="shared" si="5"/>
        <v>15</v>
      </c>
      <c r="F78" s="5">
        <f t="shared" si="6"/>
        <v>225</v>
      </c>
      <c r="G78" s="6">
        <f>SQRT(SUM($F$2:F78)/A78)</f>
        <v>1166.8086567892963</v>
      </c>
      <c r="H78" s="5">
        <f t="shared" si="7"/>
        <v>1</v>
      </c>
      <c r="I78" s="5">
        <f t="shared" si="8"/>
        <v>1</v>
      </c>
    </row>
    <row r="79" spans="1:9">
      <c r="A79">
        <v>78</v>
      </c>
      <c r="B79">
        <v>7</v>
      </c>
      <c r="C79">
        <v>5000</v>
      </c>
      <c r="D79">
        <v>4916</v>
      </c>
      <c r="E79" s="5">
        <f t="shared" si="5"/>
        <v>84</v>
      </c>
      <c r="F79" s="5">
        <f t="shared" si="6"/>
        <v>7056</v>
      </c>
      <c r="G79" s="6">
        <f>SQRT(SUM($F$2:F79)/A79)</f>
        <v>1159.3440010715167</v>
      </c>
      <c r="H79" s="5">
        <f t="shared" si="7"/>
        <v>1</v>
      </c>
      <c r="I79" s="5">
        <f t="shared" si="8"/>
        <v>1</v>
      </c>
    </row>
    <row r="80" spans="1:9">
      <c r="A80">
        <v>79</v>
      </c>
      <c r="B80">
        <v>7</v>
      </c>
      <c r="C80">
        <v>5000</v>
      </c>
      <c r="D80">
        <v>5448</v>
      </c>
      <c r="E80" s="5">
        <f t="shared" si="5"/>
        <v>448</v>
      </c>
      <c r="F80" s="5">
        <f t="shared" si="6"/>
        <v>200704</v>
      </c>
      <c r="G80" s="6">
        <f>SQRT(SUM($F$2:F80)/A80)</f>
        <v>1153.0851736630382</v>
      </c>
      <c r="H80" s="5">
        <f t="shared" si="7"/>
        <v>1</v>
      </c>
      <c r="I80" s="5">
        <f t="shared" si="8"/>
        <v>1</v>
      </c>
    </row>
    <row r="81" spans="1:9">
      <c r="A81">
        <v>80</v>
      </c>
      <c r="B81">
        <v>6</v>
      </c>
      <c r="C81">
        <v>5000</v>
      </c>
      <c r="D81">
        <v>3990</v>
      </c>
      <c r="E81" s="5">
        <f t="shared" si="5"/>
        <v>1010</v>
      </c>
      <c r="F81" s="5">
        <f t="shared" si="6"/>
        <v>1020100</v>
      </c>
      <c r="G81" s="6">
        <f>SQRT(SUM($F$2:F81)/A81)</f>
        <v>1151.4063574603017</v>
      </c>
      <c r="H81" s="5">
        <f t="shared" si="7"/>
        <v>0</v>
      </c>
      <c r="I81" s="5">
        <f t="shared" si="8"/>
        <v>0</v>
      </c>
    </row>
    <row r="82" spans="1:9">
      <c r="A82">
        <v>81</v>
      </c>
      <c r="B82">
        <v>8</v>
      </c>
      <c r="C82">
        <v>5000</v>
      </c>
      <c r="D82">
        <v>5372</v>
      </c>
      <c r="E82" s="5">
        <f t="shared" si="5"/>
        <v>372</v>
      </c>
      <c r="F82" s="5">
        <f t="shared" si="6"/>
        <v>138384</v>
      </c>
      <c r="G82" s="6">
        <f>SQRT(SUM($F$2:F82)/A82)</f>
        <v>1145.0231115247961</v>
      </c>
      <c r="H82" s="5">
        <f t="shared" si="7"/>
        <v>1</v>
      </c>
      <c r="I82" s="5">
        <f t="shared" si="8"/>
        <v>1</v>
      </c>
    </row>
    <row r="83" spans="1:9">
      <c r="A83">
        <v>82</v>
      </c>
      <c r="B83">
        <v>7</v>
      </c>
      <c r="C83">
        <v>5000</v>
      </c>
      <c r="D83">
        <v>4525</v>
      </c>
      <c r="E83" s="5">
        <f t="shared" si="5"/>
        <v>475</v>
      </c>
      <c r="F83" s="5">
        <f t="shared" si="6"/>
        <v>225625</v>
      </c>
      <c r="G83" s="6">
        <f>SQRT(SUM($F$2:F83)/A83)</f>
        <v>1139.2281137340103</v>
      </c>
      <c r="H83" s="5">
        <f t="shared" si="7"/>
        <v>1</v>
      </c>
      <c r="I83" s="5">
        <f t="shared" si="8"/>
        <v>1</v>
      </c>
    </row>
    <row r="84" spans="1:9">
      <c r="A84">
        <v>83</v>
      </c>
      <c r="B84">
        <v>8</v>
      </c>
      <c r="C84">
        <v>5000</v>
      </c>
      <c r="D84">
        <v>6232</v>
      </c>
      <c r="E84" s="5">
        <f t="shared" si="5"/>
        <v>1232</v>
      </c>
      <c r="F84" s="5">
        <f t="shared" si="6"/>
        <v>1517824</v>
      </c>
      <c r="G84" s="6">
        <f>SQRT(SUM($F$2:F84)/A84)</f>
        <v>1140.3907647756282</v>
      </c>
      <c r="H84" s="5">
        <f t="shared" si="7"/>
        <v>0</v>
      </c>
      <c r="I84" s="5">
        <f t="shared" si="8"/>
        <v>0</v>
      </c>
    </row>
    <row r="85" spans="1:9">
      <c r="A85">
        <v>84</v>
      </c>
      <c r="B85">
        <v>6</v>
      </c>
      <c r="C85">
        <v>5000</v>
      </c>
      <c r="D85">
        <v>4470</v>
      </c>
      <c r="E85" s="5">
        <f t="shared" si="5"/>
        <v>530</v>
      </c>
      <c r="F85" s="5">
        <f t="shared" si="6"/>
        <v>280900</v>
      </c>
      <c r="G85" s="6">
        <f>SQRT(SUM($F$2:F85)/A85)</f>
        <v>1135.0564334617275</v>
      </c>
      <c r="H85" s="5">
        <f t="shared" si="7"/>
        <v>1</v>
      </c>
      <c r="I85" s="5">
        <f t="shared" si="8"/>
        <v>0</v>
      </c>
    </row>
    <row r="86" spans="1:9">
      <c r="A86">
        <v>85</v>
      </c>
      <c r="B86">
        <v>8</v>
      </c>
      <c r="C86">
        <v>5000</v>
      </c>
      <c r="D86">
        <v>5411</v>
      </c>
      <c r="E86" s="5">
        <f t="shared" si="5"/>
        <v>411</v>
      </c>
      <c r="F86" s="5">
        <f t="shared" si="6"/>
        <v>168921</v>
      </c>
      <c r="G86" s="6">
        <f>SQRT(SUM($F$2:F86)/A86)</f>
        <v>1129.2401505645551</v>
      </c>
      <c r="H86" s="5">
        <f t="shared" si="7"/>
        <v>1</v>
      </c>
      <c r="I86" s="5">
        <f t="shared" si="8"/>
        <v>1</v>
      </c>
    </row>
    <row r="87" spans="1:9">
      <c r="A87">
        <v>86</v>
      </c>
      <c r="B87">
        <v>7</v>
      </c>
      <c r="C87">
        <v>5000</v>
      </c>
      <c r="D87">
        <v>4926</v>
      </c>
      <c r="E87" s="5">
        <f t="shared" si="5"/>
        <v>74</v>
      </c>
      <c r="F87" s="5">
        <f t="shared" si="6"/>
        <v>5476</v>
      </c>
      <c r="G87" s="6">
        <f>SQRT(SUM($F$2:F87)/A87)</f>
        <v>1122.683962239493</v>
      </c>
      <c r="H87" s="5">
        <f t="shared" si="7"/>
        <v>1</v>
      </c>
      <c r="I87" s="5">
        <f t="shared" si="8"/>
        <v>1</v>
      </c>
    </row>
    <row r="88" spans="1:9">
      <c r="A88">
        <v>87</v>
      </c>
      <c r="B88">
        <v>7</v>
      </c>
      <c r="C88">
        <v>5000</v>
      </c>
      <c r="D88">
        <v>5445</v>
      </c>
      <c r="E88" s="5">
        <f t="shared" si="5"/>
        <v>445</v>
      </c>
      <c r="F88" s="5">
        <f t="shared" si="6"/>
        <v>198025</v>
      </c>
      <c r="G88" s="6">
        <f>SQRT(SUM($F$2:F88)/A88)</f>
        <v>1117.2322276835343</v>
      </c>
      <c r="H88" s="5">
        <f t="shared" si="7"/>
        <v>1</v>
      </c>
      <c r="I88" s="5">
        <f t="shared" si="8"/>
        <v>1</v>
      </c>
    </row>
    <row r="89" spans="1:9">
      <c r="A89">
        <v>88</v>
      </c>
      <c r="B89">
        <v>6</v>
      </c>
      <c r="C89">
        <v>5000</v>
      </c>
      <c r="D89">
        <v>4918</v>
      </c>
      <c r="E89" s="5">
        <f t="shared" si="5"/>
        <v>82</v>
      </c>
      <c r="F89" s="5">
        <f t="shared" si="6"/>
        <v>6724</v>
      </c>
      <c r="G89" s="6">
        <f>SQRT(SUM($F$2:F89)/A89)</f>
        <v>1110.9005714038744</v>
      </c>
      <c r="H89" s="5">
        <f t="shared" si="7"/>
        <v>1</v>
      </c>
      <c r="I89" s="5">
        <f t="shared" si="8"/>
        <v>1</v>
      </c>
    </row>
    <row r="90" spans="1:9">
      <c r="A90">
        <v>89</v>
      </c>
      <c r="B90">
        <v>7</v>
      </c>
      <c r="C90">
        <v>5000</v>
      </c>
      <c r="D90">
        <v>5186</v>
      </c>
      <c r="E90" s="5">
        <f t="shared" si="5"/>
        <v>186</v>
      </c>
      <c r="F90" s="5">
        <f t="shared" si="6"/>
        <v>34596</v>
      </c>
      <c r="G90" s="6">
        <f>SQRT(SUM($F$2:F90)/A90)</f>
        <v>1104.8178608340731</v>
      </c>
      <c r="H90" s="5">
        <f t="shared" si="7"/>
        <v>1</v>
      </c>
      <c r="I90" s="5">
        <f t="shared" si="8"/>
        <v>1</v>
      </c>
    </row>
    <row r="91" spans="1:9">
      <c r="A91">
        <v>90</v>
      </c>
      <c r="B91">
        <v>7</v>
      </c>
      <c r="C91">
        <v>5000</v>
      </c>
      <c r="D91">
        <v>4989</v>
      </c>
      <c r="E91" s="5">
        <f t="shared" si="5"/>
        <v>11</v>
      </c>
      <c r="F91" s="5">
        <f t="shared" si="6"/>
        <v>121</v>
      </c>
      <c r="G91" s="6">
        <f>SQRT(SUM($F$2:F91)/A91)</f>
        <v>1098.6634506425423</v>
      </c>
      <c r="H91" s="5">
        <f t="shared" si="7"/>
        <v>1</v>
      </c>
      <c r="I91" s="5">
        <f t="shared" si="8"/>
        <v>1</v>
      </c>
    </row>
    <row r="92" spans="1:9">
      <c r="A92">
        <v>91</v>
      </c>
      <c r="B92">
        <v>7</v>
      </c>
      <c r="C92">
        <v>5000</v>
      </c>
      <c r="D92">
        <v>5454</v>
      </c>
      <c r="E92" s="5">
        <f t="shared" si="5"/>
        <v>454</v>
      </c>
      <c r="F92" s="5">
        <f t="shared" si="6"/>
        <v>206116</v>
      </c>
      <c r="G92" s="6">
        <f>SQRT(SUM($F$2:F92)/A92)</f>
        <v>1093.6461850260248</v>
      </c>
      <c r="H92" s="5">
        <f t="shared" si="7"/>
        <v>1</v>
      </c>
      <c r="I92" s="5">
        <f t="shared" si="8"/>
        <v>1</v>
      </c>
    </row>
    <row r="93" spans="1:9">
      <c r="A93">
        <v>92</v>
      </c>
      <c r="B93">
        <v>6</v>
      </c>
      <c r="C93">
        <v>5000</v>
      </c>
      <c r="D93">
        <v>5267</v>
      </c>
      <c r="E93" s="5">
        <f t="shared" si="5"/>
        <v>267</v>
      </c>
      <c r="F93" s="5">
        <f t="shared" si="6"/>
        <v>71289</v>
      </c>
      <c r="G93" s="6">
        <f>SQRT(SUM($F$2:F93)/A93)</f>
        <v>1088.0423635054881</v>
      </c>
      <c r="H93" s="5">
        <f t="shared" si="7"/>
        <v>1</v>
      </c>
      <c r="I93" s="5">
        <f t="shared" si="8"/>
        <v>1</v>
      </c>
    </row>
    <row r="94" spans="1:9">
      <c r="A94">
        <v>93</v>
      </c>
      <c r="B94">
        <v>6</v>
      </c>
      <c r="C94">
        <v>5000</v>
      </c>
      <c r="D94">
        <v>4464</v>
      </c>
      <c r="E94" s="5">
        <f t="shared" si="5"/>
        <v>536</v>
      </c>
      <c r="F94" s="5">
        <f t="shared" si="6"/>
        <v>287296</v>
      </c>
      <c r="G94" s="6">
        <f>SQRT(SUM($F$2:F94)/A94)</f>
        <v>1083.6032335416573</v>
      </c>
      <c r="H94" s="5">
        <f t="shared" si="7"/>
        <v>1</v>
      </c>
      <c r="I94" s="5">
        <f t="shared" si="8"/>
        <v>0</v>
      </c>
    </row>
    <row r="95" spans="1:9">
      <c r="A95">
        <v>94</v>
      </c>
      <c r="B95">
        <v>7</v>
      </c>
      <c r="C95">
        <v>5000</v>
      </c>
      <c r="D95">
        <v>4634</v>
      </c>
      <c r="E95" s="5">
        <f t="shared" si="5"/>
        <v>366</v>
      </c>
      <c r="F95" s="5">
        <f t="shared" si="6"/>
        <v>133956</v>
      </c>
      <c r="G95" s="6">
        <f>SQRT(SUM($F$2:F95)/A95)</f>
        <v>1078.4848562248721</v>
      </c>
      <c r="H95" s="5">
        <f t="shared" si="7"/>
        <v>1</v>
      </c>
      <c r="I95" s="5">
        <f t="shared" si="8"/>
        <v>1</v>
      </c>
    </row>
    <row r="96" spans="1:9">
      <c r="A96">
        <v>95</v>
      </c>
      <c r="B96">
        <v>7</v>
      </c>
      <c r="C96">
        <v>5000</v>
      </c>
      <c r="D96">
        <v>5834</v>
      </c>
      <c r="E96" s="5">
        <f t="shared" si="5"/>
        <v>834</v>
      </c>
      <c r="F96" s="5">
        <f t="shared" si="6"/>
        <v>695556</v>
      </c>
      <c r="G96" s="6">
        <f>SQRT(SUM($F$2:F96)/A96)</f>
        <v>1076.2006122906346</v>
      </c>
      <c r="H96" s="5">
        <f t="shared" si="7"/>
        <v>1</v>
      </c>
      <c r="I96" s="5">
        <f t="shared" si="8"/>
        <v>0</v>
      </c>
    </row>
    <row r="97" spans="1:9">
      <c r="A97">
        <v>96</v>
      </c>
      <c r="B97">
        <v>6</v>
      </c>
      <c r="C97">
        <v>5000</v>
      </c>
      <c r="D97">
        <v>4116</v>
      </c>
      <c r="E97" s="5">
        <f t="shared" si="5"/>
        <v>884</v>
      </c>
      <c r="F97" s="5">
        <f t="shared" si="6"/>
        <v>781456</v>
      </c>
      <c r="G97" s="6">
        <f>SQRT(SUM($F$2:F97)/A97)</f>
        <v>1074.3757538294815</v>
      </c>
      <c r="H97" s="5">
        <f t="shared" si="7"/>
        <v>1</v>
      </c>
      <c r="I97" s="5">
        <f t="shared" si="8"/>
        <v>0</v>
      </c>
    </row>
    <row r="98" spans="1:9">
      <c r="A98">
        <v>97</v>
      </c>
      <c r="B98">
        <v>8</v>
      </c>
      <c r="C98">
        <v>5000</v>
      </c>
      <c r="D98">
        <v>5014</v>
      </c>
      <c r="E98" s="5">
        <f t="shared" si="5"/>
        <v>14</v>
      </c>
      <c r="F98" s="5">
        <f t="shared" si="6"/>
        <v>196</v>
      </c>
      <c r="G98" s="6">
        <f>SQRT(SUM($F$2:F98)/A98)</f>
        <v>1068.8243324364614</v>
      </c>
      <c r="H98" s="5">
        <f t="shared" si="7"/>
        <v>1</v>
      </c>
      <c r="I98" s="5">
        <f t="shared" si="8"/>
        <v>1</v>
      </c>
    </row>
    <row r="99" spans="1:9">
      <c r="A99">
        <v>98</v>
      </c>
      <c r="B99">
        <v>7</v>
      </c>
      <c r="C99">
        <v>5000</v>
      </c>
      <c r="D99">
        <v>5146</v>
      </c>
      <c r="E99" s="5">
        <f t="shared" si="5"/>
        <v>146</v>
      </c>
      <c r="F99" s="5">
        <f t="shared" si="6"/>
        <v>21316</v>
      </c>
      <c r="G99" s="6">
        <f>SQRT(SUM($F$2:F99)/A99)</f>
        <v>1063.4594347636184</v>
      </c>
      <c r="H99" s="5">
        <f t="shared" si="7"/>
        <v>1</v>
      </c>
      <c r="I99" s="5">
        <f t="shared" si="8"/>
        <v>1</v>
      </c>
    </row>
    <row r="100" spans="1:9">
      <c r="A100">
        <v>99</v>
      </c>
      <c r="B100">
        <v>7</v>
      </c>
      <c r="C100">
        <v>5000</v>
      </c>
      <c r="D100">
        <v>4830</v>
      </c>
      <c r="E100" s="5">
        <f t="shared" si="5"/>
        <v>170</v>
      </c>
      <c r="F100" s="5">
        <f t="shared" si="6"/>
        <v>28900</v>
      </c>
      <c r="G100" s="6">
        <f>SQRT(SUM($F$2:F100)/A100)</f>
        <v>1058.2127347179262</v>
      </c>
      <c r="H100" s="5">
        <f t="shared" si="7"/>
        <v>1</v>
      </c>
      <c r="I100" s="5">
        <f t="shared" si="8"/>
        <v>1</v>
      </c>
    </row>
    <row r="101" spans="1:9">
      <c r="A101">
        <v>100</v>
      </c>
      <c r="B101">
        <v>7</v>
      </c>
      <c r="C101">
        <v>5000</v>
      </c>
      <c r="D101">
        <v>4947</v>
      </c>
      <c r="E101" s="5">
        <f t="shared" si="5"/>
        <v>53</v>
      </c>
      <c r="F101" s="5">
        <f t="shared" si="6"/>
        <v>2809</v>
      </c>
      <c r="G101" s="6">
        <f>SQRT(SUM($F$2:F101)/A101)</f>
        <v>1052.9217159884204</v>
      </c>
      <c r="H101" s="5">
        <f t="shared" si="7"/>
        <v>1</v>
      </c>
      <c r="I101" s="5">
        <f t="shared" si="8"/>
        <v>1</v>
      </c>
    </row>
    <row r="102" spans="1:9">
      <c r="A102">
        <v>101</v>
      </c>
      <c r="B102">
        <v>7</v>
      </c>
      <c r="C102">
        <v>6000</v>
      </c>
      <c r="D102">
        <v>4916</v>
      </c>
      <c r="E102" s="5">
        <f t="shared" si="5"/>
        <v>1084</v>
      </c>
      <c r="F102" s="5">
        <f t="shared" si="6"/>
        <v>1175056</v>
      </c>
      <c r="G102" s="6">
        <f>SQRT(SUM($F$2:F102)/A102)</f>
        <v>1053.233916643552</v>
      </c>
      <c r="H102" s="5">
        <f t="shared" si="7"/>
        <v>1</v>
      </c>
      <c r="I102" s="5">
        <f t="shared" si="8"/>
        <v>0</v>
      </c>
    </row>
    <row r="103" spans="1:9">
      <c r="A103">
        <v>102</v>
      </c>
      <c r="B103">
        <v>8</v>
      </c>
      <c r="C103">
        <v>6000</v>
      </c>
      <c r="D103">
        <v>6039</v>
      </c>
      <c r="E103" s="5">
        <f t="shared" si="5"/>
        <v>39</v>
      </c>
      <c r="F103" s="5">
        <f t="shared" si="6"/>
        <v>1521</v>
      </c>
      <c r="G103" s="6">
        <f>SQRT(SUM($F$2:F103)/A103)</f>
        <v>1048.0654026516161</v>
      </c>
      <c r="H103" s="5">
        <f t="shared" si="7"/>
        <v>1</v>
      </c>
      <c r="I103" s="5">
        <f t="shared" si="8"/>
        <v>1</v>
      </c>
    </row>
    <row r="104" spans="1:9">
      <c r="A104">
        <v>103</v>
      </c>
      <c r="B104">
        <v>7</v>
      </c>
      <c r="C104">
        <v>6000</v>
      </c>
      <c r="D104">
        <v>5847</v>
      </c>
      <c r="E104" s="5">
        <f t="shared" si="5"/>
        <v>153</v>
      </c>
      <c r="F104" s="5">
        <f t="shared" si="6"/>
        <v>23409</v>
      </c>
      <c r="G104" s="6">
        <f>SQRT(SUM($F$2:F104)/A104)</f>
        <v>1043.0742463962695</v>
      </c>
      <c r="H104" s="5">
        <f t="shared" si="7"/>
        <v>1</v>
      </c>
      <c r="I104" s="5">
        <f t="shared" si="8"/>
        <v>1</v>
      </c>
    </row>
    <row r="105" spans="1:9">
      <c r="A105">
        <v>104</v>
      </c>
      <c r="B105">
        <v>7</v>
      </c>
      <c r="C105">
        <v>6000</v>
      </c>
      <c r="D105">
        <v>4448</v>
      </c>
      <c r="E105" s="5">
        <f t="shared" si="5"/>
        <v>1552</v>
      </c>
      <c r="F105" s="5">
        <f t="shared" si="6"/>
        <v>2408704</v>
      </c>
      <c r="G105" s="6">
        <f>SQRT(SUM($F$2:F105)/A105)</f>
        <v>1049.1439000808816</v>
      </c>
      <c r="H105" s="5">
        <f t="shared" si="7"/>
        <v>0</v>
      </c>
      <c r="I105" s="5">
        <f t="shared" si="8"/>
        <v>0</v>
      </c>
    </row>
    <row r="106" spans="1:9">
      <c r="A106">
        <v>105</v>
      </c>
      <c r="B106">
        <v>9</v>
      </c>
      <c r="C106">
        <v>6000</v>
      </c>
      <c r="D106">
        <v>6401</v>
      </c>
      <c r="E106" s="5">
        <f t="shared" si="5"/>
        <v>401</v>
      </c>
      <c r="F106" s="5">
        <f t="shared" si="6"/>
        <v>160801</v>
      </c>
      <c r="G106" s="6">
        <f>SQRT(SUM($F$2:F106)/A106)</f>
        <v>1044.8691191677913</v>
      </c>
      <c r="H106" s="5">
        <f t="shared" si="7"/>
        <v>1</v>
      </c>
      <c r="I106" s="5">
        <f t="shared" si="8"/>
        <v>1</v>
      </c>
    </row>
    <row r="107" spans="1:9">
      <c r="A107">
        <v>106</v>
      </c>
      <c r="B107">
        <v>7</v>
      </c>
      <c r="C107">
        <v>6000</v>
      </c>
      <c r="D107">
        <v>5612</v>
      </c>
      <c r="E107" s="5">
        <f t="shared" si="5"/>
        <v>388</v>
      </c>
      <c r="F107" s="5">
        <f t="shared" si="6"/>
        <v>150544</v>
      </c>
      <c r="G107" s="6">
        <f>SQRT(SUM($F$2:F107)/A107)</f>
        <v>1040.611435828647</v>
      </c>
      <c r="H107" s="5">
        <f t="shared" si="7"/>
        <v>1</v>
      </c>
      <c r="I107" s="5">
        <f t="shared" si="8"/>
        <v>1</v>
      </c>
    </row>
    <row r="108" spans="1:9">
      <c r="A108">
        <v>107</v>
      </c>
      <c r="B108">
        <v>8</v>
      </c>
      <c r="C108">
        <v>6000</v>
      </c>
      <c r="D108">
        <v>4548</v>
      </c>
      <c r="E108" s="5">
        <f t="shared" si="5"/>
        <v>1452</v>
      </c>
      <c r="F108" s="5">
        <f t="shared" si="6"/>
        <v>2108304</v>
      </c>
      <c r="G108" s="6">
        <f>SQRT(SUM($F$2:F108)/A108)</f>
        <v>1045.2060253911754</v>
      </c>
      <c r="H108" s="5">
        <f t="shared" si="7"/>
        <v>0</v>
      </c>
      <c r="I108" s="5">
        <f t="shared" si="8"/>
        <v>0</v>
      </c>
    </row>
    <row r="109" spans="1:9">
      <c r="A109">
        <v>108</v>
      </c>
      <c r="B109">
        <v>9</v>
      </c>
      <c r="C109">
        <v>6000</v>
      </c>
      <c r="D109">
        <v>4529</v>
      </c>
      <c r="E109" s="5">
        <f t="shared" si="5"/>
        <v>1471</v>
      </c>
      <c r="F109" s="5">
        <f t="shared" si="6"/>
        <v>2163841</v>
      </c>
      <c r="G109" s="6">
        <f>SQRT(SUM($F$2:F109)/A109)</f>
        <v>1049.9408889886945</v>
      </c>
      <c r="H109" s="5">
        <f t="shared" si="7"/>
        <v>0</v>
      </c>
      <c r="I109" s="5">
        <f t="shared" si="8"/>
        <v>0</v>
      </c>
    </row>
    <row r="110" spans="1:9">
      <c r="A110">
        <v>109</v>
      </c>
      <c r="B110">
        <v>10</v>
      </c>
      <c r="C110">
        <v>6000</v>
      </c>
      <c r="D110">
        <v>2077</v>
      </c>
      <c r="E110" s="5">
        <f t="shared" si="5"/>
        <v>3923</v>
      </c>
      <c r="F110" s="5">
        <f t="shared" si="6"/>
        <v>15389929</v>
      </c>
      <c r="G110" s="6">
        <f>SQRT(SUM($F$2:F110)/A110)</f>
        <v>1110.609895260051</v>
      </c>
      <c r="H110" s="5">
        <f t="shared" si="7"/>
        <v>0</v>
      </c>
      <c r="I110" s="5">
        <f t="shared" si="8"/>
        <v>0</v>
      </c>
    </row>
    <row r="111" spans="1:9">
      <c r="A111">
        <v>110</v>
      </c>
      <c r="B111">
        <v>13</v>
      </c>
      <c r="C111">
        <v>6000</v>
      </c>
      <c r="D111">
        <v>6402</v>
      </c>
      <c r="E111" s="5">
        <f t="shared" si="5"/>
        <v>402</v>
      </c>
      <c r="F111" s="5">
        <f t="shared" si="6"/>
        <v>161604</v>
      </c>
      <c r="G111" s="6">
        <f>SQRT(SUM($F$2:F111)/A111)</f>
        <v>1106.2143759030369</v>
      </c>
      <c r="H111" s="5">
        <f t="shared" si="7"/>
        <v>1</v>
      </c>
      <c r="I111" s="5">
        <f t="shared" si="8"/>
        <v>1</v>
      </c>
    </row>
    <row r="112" spans="1:9">
      <c r="A112">
        <v>111</v>
      </c>
      <c r="B112">
        <v>9</v>
      </c>
      <c r="C112">
        <v>6000</v>
      </c>
      <c r="D112">
        <v>5123</v>
      </c>
      <c r="E112" s="5">
        <f t="shared" si="5"/>
        <v>877</v>
      </c>
      <c r="F112" s="5">
        <f t="shared" si="6"/>
        <v>769129</v>
      </c>
      <c r="G112" s="6">
        <f>SQRT(SUM($F$2:F112)/A112)</f>
        <v>1104.3617699462975</v>
      </c>
      <c r="H112" s="5">
        <f t="shared" si="7"/>
        <v>1</v>
      </c>
      <c r="I112" s="5">
        <f t="shared" si="8"/>
        <v>0</v>
      </c>
    </row>
    <row r="113" spans="1:9">
      <c r="A113">
        <v>112</v>
      </c>
      <c r="B113">
        <v>11</v>
      </c>
      <c r="C113">
        <v>6000</v>
      </c>
      <c r="D113">
        <v>6488</v>
      </c>
      <c r="E113" s="5">
        <f t="shared" si="5"/>
        <v>488</v>
      </c>
      <c r="F113" s="5">
        <f t="shared" si="6"/>
        <v>238144</v>
      </c>
      <c r="G113" s="6">
        <f>SQRT(SUM($F$2:F113)/A113)</f>
        <v>1100.3871072101335</v>
      </c>
      <c r="H113" s="5">
        <f t="shared" si="7"/>
        <v>1</v>
      </c>
      <c r="I113" s="5">
        <f t="shared" si="8"/>
        <v>1</v>
      </c>
    </row>
    <row r="114" spans="1:9">
      <c r="A114">
        <v>113</v>
      </c>
      <c r="B114">
        <v>9</v>
      </c>
      <c r="C114">
        <v>6000</v>
      </c>
      <c r="D114">
        <v>5088</v>
      </c>
      <c r="E114" s="5">
        <f t="shared" si="5"/>
        <v>912</v>
      </c>
      <c r="F114" s="5">
        <f t="shared" si="6"/>
        <v>831744</v>
      </c>
      <c r="G114" s="6">
        <f>SQRT(SUM($F$2:F114)/A114)</f>
        <v>1098.8616152898974</v>
      </c>
      <c r="H114" s="5">
        <f t="shared" si="7"/>
        <v>1</v>
      </c>
      <c r="I114" s="5">
        <f t="shared" si="8"/>
        <v>0</v>
      </c>
    </row>
    <row r="115" spans="1:9">
      <c r="A115">
        <v>114</v>
      </c>
      <c r="B115">
        <v>11</v>
      </c>
      <c r="C115">
        <v>6000</v>
      </c>
      <c r="D115">
        <v>6631</v>
      </c>
      <c r="E115" s="5">
        <f t="shared" si="5"/>
        <v>631</v>
      </c>
      <c r="F115" s="5">
        <f t="shared" si="6"/>
        <v>398161</v>
      </c>
      <c r="G115" s="6">
        <f>SQRT(SUM($F$2:F115)/A115)</f>
        <v>1095.6264930534958</v>
      </c>
      <c r="H115" s="5">
        <f t="shared" si="7"/>
        <v>1</v>
      </c>
      <c r="I115" s="5">
        <f t="shared" si="8"/>
        <v>0</v>
      </c>
    </row>
    <row r="116" spans="1:9">
      <c r="A116">
        <v>115</v>
      </c>
      <c r="B116">
        <v>9</v>
      </c>
      <c r="C116">
        <v>6000</v>
      </c>
      <c r="D116">
        <v>5549</v>
      </c>
      <c r="E116" s="5">
        <f t="shared" si="5"/>
        <v>451</v>
      </c>
      <c r="F116" s="5">
        <f t="shared" si="6"/>
        <v>203401</v>
      </c>
      <c r="G116" s="6">
        <f>SQRT(SUM($F$2:F116)/A116)</f>
        <v>1091.6628958890512</v>
      </c>
      <c r="H116" s="5">
        <f t="shared" si="7"/>
        <v>1</v>
      </c>
      <c r="I116" s="5">
        <f t="shared" si="8"/>
        <v>1</v>
      </c>
    </row>
    <row r="117" spans="1:9">
      <c r="A117">
        <v>116</v>
      </c>
      <c r="B117">
        <v>10</v>
      </c>
      <c r="C117">
        <v>6000</v>
      </c>
      <c r="D117">
        <v>6333</v>
      </c>
      <c r="E117" s="5">
        <f t="shared" si="5"/>
        <v>333</v>
      </c>
      <c r="F117" s="5">
        <f t="shared" si="6"/>
        <v>110889</v>
      </c>
      <c r="G117" s="6">
        <f>SQRT(SUM($F$2:F117)/A117)</f>
        <v>1087.38691445324</v>
      </c>
      <c r="H117" s="5">
        <f t="shared" si="7"/>
        <v>1</v>
      </c>
      <c r="I117" s="5">
        <f t="shared" si="8"/>
        <v>1</v>
      </c>
    </row>
    <row r="118" spans="1:9">
      <c r="A118">
        <v>117</v>
      </c>
      <c r="B118">
        <v>9</v>
      </c>
      <c r="C118">
        <v>6000</v>
      </c>
      <c r="D118">
        <v>5539</v>
      </c>
      <c r="E118" s="5">
        <f t="shared" si="5"/>
        <v>461</v>
      </c>
      <c r="F118" s="5">
        <f t="shared" si="6"/>
        <v>212521</v>
      </c>
      <c r="G118" s="6">
        <f>SQRT(SUM($F$2:F118)/A118)</f>
        <v>1083.5684794108074</v>
      </c>
      <c r="H118" s="5">
        <f t="shared" si="7"/>
        <v>1</v>
      </c>
      <c r="I118" s="5">
        <f t="shared" si="8"/>
        <v>1</v>
      </c>
    </row>
    <row r="119" spans="1:9">
      <c r="A119">
        <v>118</v>
      </c>
      <c r="B119">
        <v>10</v>
      </c>
      <c r="C119">
        <v>6000</v>
      </c>
      <c r="D119">
        <v>7075</v>
      </c>
      <c r="E119" s="5">
        <f t="shared" si="5"/>
        <v>1075</v>
      </c>
      <c r="F119" s="5">
        <f t="shared" si="6"/>
        <v>1155625</v>
      </c>
      <c r="G119" s="6">
        <f>SQRT(SUM($F$2:F119)/A119)</f>
        <v>1083.4961498684067</v>
      </c>
      <c r="H119" s="5">
        <f t="shared" si="7"/>
        <v>1</v>
      </c>
      <c r="I119" s="5">
        <f t="shared" si="8"/>
        <v>0</v>
      </c>
    </row>
    <row r="120" spans="1:9">
      <c r="A120">
        <v>119</v>
      </c>
      <c r="B120">
        <v>8</v>
      </c>
      <c r="C120">
        <v>6000</v>
      </c>
      <c r="D120">
        <v>6157</v>
      </c>
      <c r="E120" s="5">
        <f t="shared" si="5"/>
        <v>157</v>
      </c>
      <c r="F120" s="5">
        <f t="shared" si="6"/>
        <v>24649</v>
      </c>
      <c r="G120" s="6">
        <f>SQRT(SUM($F$2:F120)/A120)</f>
        <v>1079.0300266069187</v>
      </c>
      <c r="H120" s="5">
        <f t="shared" si="7"/>
        <v>1</v>
      </c>
      <c r="I120" s="5">
        <f t="shared" si="8"/>
        <v>1</v>
      </c>
    </row>
    <row r="121" spans="1:9">
      <c r="A121">
        <v>120</v>
      </c>
      <c r="B121">
        <v>9</v>
      </c>
      <c r="C121">
        <v>6000</v>
      </c>
      <c r="D121">
        <v>6324</v>
      </c>
      <c r="E121" s="5">
        <f t="shared" si="5"/>
        <v>324</v>
      </c>
      <c r="F121" s="5">
        <f t="shared" si="6"/>
        <v>104976</v>
      </c>
      <c r="G121" s="6">
        <f>SQRT(SUM($F$2:F121)/A121)</f>
        <v>1074.9316489898324</v>
      </c>
      <c r="H121" s="5">
        <f t="shared" si="7"/>
        <v>1</v>
      </c>
      <c r="I121" s="5">
        <f t="shared" si="8"/>
        <v>1</v>
      </c>
    </row>
    <row r="122" spans="1:9">
      <c r="A122">
        <v>121</v>
      </c>
      <c r="B122">
        <v>9</v>
      </c>
      <c r="C122">
        <v>6000</v>
      </c>
      <c r="D122">
        <v>6501</v>
      </c>
      <c r="E122" s="5">
        <f t="shared" si="5"/>
        <v>501</v>
      </c>
      <c r="F122" s="5">
        <f t="shared" si="6"/>
        <v>251001</v>
      </c>
      <c r="G122" s="6">
        <f>SQRT(SUM($F$2:F122)/A122)</f>
        <v>1071.4490342792099</v>
      </c>
      <c r="H122" s="5">
        <f t="shared" si="7"/>
        <v>1</v>
      </c>
      <c r="I122" s="5">
        <f t="shared" si="8"/>
        <v>1</v>
      </c>
    </row>
    <row r="123" spans="1:9">
      <c r="A123">
        <v>122</v>
      </c>
      <c r="B123">
        <v>9</v>
      </c>
      <c r="C123">
        <v>6000</v>
      </c>
      <c r="D123">
        <v>6595</v>
      </c>
      <c r="E123" s="5">
        <f t="shared" si="5"/>
        <v>595</v>
      </c>
      <c r="F123" s="5">
        <f t="shared" si="6"/>
        <v>354025</v>
      </c>
      <c r="G123" s="6">
        <f>SQRT(SUM($F$2:F123)/A123)</f>
        <v>1068.4077013918622</v>
      </c>
      <c r="H123" s="5">
        <f t="shared" si="7"/>
        <v>1</v>
      </c>
      <c r="I123" s="5">
        <f t="shared" si="8"/>
        <v>1</v>
      </c>
    </row>
    <row r="124" spans="1:9">
      <c r="A124">
        <v>123</v>
      </c>
      <c r="B124">
        <v>8</v>
      </c>
      <c r="C124">
        <v>6000</v>
      </c>
      <c r="D124">
        <v>5805</v>
      </c>
      <c r="E124" s="5">
        <f t="shared" si="5"/>
        <v>195</v>
      </c>
      <c r="F124" s="5">
        <f t="shared" si="6"/>
        <v>38025</v>
      </c>
      <c r="G124" s="6">
        <f>SQRT(SUM($F$2:F124)/A124)</f>
        <v>1064.2009751203739</v>
      </c>
      <c r="H124" s="5">
        <f t="shared" si="7"/>
        <v>1</v>
      </c>
      <c r="I124" s="5">
        <f t="shared" si="8"/>
        <v>1</v>
      </c>
    </row>
    <row r="125" spans="1:9">
      <c r="A125">
        <v>124</v>
      </c>
      <c r="B125">
        <v>9</v>
      </c>
      <c r="C125">
        <v>6000</v>
      </c>
      <c r="D125">
        <v>5529</v>
      </c>
      <c r="E125" s="5">
        <f t="shared" si="5"/>
        <v>471</v>
      </c>
      <c r="F125" s="5">
        <f t="shared" si="6"/>
        <v>221841</v>
      </c>
      <c r="G125" s="6">
        <f>SQRT(SUM($F$2:F125)/A125)</f>
        <v>1060.74478551629</v>
      </c>
      <c r="H125" s="5">
        <f t="shared" si="7"/>
        <v>1</v>
      </c>
      <c r="I125" s="5">
        <f t="shared" si="8"/>
        <v>1</v>
      </c>
    </row>
    <row r="126" spans="1:9">
      <c r="A126">
        <v>125</v>
      </c>
      <c r="B126">
        <v>10</v>
      </c>
      <c r="C126">
        <v>6000</v>
      </c>
      <c r="D126">
        <v>6121</v>
      </c>
      <c r="E126" s="5">
        <f t="shared" si="5"/>
        <v>121</v>
      </c>
      <c r="F126" s="5">
        <f t="shared" si="6"/>
        <v>14641</v>
      </c>
      <c r="G126" s="6">
        <f>SQRT(SUM($F$2:F126)/A126)</f>
        <v>1056.548717286619</v>
      </c>
      <c r="H126" s="5">
        <f t="shared" si="7"/>
        <v>1</v>
      </c>
      <c r="I126" s="5">
        <f t="shared" si="8"/>
        <v>1</v>
      </c>
    </row>
    <row r="127" spans="1:9">
      <c r="A127">
        <v>126</v>
      </c>
      <c r="B127">
        <v>9</v>
      </c>
      <c r="C127">
        <v>6000</v>
      </c>
      <c r="D127">
        <v>5733</v>
      </c>
      <c r="E127" s="5">
        <f t="shared" si="5"/>
        <v>267</v>
      </c>
      <c r="F127" s="5">
        <f t="shared" si="6"/>
        <v>71289</v>
      </c>
      <c r="G127" s="6">
        <f>SQRT(SUM($F$2:F127)/A127)</f>
        <v>1052.6164980958126</v>
      </c>
      <c r="H127" s="5">
        <f t="shared" si="7"/>
        <v>1</v>
      </c>
      <c r="I127" s="5">
        <f t="shared" si="8"/>
        <v>1</v>
      </c>
    </row>
    <row r="128" spans="1:9">
      <c r="A128">
        <v>127</v>
      </c>
      <c r="B128">
        <v>10</v>
      </c>
      <c r="C128">
        <v>6000</v>
      </c>
      <c r="D128">
        <v>6140</v>
      </c>
      <c r="E128" s="5">
        <f t="shared" si="5"/>
        <v>140</v>
      </c>
      <c r="F128" s="5">
        <f t="shared" si="6"/>
        <v>19600</v>
      </c>
      <c r="G128" s="6">
        <f>SQRT(SUM($F$2:F128)/A128)</f>
        <v>1048.5377444683634</v>
      </c>
      <c r="H128" s="5">
        <f t="shared" si="7"/>
        <v>1</v>
      </c>
      <c r="I128" s="5">
        <f t="shared" si="8"/>
        <v>1</v>
      </c>
    </row>
    <row r="129" spans="1:9">
      <c r="A129">
        <v>128</v>
      </c>
      <c r="B129">
        <v>9</v>
      </c>
      <c r="C129">
        <v>6000</v>
      </c>
      <c r="D129">
        <v>5419</v>
      </c>
      <c r="E129" s="5">
        <f t="shared" si="5"/>
        <v>581</v>
      </c>
      <c r="F129" s="5">
        <f t="shared" si="6"/>
        <v>337561</v>
      </c>
      <c r="G129" s="6">
        <f>SQRT(SUM($F$2:F129)/A129)</f>
        <v>1045.6956005752822</v>
      </c>
      <c r="H129" s="5">
        <f t="shared" si="7"/>
        <v>1</v>
      </c>
      <c r="I129" s="5">
        <f t="shared" si="8"/>
        <v>1</v>
      </c>
    </row>
    <row r="130" spans="1:9">
      <c r="A130">
        <v>129</v>
      </c>
      <c r="B130">
        <v>10</v>
      </c>
      <c r="C130">
        <v>6000</v>
      </c>
      <c r="D130">
        <v>6102</v>
      </c>
      <c r="E130" s="5">
        <f t="shared" si="5"/>
        <v>102</v>
      </c>
      <c r="F130" s="5">
        <f t="shared" si="6"/>
        <v>10404</v>
      </c>
      <c r="G130" s="6">
        <f>SQRT(SUM($F$2:F130)/A130)</f>
        <v>1041.6733444747194</v>
      </c>
      <c r="H130" s="5">
        <f t="shared" si="7"/>
        <v>1</v>
      </c>
      <c r="I130" s="5">
        <f t="shared" si="8"/>
        <v>1</v>
      </c>
    </row>
    <row r="131" spans="1:9">
      <c r="A131">
        <v>130</v>
      </c>
      <c r="B131">
        <v>9</v>
      </c>
      <c r="C131">
        <v>6000</v>
      </c>
      <c r="D131">
        <v>5935</v>
      </c>
      <c r="E131" s="5">
        <f t="shared" ref="E131:E194" si="9">ABS(C131-D131)</f>
        <v>65</v>
      </c>
      <c r="F131" s="5">
        <f t="shared" ref="F131:F194" si="10">POWER(E131,2)</f>
        <v>4225</v>
      </c>
      <c r="G131" s="6">
        <f>SQRT(SUM($F$2:F131)/A131)</f>
        <v>1037.6748342031146</v>
      </c>
      <c r="H131" s="5">
        <f t="shared" ref="H131:H194" si="11">IF(ABS(E131)/C131&gt;0.2,0,1)</f>
        <v>1</v>
      </c>
      <c r="I131" s="5">
        <f t="shared" ref="I131:I194" si="12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5576</v>
      </c>
      <c r="E132" s="5">
        <f t="shared" si="9"/>
        <v>424</v>
      </c>
      <c r="F132" s="5">
        <f t="shared" si="10"/>
        <v>179776</v>
      </c>
      <c r="G132" s="6">
        <f>SQRT(SUM($F$2:F132)/A132)</f>
        <v>1034.3702365495355</v>
      </c>
      <c r="H132" s="5">
        <f t="shared" si="11"/>
        <v>1</v>
      </c>
      <c r="I132" s="5">
        <f t="shared" si="12"/>
        <v>1</v>
      </c>
    </row>
    <row r="133" spans="1:9">
      <c r="A133">
        <v>132</v>
      </c>
      <c r="B133">
        <v>10</v>
      </c>
      <c r="C133">
        <v>6000</v>
      </c>
      <c r="D133">
        <v>5756</v>
      </c>
      <c r="E133" s="5">
        <f t="shared" si="9"/>
        <v>244</v>
      </c>
      <c r="F133" s="5">
        <f t="shared" si="10"/>
        <v>59536</v>
      </c>
      <c r="G133" s="6">
        <f>SQRT(SUM($F$2:F133)/A133)</f>
        <v>1030.6635476647307</v>
      </c>
      <c r="H133" s="5">
        <f t="shared" si="11"/>
        <v>1</v>
      </c>
      <c r="I133" s="5">
        <f t="shared" si="12"/>
        <v>1</v>
      </c>
    </row>
    <row r="134" spans="1:9">
      <c r="A134">
        <v>133</v>
      </c>
      <c r="B134">
        <v>10</v>
      </c>
      <c r="C134">
        <v>6000</v>
      </c>
      <c r="D134">
        <v>6597</v>
      </c>
      <c r="E134" s="5">
        <f t="shared" si="9"/>
        <v>597</v>
      </c>
      <c r="F134" s="5">
        <f t="shared" si="10"/>
        <v>356409</v>
      </c>
      <c r="G134" s="6">
        <f>SQRT(SUM($F$2:F134)/A134)</f>
        <v>1028.0856690262456</v>
      </c>
      <c r="H134" s="5">
        <f t="shared" si="11"/>
        <v>1</v>
      </c>
      <c r="I134" s="5">
        <f t="shared" si="12"/>
        <v>1</v>
      </c>
    </row>
    <row r="135" spans="1:9">
      <c r="A135">
        <v>134</v>
      </c>
      <c r="B135">
        <v>9</v>
      </c>
      <c r="C135">
        <v>6000</v>
      </c>
      <c r="D135">
        <v>6137</v>
      </c>
      <c r="E135" s="5">
        <f t="shared" si="9"/>
        <v>137</v>
      </c>
      <c r="F135" s="5">
        <f t="shared" si="10"/>
        <v>18769</v>
      </c>
      <c r="G135" s="6">
        <f>SQRT(SUM($F$2:F135)/A135)</f>
        <v>1024.310718366841</v>
      </c>
      <c r="H135" s="5">
        <f t="shared" si="11"/>
        <v>1</v>
      </c>
      <c r="I135" s="5">
        <f t="shared" si="12"/>
        <v>1</v>
      </c>
    </row>
    <row r="136" spans="1:9">
      <c r="A136">
        <v>135</v>
      </c>
      <c r="B136">
        <v>9</v>
      </c>
      <c r="C136">
        <v>6000</v>
      </c>
      <c r="D136">
        <v>6284</v>
      </c>
      <c r="E136" s="5">
        <f t="shared" si="9"/>
        <v>284</v>
      </c>
      <c r="F136" s="5">
        <f t="shared" si="10"/>
        <v>80656</v>
      </c>
      <c r="G136" s="6">
        <f>SQRT(SUM($F$2:F136)/A136)</f>
        <v>1020.8026036191109</v>
      </c>
      <c r="H136" s="5">
        <f t="shared" si="11"/>
        <v>1</v>
      </c>
      <c r="I136" s="5">
        <f t="shared" si="12"/>
        <v>1</v>
      </c>
    </row>
    <row r="137" spans="1:9">
      <c r="A137">
        <v>136</v>
      </c>
      <c r="B137">
        <v>9</v>
      </c>
      <c r="C137">
        <v>6000</v>
      </c>
      <c r="D137">
        <v>6428</v>
      </c>
      <c r="E137" s="5">
        <f t="shared" si="9"/>
        <v>428</v>
      </c>
      <c r="F137" s="5">
        <f t="shared" si="10"/>
        <v>183184</v>
      </c>
      <c r="G137" s="6">
        <f>SQRT(SUM($F$2:F137)/A137)</f>
        <v>1017.7046982996475</v>
      </c>
      <c r="H137" s="5">
        <f t="shared" si="11"/>
        <v>1</v>
      </c>
      <c r="I137" s="5">
        <f t="shared" si="12"/>
        <v>1</v>
      </c>
    </row>
    <row r="138" spans="1:9">
      <c r="A138">
        <v>137</v>
      </c>
      <c r="B138">
        <v>9</v>
      </c>
      <c r="C138">
        <v>6000</v>
      </c>
      <c r="D138">
        <v>5951</v>
      </c>
      <c r="E138" s="5">
        <f t="shared" si="9"/>
        <v>49</v>
      </c>
      <c r="F138" s="5">
        <f t="shared" si="10"/>
        <v>2401</v>
      </c>
      <c r="G138" s="6">
        <f>SQRT(SUM($F$2:F138)/A138)</f>
        <v>1013.9922867873471</v>
      </c>
      <c r="H138" s="5">
        <f t="shared" si="11"/>
        <v>1</v>
      </c>
      <c r="I138" s="5">
        <f t="shared" si="12"/>
        <v>1</v>
      </c>
    </row>
    <row r="139" spans="1:9">
      <c r="A139">
        <v>138</v>
      </c>
      <c r="B139">
        <v>9</v>
      </c>
      <c r="C139">
        <v>6000</v>
      </c>
      <c r="D139">
        <v>5929</v>
      </c>
      <c r="E139" s="5">
        <f t="shared" si="9"/>
        <v>71</v>
      </c>
      <c r="F139" s="5">
        <f t="shared" si="10"/>
        <v>5041</v>
      </c>
      <c r="G139" s="6">
        <f>SQRT(SUM($F$2:F139)/A139)</f>
        <v>1010.3297997920412</v>
      </c>
      <c r="H139" s="5">
        <f t="shared" si="11"/>
        <v>1</v>
      </c>
      <c r="I139" s="5">
        <f t="shared" si="12"/>
        <v>1</v>
      </c>
    </row>
    <row r="140" spans="1:9">
      <c r="A140">
        <v>139</v>
      </c>
      <c r="B140">
        <v>9</v>
      </c>
      <c r="C140">
        <v>6000</v>
      </c>
      <c r="D140">
        <v>5829</v>
      </c>
      <c r="E140" s="5">
        <f t="shared" si="9"/>
        <v>171</v>
      </c>
      <c r="F140" s="5">
        <f t="shared" si="10"/>
        <v>29241</v>
      </c>
      <c r="G140" s="6">
        <f>SQRT(SUM($F$2:F140)/A140)</f>
        <v>1006.7934389818888</v>
      </c>
      <c r="H140" s="5">
        <f t="shared" si="11"/>
        <v>1</v>
      </c>
      <c r="I140" s="5">
        <f t="shared" si="12"/>
        <v>1</v>
      </c>
    </row>
    <row r="141" spans="1:9">
      <c r="A141">
        <v>140</v>
      </c>
      <c r="B141">
        <v>9</v>
      </c>
      <c r="C141">
        <v>6000</v>
      </c>
      <c r="D141">
        <v>5935</v>
      </c>
      <c r="E141" s="5">
        <f t="shared" si="9"/>
        <v>65</v>
      </c>
      <c r="F141" s="5">
        <f t="shared" si="10"/>
        <v>4225</v>
      </c>
      <c r="G141" s="6">
        <f>SQRT(SUM($F$2:F141)/A141)</f>
        <v>1003.2063453889092</v>
      </c>
      <c r="H141" s="5">
        <f t="shared" si="11"/>
        <v>1</v>
      </c>
      <c r="I141" s="5">
        <f t="shared" si="12"/>
        <v>1</v>
      </c>
    </row>
    <row r="142" spans="1:9">
      <c r="A142">
        <v>141</v>
      </c>
      <c r="B142">
        <v>9</v>
      </c>
      <c r="C142">
        <v>6000</v>
      </c>
      <c r="D142">
        <v>6510</v>
      </c>
      <c r="E142" s="5">
        <f t="shared" si="9"/>
        <v>510</v>
      </c>
      <c r="F142" s="5">
        <f t="shared" si="10"/>
        <v>260100</v>
      </c>
      <c r="G142" s="6">
        <f>SQRT(SUM($F$2:F142)/A142)</f>
        <v>1000.5647908602521</v>
      </c>
      <c r="H142" s="5">
        <f t="shared" si="11"/>
        <v>1</v>
      </c>
      <c r="I142" s="5">
        <f t="shared" si="12"/>
        <v>1</v>
      </c>
    </row>
    <row r="143" spans="1:9">
      <c r="A143">
        <v>142</v>
      </c>
      <c r="B143">
        <v>9</v>
      </c>
      <c r="C143">
        <v>6000</v>
      </c>
      <c r="D143">
        <v>5965</v>
      </c>
      <c r="E143" s="5">
        <f t="shared" si="9"/>
        <v>35</v>
      </c>
      <c r="F143" s="5">
        <f t="shared" si="10"/>
        <v>1225</v>
      </c>
      <c r="G143" s="6">
        <f>SQRT(SUM($F$2:F143)/A143)</f>
        <v>997.03977699057145</v>
      </c>
      <c r="H143" s="5">
        <f t="shared" si="11"/>
        <v>1</v>
      </c>
      <c r="I143" s="5">
        <f t="shared" si="12"/>
        <v>1</v>
      </c>
    </row>
    <row r="144" spans="1:9">
      <c r="A144">
        <v>143</v>
      </c>
      <c r="B144">
        <v>9</v>
      </c>
      <c r="C144">
        <v>6000</v>
      </c>
      <c r="D144">
        <v>5226</v>
      </c>
      <c r="E144" s="5">
        <f t="shared" si="9"/>
        <v>774</v>
      </c>
      <c r="F144" s="5">
        <f t="shared" si="10"/>
        <v>599076</v>
      </c>
      <c r="G144" s="6">
        <f>SQRT(SUM($F$2:F144)/A144)</f>
        <v>995.65355069270606</v>
      </c>
      <c r="H144" s="5">
        <f t="shared" si="11"/>
        <v>1</v>
      </c>
      <c r="I144" s="5">
        <f t="shared" si="12"/>
        <v>0</v>
      </c>
    </row>
    <row r="145" spans="1:9">
      <c r="A145">
        <v>144</v>
      </c>
      <c r="B145">
        <v>10</v>
      </c>
      <c r="C145">
        <v>6000</v>
      </c>
      <c r="D145">
        <v>6160</v>
      </c>
      <c r="E145" s="5">
        <f t="shared" si="9"/>
        <v>160</v>
      </c>
      <c r="F145" s="5">
        <f t="shared" si="10"/>
        <v>25600</v>
      </c>
      <c r="G145" s="6">
        <f>SQRT(SUM($F$2:F145)/A145)</f>
        <v>992.27998191034771</v>
      </c>
      <c r="H145" s="5">
        <f t="shared" si="11"/>
        <v>1</v>
      </c>
      <c r="I145" s="5">
        <f t="shared" si="12"/>
        <v>1</v>
      </c>
    </row>
    <row r="146" spans="1:9">
      <c r="A146">
        <v>145</v>
      </c>
      <c r="B146">
        <v>9</v>
      </c>
      <c r="C146">
        <v>6000</v>
      </c>
      <c r="D146">
        <v>5277</v>
      </c>
      <c r="E146" s="5">
        <f t="shared" si="9"/>
        <v>723</v>
      </c>
      <c r="F146" s="5">
        <f t="shared" si="10"/>
        <v>522729</v>
      </c>
      <c r="G146" s="6">
        <f>SQRT(SUM($F$2:F146)/A146)</f>
        <v>990.67356396788318</v>
      </c>
      <c r="H146" s="5">
        <f t="shared" si="11"/>
        <v>1</v>
      </c>
      <c r="I146" s="5">
        <f t="shared" si="12"/>
        <v>0</v>
      </c>
    </row>
    <row r="147" spans="1:9">
      <c r="A147">
        <v>146</v>
      </c>
      <c r="B147">
        <v>10</v>
      </c>
      <c r="C147">
        <v>6000</v>
      </c>
      <c r="D147">
        <v>6453</v>
      </c>
      <c r="E147" s="5">
        <f t="shared" si="9"/>
        <v>453</v>
      </c>
      <c r="F147" s="5">
        <f t="shared" si="10"/>
        <v>205209</v>
      </c>
      <c r="G147" s="6">
        <f>SQRT(SUM($F$2:F147)/A147)</f>
        <v>987.98658897780592</v>
      </c>
      <c r="H147" s="5">
        <f t="shared" si="11"/>
        <v>1</v>
      </c>
      <c r="I147" s="5">
        <f t="shared" si="12"/>
        <v>1</v>
      </c>
    </row>
    <row r="148" spans="1:9">
      <c r="A148">
        <v>147</v>
      </c>
      <c r="B148">
        <v>9</v>
      </c>
      <c r="C148">
        <v>6000</v>
      </c>
      <c r="D148">
        <v>5937</v>
      </c>
      <c r="E148" s="5">
        <f t="shared" si="9"/>
        <v>63</v>
      </c>
      <c r="F148" s="5">
        <f t="shared" si="10"/>
        <v>3969</v>
      </c>
      <c r="G148" s="6">
        <f>SQRT(SUM($F$2:F148)/A148)</f>
        <v>984.63406649270428</v>
      </c>
      <c r="H148" s="5">
        <f t="shared" si="11"/>
        <v>1</v>
      </c>
      <c r="I148" s="5">
        <f t="shared" si="12"/>
        <v>1</v>
      </c>
    </row>
    <row r="149" spans="1:9">
      <c r="A149">
        <v>148</v>
      </c>
      <c r="B149">
        <v>9</v>
      </c>
      <c r="C149">
        <v>6000</v>
      </c>
      <c r="D149">
        <v>7237</v>
      </c>
      <c r="E149" s="5">
        <f t="shared" si="9"/>
        <v>1237</v>
      </c>
      <c r="F149" s="5">
        <f t="shared" si="10"/>
        <v>1530169</v>
      </c>
      <c r="G149" s="6">
        <f>SQRT(SUM($F$2:F149)/A149)</f>
        <v>986.55588806223761</v>
      </c>
      <c r="H149" s="5">
        <f t="shared" si="11"/>
        <v>0</v>
      </c>
      <c r="I149" s="5">
        <f t="shared" si="12"/>
        <v>0</v>
      </c>
    </row>
    <row r="150" spans="1:9">
      <c r="A150">
        <v>149</v>
      </c>
      <c r="B150">
        <v>8</v>
      </c>
      <c r="C150">
        <v>6000</v>
      </c>
      <c r="D150">
        <v>5324</v>
      </c>
      <c r="E150" s="5">
        <f t="shared" si="9"/>
        <v>676</v>
      </c>
      <c r="F150" s="5">
        <f t="shared" si="10"/>
        <v>456976</v>
      </c>
      <c r="G150" s="6">
        <f>SQRT(SUM($F$2:F150)/A150)</f>
        <v>984.79810556521295</v>
      </c>
      <c r="H150" s="5">
        <f t="shared" si="11"/>
        <v>1</v>
      </c>
      <c r="I150" s="5">
        <f t="shared" si="12"/>
        <v>0</v>
      </c>
    </row>
    <row r="151" spans="1:9">
      <c r="A151">
        <v>150</v>
      </c>
      <c r="B151">
        <v>10</v>
      </c>
      <c r="C151">
        <v>6000</v>
      </c>
      <c r="D151">
        <v>6627</v>
      </c>
      <c r="E151" s="5">
        <f t="shared" si="9"/>
        <v>627</v>
      </c>
      <c r="F151" s="5">
        <f t="shared" si="10"/>
        <v>393129</v>
      </c>
      <c r="G151" s="6">
        <f>SQRT(SUM($F$2:F151)/A151)</f>
        <v>982.84416533514275</v>
      </c>
      <c r="H151" s="5">
        <f t="shared" si="11"/>
        <v>1</v>
      </c>
      <c r="I151" s="5">
        <f t="shared" si="12"/>
        <v>0</v>
      </c>
    </row>
    <row r="152" spans="1:9">
      <c r="A152">
        <v>151</v>
      </c>
      <c r="B152">
        <v>8</v>
      </c>
      <c r="C152">
        <v>6000</v>
      </c>
      <c r="D152">
        <v>4811</v>
      </c>
      <c r="E152" s="5">
        <f t="shared" si="9"/>
        <v>1189</v>
      </c>
      <c r="F152" s="5">
        <f t="shared" si="10"/>
        <v>1413721</v>
      </c>
      <c r="G152" s="6">
        <f>SQRT(SUM($F$2:F152)/A152)</f>
        <v>984.35146566001504</v>
      </c>
      <c r="H152" s="5">
        <f t="shared" si="11"/>
        <v>1</v>
      </c>
      <c r="I152" s="5">
        <f t="shared" si="12"/>
        <v>0</v>
      </c>
    </row>
    <row r="153" spans="1:9">
      <c r="A153">
        <v>152</v>
      </c>
      <c r="B153">
        <v>11</v>
      </c>
      <c r="C153">
        <v>6000</v>
      </c>
      <c r="D153">
        <v>6597</v>
      </c>
      <c r="E153" s="5">
        <f t="shared" si="9"/>
        <v>597</v>
      </c>
      <c r="F153" s="5">
        <f t="shared" si="10"/>
        <v>356409</v>
      </c>
      <c r="G153" s="6">
        <f>SQRT(SUM($F$2:F153)/A153)</f>
        <v>982.30237064175969</v>
      </c>
      <c r="H153" s="5">
        <f t="shared" si="11"/>
        <v>1</v>
      </c>
      <c r="I153" s="5">
        <f t="shared" si="12"/>
        <v>1</v>
      </c>
    </row>
    <row r="154" spans="1:9">
      <c r="A154">
        <v>153</v>
      </c>
      <c r="B154">
        <v>9</v>
      </c>
      <c r="C154">
        <v>6000</v>
      </c>
      <c r="D154">
        <v>6121</v>
      </c>
      <c r="E154" s="5">
        <f t="shared" si="9"/>
        <v>121</v>
      </c>
      <c r="F154" s="5">
        <f t="shared" si="10"/>
        <v>14641</v>
      </c>
      <c r="G154" s="6">
        <f>SQRT(SUM($F$2:F154)/A154)</f>
        <v>979.13583681126931</v>
      </c>
      <c r="H154" s="5">
        <f t="shared" si="11"/>
        <v>1</v>
      </c>
      <c r="I154" s="5">
        <f t="shared" si="12"/>
        <v>1</v>
      </c>
    </row>
    <row r="155" spans="1:9">
      <c r="A155">
        <v>154</v>
      </c>
      <c r="B155">
        <v>9</v>
      </c>
      <c r="C155">
        <v>6000</v>
      </c>
      <c r="D155">
        <v>6329</v>
      </c>
      <c r="E155" s="5">
        <f t="shared" si="9"/>
        <v>329</v>
      </c>
      <c r="F155" s="5">
        <f t="shared" si="10"/>
        <v>108241</v>
      </c>
      <c r="G155" s="6">
        <f>SQRT(SUM($F$2:F155)/A155)</f>
        <v>976.31167181360718</v>
      </c>
      <c r="H155" s="5">
        <f t="shared" si="11"/>
        <v>1</v>
      </c>
      <c r="I155" s="5">
        <f t="shared" si="12"/>
        <v>1</v>
      </c>
    </row>
    <row r="156" spans="1:9">
      <c r="A156">
        <v>155</v>
      </c>
      <c r="B156">
        <v>9</v>
      </c>
      <c r="C156">
        <v>6000</v>
      </c>
      <c r="D156">
        <v>5993</v>
      </c>
      <c r="E156" s="5">
        <f t="shared" si="9"/>
        <v>7</v>
      </c>
      <c r="F156" s="5">
        <f t="shared" si="10"/>
        <v>49</v>
      </c>
      <c r="G156" s="6">
        <f>SQRT(SUM($F$2:F156)/A156)</f>
        <v>973.15734563062244</v>
      </c>
      <c r="H156" s="5">
        <f t="shared" si="11"/>
        <v>1</v>
      </c>
      <c r="I156" s="5">
        <f t="shared" si="12"/>
        <v>1</v>
      </c>
    </row>
    <row r="157" spans="1:9">
      <c r="A157">
        <v>156</v>
      </c>
      <c r="B157">
        <v>9</v>
      </c>
      <c r="C157">
        <v>6000</v>
      </c>
      <c r="D157">
        <v>5849</v>
      </c>
      <c r="E157" s="5">
        <f t="shared" si="9"/>
        <v>151</v>
      </c>
      <c r="F157" s="5">
        <f t="shared" si="10"/>
        <v>22801</v>
      </c>
      <c r="G157" s="6">
        <f>SQRT(SUM($F$2:F157)/A157)</f>
        <v>970.10857177206765</v>
      </c>
      <c r="H157" s="5">
        <f t="shared" si="11"/>
        <v>1</v>
      </c>
      <c r="I157" s="5">
        <f t="shared" si="12"/>
        <v>1</v>
      </c>
    </row>
    <row r="158" spans="1:9">
      <c r="A158">
        <v>157</v>
      </c>
      <c r="B158">
        <v>9</v>
      </c>
      <c r="C158">
        <v>6000</v>
      </c>
      <c r="D158">
        <v>6347</v>
      </c>
      <c r="E158" s="5">
        <f t="shared" si="9"/>
        <v>347</v>
      </c>
      <c r="F158" s="5">
        <f t="shared" si="10"/>
        <v>120409</v>
      </c>
      <c r="G158" s="6">
        <f>SQRT(SUM($F$2:F158)/A158)</f>
        <v>967.41058606892273</v>
      </c>
      <c r="H158" s="5">
        <f t="shared" si="11"/>
        <v>1</v>
      </c>
      <c r="I158" s="5">
        <f t="shared" si="12"/>
        <v>1</v>
      </c>
    </row>
    <row r="159" spans="1:9">
      <c r="A159">
        <v>158</v>
      </c>
      <c r="B159">
        <v>9</v>
      </c>
      <c r="C159">
        <v>6000</v>
      </c>
      <c r="D159">
        <v>6650</v>
      </c>
      <c r="E159" s="5">
        <f t="shared" si="9"/>
        <v>650</v>
      </c>
      <c r="F159" s="5">
        <f t="shared" si="10"/>
        <v>422500</v>
      </c>
      <c r="G159" s="6">
        <f>SQRT(SUM($F$2:F159)/A159)</f>
        <v>965.72976603843904</v>
      </c>
      <c r="H159" s="5">
        <f t="shared" si="11"/>
        <v>1</v>
      </c>
      <c r="I159" s="5">
        <f t="shared" si="12"/>
        <v>0</v>
      </c>
    </row>
    <row r="160" spans="1:9">
      <c r="A160">
        <v>159</v>
      </c>
      <c r="B160">
        <v>8</v>
      </c>
      <c r="C160">
        <v>6000</v>
      </c>
      <c r="D160">
        <v>5759</v>
      </c>
      <c r="E160" s="5">
        <f t="shared" si="9"/>
        <v>241</v>
      </c>
      <c r="F160" s="5">
        <f t="shared" si="10"/>
        <v>58081</v>
      </c>
      <c r="G160" s="6">
        <f>SQRT(SUM($F$2:F160)/A160)</f>
        <v>962.87779484145449</v>
      </c>
      <c r="H160" s="5">
        <f t="shared" si="11"/>
        <v>1</v>
      </c>
      <c r="I160" s="5">
        <f t="shared" si="12"/>
        <v>1</v>
      </c>
    </row>
    <row r="161" spans="1:9">
      <c r="A161">
        <v>160</v>
      </c>
      <c r="B161">
        <v>9</v>
      </c>
      <c r="C161">
        <v>6000</v>
      </c>
      <c r="D161">
        <v>5903</v>
      </c>
      <c r="E161" s="5">
        <f t="shared" si="9"/>
        <v>97</v>
      </c>
      <c r="F161" s="5">
        <f t="shared" si="10"/>
        <v>9409</v>
      </c>
      <c r="G161" s="6">
        <f>SQRT(SUM($F$2:F161)/A161)</f>
        <v>959.89471753416797</v>
      </c>
      <c r="H161" s="5">
        <f t="shared" si="11"/>
        <v>1</v>
      </c>
      <c r="I161" s="5">
        <f t="shared" si="12"/>
        <v>1</v>
      </c>
    </row>
    <row r="162" spans="1:9">
      <c r="A162">
        <v>161</v>
      </c>
      <c r="B162">
        <v>9</v>
      </c>
      <c r="C162">
        <v>6000</v>
      </c>
      <c r="D162">
        <v>6089</v>
      </c>
      <c r="E162" s="5">
        <f t="shared" si="9"/>
        <v>89</v>
      </c>
      <c r="F162" s="5">
        <f t="shared" si="10"/>
        <v>7921</v>
      </c>
      <c r="G162" s="6">
        <f>SQRT(SUM($F$2:F162)/A162)</f>
        <v>956.93474144211211</v>
      </c>
      <c r="H162" s="5">
        <f t="shared" si="11"/>
        <v>1</v>
      </c>
      <c r="I162" s="5">
        <f t="shared" si="12"/>
        <v>1</v>
      </c>
    </row>
    <row r="163" spans="1:9">
      <c r="A163">
        <v>162</v>
      </c>
      <c r="B163">
        <v>9</v>
      </c>
      <c r="C163">
        <v>6000</v>
      </c>
      <c r="D163">
        <v>6365</v>
      </c>
      <c r="E163" s="5">
        <f t="shared" si="9"/>
        <v>365</v>
      </c>
      <c r="F163" s="5">
        <f t="shared" si="10"/>
        <v>133225</v>
      </c>
      <c r="G163" s="6">
        <f>SQRT(SUM($F$2:F163)/A163)</f>
        <v>954.40759533057542</v>
      </c>
      <c r="H163" s="5">
        <f t="shared" si="11"/>
        <v>1</v>
      </c>
      <c r="I163" s="5">
        <f t="shared" si="12"/>
        <v>1</v>
      </c>
    </row>
    <row r="164" spans="1:9">
      <c r="A164">
        <v>163</v>
      </c>
      <c r="B164">
        <v>9</v>
      </c>
      <c r="C164">
        <v>6000</v>
      </c>
      <c r="D164">
        <v>6359</v>
      </c>
      <c r="E164" s="5">
        <f t="shared" si="9"/>
        <v>359</v>
      </c>
      <c r="F164" s="5">
        <f t="shared" si="10"/>
        <v>128881</v>
      </c>
      <c r="G164" s="6">
        <f>SQRT(SUM($F$2:F164)/A164)</f>
        <v>951.89087248950671</v>
      </c>
      <c r="H164" s="5">
        <f t="shared" si="11"/>
        <v>1</v>
      </c>
      <c r="I164" s="5">
        <f t="shared" si="12"/>
        <v>1</v>
      </c>
    </row>
    <row r="165" spans="1:9">
      <c r="A165">
        <v>164</v>
      </c>
      <c r="B165">
        <v>8</v>
      </c>
      <c r="C165">
        <v>6000</v>
      </c>
      <c r="D165">
        <v>6427</v>
      </c>
      <c r="E165" s="5">
        <f t="shared" si="9"/>
        <v>427</v>
      </c>
      <c r="F165" s="5">
        <f t="shared" si="10"/>
        <v>182329</v>
      </c>
      <c r="G165" s="6">
        <f>SQRT(SUM($F$2:F165)/A165)</f>
        <v>949.56991227222602</v>
      </c>
      <c r="H165" s="5">
        <f t="shared" si="11"/>
        <v>1</v>
      </c>
      <c r="I165" s="5">
        <f t="shared" si="12"/>
        <v>1</v>
      </c>
    </row>
    <row r="166" spans="1:9">
      <c r="A166">
        <v>165</v>
      </c>
      <c r="B166">
        <v>8</v>
      </c>
      <c r="C166">
        <v>6000</v>
      </c>
      <c r="D166">
        <v>5836</v>
      </c>
      <c r="E166" s="5">
        <f t="shared" si="9"/>
        <v>164</v>
      </c>
      <c r="F166" s="5">
        <f t="shared" si="10"/>
        <v>26896</v>
      </c>
      <c r="G166" s="6">
        <f>SQRT(SUM($F$2:F166)/A166)</f>
        <v>946.77414349351488</v>
      </c>
      <c r="H166" s="5">
        <f t="shared" si="11"/>
        <v>1</v>
      </c>
      <c r="I166" s="5">
        <f t="shared" si="12"/>
        <v>1</v>
      </c>
    </row>
    <row r="167" spans="1:9">
      <c r="A167">
        <v>166</v>
      </c>
      <c r="B167">
        <v>9</v>
      </c>
      <c r="C167">
        <v>6000</v>
      </c>
      <c r="D167">
        <v>6217</v>
      </c>
      <c r="E167" s="5">
        <f t="shared" si="9"/>
        <v>217</v>
      </c>
      <c r="F167" s="5">
        <f t="shared" si="10"/>
        <v>47089</v>
      </c>
      <c r="G167" s="6">
        <f>SQRT(SUM($F$2:F167)/A167)</f>
        <v>944.06835570363432</v>
      </c>
      <c r="H167" s="5">
        <f t="shared" si="11"/>
        <v>1</v>
      </c>
      <c r="I167" s="5">
        <f t="shared" si="12"/>
        <v>1</v>
      </c>
    </row>
    <row r="168" spans="1:9">
      <c r="A168">
        <v>167</v>
      </c>
      <c r="B168">
        <v>8</v>
      </c>
      <c r="C168">
        <v>6000</v>
      </c>
      <c r="D168">
        <v>4135</v>
      </c>
      <c r="E168" s="5">
        <f t="shared" si="9"/>
        <v>1865</v>
      </c>
      <c r="F168" s="5">
        <f t="shared" si="10"/>
        <v>3478225</v>
      </c>
      <c r="G168" s="6">
        <f>SQRT(SUM($F$2:F168)/A168)</f>
        <v>952.23728047338773</v>
      </c>
      <c r="H168" s="5">
        <f t="shared" si="11"/>
        <v>0</v>
      </c>
      <c r="I168" s="5">
        <f t="shared" si="12"/>
        <v>0</v>
      </c>
    </row>
    <row r="169" spans="1:9">
      <c r="A169">
        <v>168</v>
      </c>
      <c r="B169">
        <v>11</v>
      </c>
      <c r="C169">
        <v>6000</v>
      </c>
      <c r="D169">
        <v>4993</v>
      </c>
      <c r="E169" s="5">
        <f t="shared" si="9"/>
        <v>1007</v>
      </c>
      <c r="F169" s="5">
        <f t="shared" si="10"/>
        <v>1014049</v>
      </c>
      <c r="G169" s="6">
        <f>SQRT(SUM($F$2:F169)/A169)</f>
        <v>952.57256316526252</v>
      </c>
      <c r="H169" s="5">
        <f t="shared" si="11"/>
        <v>1</v>
      </c>
      <c r="I169" s="5">
        <f t="shared" si="12"/>
        <v>0</v>
      </c>
    </row>
    <row r="170" spans="1:9">
      <c r="A170">
        <v>169</v>
      </c>
      <c r="B170">
        <v>10</v>
      </c>
      <c r="C170">
        <v>6000</v>
      </c>
      <c r="D170">
        <v>1425</v>
      </c>
      <c r="E170" s="5">
        <f t="shared" si="9"/>
        <v>4575</v>
      </c>
      <c r="F170" s="5">
        <f t="shared" si="10"/>
        <v>20930625</v>
      </c>
      <c r="G170" s="6">
        <f>SQRT(SUM($F$2:F170)/A170)</f>
        <v>1012.8549461852049</v>
      </c>
      <c r="H170" s="5">
        <f t="shared" si="11"/>
        <v>0</v>
      </c>
      <c r="I170" s="5">
        <f t="shared" si="12"/>
        <v>0</v>
      </c>
    </row>
    <row r="171" spans="1:9">
      <c r="A171">
        <v>170</v>
      </c>
      <c r="B171">
        <v>15</v>
      </c>
      <c r="C171">
        <v>6000</v>
      </c>
      <c r="D171">
        <v>2254</v>
      </c>
      <c r="E171" s="5">
        <f t="shared" si="9"/>
        <v>3746</v>
      </c>
      <c r="F171" s="5">
        <f t="shared" si="10"/>
        <v>14032516</v>
      </c>
      <c r="G171" s="6">
        <f>SQRT(SUM($F$2:F171)/A171)</f>
        <v>1049.9451386227981</v>
      </c>
      <c r="H171" s="5">
        <f t="shared" si="11"/>
        <v>0</v>
      </c>
      <c r="I171" s="5">
        <f t="shared" si="12"/>
        <v>0</v>
      </c>
    </row>
    <row r="172" spans="1:9">
      <c r="A172">
        <v>171</v>
      </c>
      <c r="B172">
        <v>15</v>
      </c>
      <c r="C172">
        <v>6000</v>
      </c>
      <c r="D172">
        <v>5628</v>
      </c>
      <c r="E172" s="5">
        <f t="shared" si="9"/>
        <v>372</v>
      </c>
      <c r="F172" s="5">
        <f t="shared" si="10"/>
        <v>138384</v>
      </c>
      <c r="G172" s="6">
        <f>SQRT(SUM($F$2:F172)/A172)</f>
        <v>1047.2570661366287</v>
      </c>
      <c r="H172" s="5">
        <f t="shared" si="11"/>
        <v>1</v>
      </c>
      <c r="I172" s="5">
        <f t="shared" si="12"/>
        <v>1</v>
      </c>
    </row>
    <row r="173" spans="1:9">
      <c r="A173">
        <v>172</v>
      </c>
      <c r="B173">
        <v>12</v>
      </c>
      <c r="C173">
        <v>6000</v>
      </c>
      <c r="D173">
        <v>6524</v>
      </c>
      <c r="E173" s="5">
        <f t="shared" si="9"/>
        <v>524</v>
      </c>
      <c r="F173" s="5">
        <f t="shared" si="10"/>
        <v>274576</v>
      </c>
      <c r="G173" s="6">
        <f>SQRT(SUM($F$2:F173)/A173)</f>
        <v>1044.9723903106856</v>
      </c>
      <c r="H173" s="5">
        <f t="shared" si="11"/>
        <v>1</v>
      </c>
      <c r="I173" s="5">
        <f t="shared" si="12"/>
        <v>1</v>
      </c>
    </row>
    <row r="174" spans="1:9">
      <c r="A174">
        <v>173</v>
      </c>
      <c r="B174">
        <v>11</v>
      </c>
      <c r="C174">
        <v>6000</v>
      </c>
      <c r="D174">
        <v>5284</v>
      </c>
      <c r="E174" s="5">
        <f t="shared" si="9"/>
        <v>716</v>
      </c>
      <c r="F174" s="5">
        <f t="shared" si="10"/>
        <v>512656</v>
      </c>
      <c r="G174" s="6">
        <f>SQRT(SUM($F$2:F174)/A174)</f>
        <v>1043.3689070988162</v>
      </c>
      <c r="H174" s="5">
        <f t="shared" si="11"/>
        <v>1</v>
      </c>
      <c r="I174" s="5">
        <f t="shared" si="12"/>
        <v>0</v>
      </c>
    </row>
    <row r="175" spans="1:9">
      <c r="A175">
        <v>174</v>
      </c>
      <c r="B175">
        <v>13</v>
      </c>
      <c r="C175">
        <v>6000</v>
      </c>
      <c r="D175">
        <v>6799</v>
      </c>
      <c r="E175" s="5">
        <f t="shared" si="9"/>
        <v>799</v>
      </c>
      <c r="F175" s="5">
        <f t="shared" si="10"/>
        <v>638401</v>
      </c>
      <c r="G175" s="6">
        <f>SQRT(SUM($F$2:F175)/A175)</f>
        <v>1042.1282159076227</v>
      </c>
      <c r="H175" s="5">
        <f t="shared" si="11"/>
        <v>1</v>
      </c>
      <c r="I175" s="5">
        <f t="shared" si="12"/>
        <v>0</v>
      </c>
    </row>
    <row r="176" spans="1:9">
      <c r="A176">
        <v>175</v>
      </c>
      <c r="B176">
        <v>11</v>
      </c>
      <c r="C176">
        <v>6000</v>
      </c>
      <c r="D176">
        <v>6425</v>
      </c>
      <c r="E176" s="5">
        <f t="shared" si="9"/>
        <v>425</v>
      </c>
      <c r="F176" s="5">
        <f t="shared" si="10"/>
        <v>180625</v>
      </c>
      <c r="G176" s="6">
        <f>SQRT(SUM($F$2:F176)/A176)</f>
        <v>1039.6429524463813</v>
      </c>
      <c r="H176" s="5">
        <f t="shared" si="11"/>
        <v>1</v>
      </c>
      <c r="I176" s="5">
        <f t="shared" si="12"/>
        <v>1</v>
      </c>
    </row>
    <row r="177" spans="1:9">
      <c r="A177">
        <v>176</v>
      </c>
      <c r="B177">
        <v>11</v>
      </c>
      <c r="C177">
        <v>6000</v>
      </c>
      <c r="D177">
        <v>7000</v>
      </c>
      <c r="E177" s="5">
        <f t="shared" si="9"/>
        <v>1000</v>
      </c>
      <c r="F177" s="5">
        <f t="shared" si="10"/>
        <v>1000000</v>
      </c>
      <c r="G177" s="6">
        <f>SQRT(SUM($F$2:F177)/A177)</f>
        <v>1039.4219793406157</v>
      </c>
      <c r="H177" s="5">
        <f t="shared" si="11"/>
        <v>1</v>
      </c>
      <c r="I177" s="5">
        <f t="shared" si="12"/>
        <v>0</v>
      </c>
    </row>
    <row r="178" spans="1:9">
      <c r="A178">
        <v>177</v>
      </c>
      <c r="B178">
        <v>10</v>
      </c>
      <c r="C178">
        <v>6000</v>
      </c>
      <c r="D178">
        <v>5746</v>
      </c>
      <c r="E178" s="5">
        <f t="shared" si="9"/>
        <v>254</v>
      </c>
      <c r="F178" s="5">
        <f t="shared" si="10"/>
        <v>64516</v>
      </c>
      <c r="G178" s="6">
        <f>SQRT(SUM($F$2:F178)/A178)</f>
        <v>1036.6574190733281</v>
      </c>
      <c r="H178" s="5">
        <f t="shared" si="11"/>
        <v>1</v>
      </c>
      <c r="I178" s="5">
        <f t="shared" si="12"/>
        <v>1</v>
      </c>
    </row>
    <row r="179" spans="1:9">
      <c r="A179">
        <v>178</v>
      </c>
      <c r="B179">
        <v>12</v>
      </c>
      <c r="C179">
        <v>6000</v>
      </c>
      <c r="D179">
        <v>7124</v>
      </c>
      <c r="E179" s="5">
        <f t="shared" si="9"/>
        <v>1124</v>
      </c>
      <c r="F179" s="5">
        <f t="shared" si="10"/>
        <v>1263376</v>
      </c>
      <c r="G179" s="6">
        <f>SQRT(SUM($F$2:F179)/A179)</f>
        <v>1037.1686529233043</v>
      </c>
      <c r="H179" s="5">
        <f t="shared" si="11"/>
        <v>1</v>
      </c>
      <c r="I179" s="5">
        <f t="shared" si="12"/>
        <v>0</v>
      </c>
    </row>
    <row r="180" spans="1:9">
      <c r="A180">
        <v>179</v>
      </c>
      <c r="B180">
        <v>10</v>
      </c>
      <c r="C180">
        <v>6000</v>
      </c>
      <c r="D180">
        <v>6259</v>
      </c>
      <c r="E180" s="5">
        <f t="shared" si="9"/>
        <v>259</v>
      </c>
      <c r="F180" s="5">
        <f t="shared" si="10"/>
        <v>67081</v>
      </c>
      <c r="G180" s="6">
        <f>SQRT(SUM($F$2:F180)/A180)</f>
        <v>1034.4486292128995</v>
      </c>
      <c r="H180" s="5">
        <f t="shared" si="11"/>
        <v>1</v>
      </c>
      <c r="I180" s="5">
        <f t="shared" si="12"/>
        <v>1</v>
      </c>
    </row>
    <row r="181" spans="1:9">
      <c r="A181">
        <v>180</v>
      </c>
      <c r="B181">
        <v>11</v>
      </c>
      <c r="C181">
        <v>6000</v>
      </c>
      <c r="D181">
        <v>6144</v>
      </c>
      <c r="E181" s="5">
        <f t="shared" si="9"/>
        <v>144</v>
      </c>
      <c r="F181" s="5">
        <f t="shared" si="10"/>
        <v>20736</v>
      </c>
      <c r="G181" s="6">
        <f>SQRT(SUM($F$2:F181)/A181)</f>
        <v>1031.6269943906836</v>
      </c>
      <c r="H181" s="5">
        <f t="shared" si="11"/>
        <v>1</v>
      </c>
      <c r="I181" s="5">
        <f t="shared" si="12"/>
        <v>1</v>
      </c>
    </row>
    <row r="182" spans="1:9">
      <c r="A182">
        <v>181</v>
      </c>
      <c r="B182">
        <v>11</v>
      </c>
      <c r="C182">
        <v>6000</v>
      </c>
      <c r="D182">
        <v>6821</v>
      </c>
      <c r="E182" s="5">
        <f t="shared" si="9"/>
        <v>821</v>
      </c>
      <c r="F182" s="5">
        <f t="shared" si="10"/>
        <v>674041</v>
      </c>
      <c r="G182" s="6">
        <f>SQRT(SUM($F$2:F182)/A182)</f>
        <v>1030.5815742654579</v>
      </c>
      <c r="H182" s="5">
        <f t="shared" si="11"/>
        <v>1</v>
      </c>
      <c r="I182" s="5">
        <f t="shared" si="12"/>
        <v>0</v>
      </c>
    </row>
    <row r="183" spans="1:9">
      <c r="A183">
        <v>182</v>
      </c>
      <c r="B183">
        <v>10</v>
      </c>
      <c r="C183">
        <v>6000</v>
      </c>
      <c r="D183">
        <v>5581</v>
      </c>
      <c r="E183" s="5">
        <f t="shared" si="9"/>
        <v>419</v>
      </c>
      <c r="F183" s="5">
        <f t="shared" si="10"/>
        <v>175561</v>
      </c>
      <c r="G183" s="6">
        <f>SQRT(SUM($F$2:F183)/A183)</f>
        <v>1028.2155886307582</v>
      </c>
      <c r="H183" s="5">
        <f t="shared" si="11"/>
        <v>1</v>
      </c>
      <c r="I183" s="5">
        <f t="shared" si="12"/>
        <v>1</v>
      </c>
    </row>
    <row r="184" spans="1:9">
      <c r="A184">
        <v>183</v>
      </c>
      <c r="B184">
        <v>11</v>
      </c>
      <c r="C184">
        <v>6000</v>
      </c>
      <c r="D184">
        <v>6713</v>
      </c>
      <c r="E184" s="5">
        <f t="shared" si="9"/>
        <v>713</v>
      </c>
      <c r="F184" s="5">
        <f t="shared" si="10"/>
        <v>508369</v>
      </c>
      <c r="G184" s="6">
        <f>SQRT(SUM($F$2:F184)/A184)</f>
        <v>1026.7560913080824</v>
      </c>
      <c r="H184" s="5">
        <f t="shared" si="11"/>
        <v>1</v>
      </c>
      <c r="I184" s="5">
        <f t="shared" si="12"/>
        <v>0</v>
      </c>
    </row>
    <row r="185" spans="1:9">
      <c r="A185">
        <v>184</v>
      </c>
      <c r="B185">
        <v>10</v>
      </c>
      <c r="C185">
        <v>6000</v>
      </c>
      <c r="D185">
        <v>6109</v>
      </c>
      <c r="E185" s="5">
        <f t="shared" si="9"/>
        <v>109</v>
      </c>
      <c r="F185" s="5">
        <f t="shared" si="10"/>
        <v>11881</v>
      </c>
      <c r="G185" s="6">
        <f>SQRT(SUM($F$2:F185)/A185)</f>
        <v>1023.9937213207646</v>
      </c>
      <c r="H185" s="5">
        <f t="shared" si="11"/>
        <v>1</v>
      </c>
      <c r="I185" s="5">
        <f t="shared" si="12"/>
        <v>1</v>
      </c>
    </row>
    <row r="186" spans="1:9">
      <c r="A186">
        <v>185</v>
      </c>
      <c r="B186">
        <v>10</v>
      </c>
      <c r="C186">
        <v>6000</v>
      </c>
      <c r="D186">
        <v>5524</v>
      </c>
      <c r="E186" s="5">
        <f t="shared" si="9"/>
        <v>476</v>
      </c>
      <c r="F186" s="5">
        <f t="shared" si="10"/>
        <v>226576</v>
      </c>
      <c r="G186" s="6">
        <f>SQRT(SUM($F$2:F186)/A186)</f>
        <v>1021.8218864203133</v>
      </c>
      <c r="H186" s="5">
        <f t="shared" si="11"/>
        <v>1</v>
      </c>
      <c r="I186" s="5">
        <f t="shared" si="12"/>
        <v>1</v>
      </c>
    </row>
    <row r="187" spans="1:9">
      <c r="A187">
        <v>186</v>
      </c>
      <c r="B187">
        <v>11</v>
      </c>
      <c r="C187">
        <v>6000</v>
      </c>
      <c r="D187">
        <v>7174</v>
      </c>
      <c r="E187" s="5">
        <f t="shared" si="9"/>
        <v>1174</v>
      </c>
      <c r="F187" s="5">
        <f t="shared" si="10"/>
        <v>1378276</v>
      </c>
      <c r="G187" s="6">
        <f>SQRT(SUM($F$2:F187)/A187)</f>
        <v>1022.7005941996631</v>
      </c>
      <c r="H187" s="5">
        <f t="shared" si="11"/>
        <v>1</v>
      </c>
      <c r="I187" s="5">
        <f t="shared" si="12"/>
        <v>0</v>
      </c>
    </row>
    <row r="188" spans="1:9">
      <c r="A188">
        <v>187</v>
      </c>
      <c r="B188">
        <v>9</v>
      </c>
      <c r="C188">
        <v>6000</v>
      </c>
      <c r="D188">
        <v>5391</v>
      </c>
      <c r="E188" s="5">
        <f t="shared" si="9"/>
        <v>609</v>
      </c>
      <c r="F188" s="5">
        <f t="shared" si="10"/>
        <v>370881</v>
      </c>
      <c r="G188" s="6">
        <f>SQRT(SUM($F$2:F188)/A188)</f>
        <v>1020.9342240514676</v>
      </c>
      <c r="H188" s="5">
        <f t="shared" si="11"/>
        <v>1</v>
      </c>
      <c r="I188" s="5">
        <f t="shared" si="12"/>
        <v>0</v>
      </c>
    </row>
    <row r="189" spans="1:9">
      <c r="A189">
        <v>188</v>
      </c>
      <c r="B189">
        <v>11</v>
      </c>
      <c r="C189">
        <v>6000</v>
      </c>
      <c r="D189">
        <v>7124</v>
      </c>
      <c r="E189" s="5">
        <f t="shared" si="9"/>
        <v>1124</v>
      </c>
      <c r="F189" s="5">
        <f t="shared" si="10"/>
        <v>1263376</v>
      </c>
      <c r="G189" s="6">
        <f>SQRT(SUM($F$2:F189)/A189)</f>
        <v>1021.5099561069055</v>
      </c>
      <c r="H189" s="5">
        <f t="shared" si="11"/>
        <v>1</v>
      </c>
      <c r="I189" s="5">
        <f t="shared" si="12"/>
        <v>0</v>
      </c>
    </row>
    <row r="190" spans="1:9">
      <c r="A190">
        <v>189</v>
      </c>
      <c r="B190">
        <v>9</v>
      </c>
      <c r="C190">
        <v>6000</v>
      </c>
      <c r="D190">
        <v>5268</v>
      </c>
      <c r="E190" s="5">
        <f t="shared" si="9"/>
        <v>732</v>
      </c>
      <c r="F190" s="5">
        <f t="shared" si="10"/>
        <v>535824</v>
      </c>
      <c r="G190" s="6">
        <f>SQRT(SUM($F$2:F190)/A190)</f>
        <v>1020.1943766447481</v>
      </c>
      <c r="H190" s="5">
        <f t="shared" si="11"/>
        <v>1</v>
      </c>
      <c r="I190" s="5">
        <f t="shared" si="12"/>
        <v>0</v>
      </c>
    </row>
    <row r="191" spans="1:9">
      <c r="A191">
        <v>190</v>
      </c>
      <c r="B191">
        <v>11</v>
      </c>
      <c r="C191">
        <v>6000</v>
      </c>
      <c r="D191">
        <v>6536</v>
      </c>
      <c r="E191" s="5">
        <f t="shared" si="9"/>
        <v>536</v>
      </c>
      <c r="F191" s="5">
        <f t="shared" si="10"/>
        <v>287296</v>
      </c>
      <c r="G191" s="6">
        <f>SQRT(SUM($F$2:F191)/A191)</f>
        <v>1018.2488761026012</v>
      </c>
      <c r="H191" s="5">
        <f t="shared" si="11"/>
        <v>1</v>
      </c>
      <c r="I191" s="5">
        <f t="shared" si="12"/>
        <v>1</v>
      </c>
    </row>
    <row r="192" spans="1:9">
      <c r="A192">
        <v>191</v>
      </c>
      <c r="B192">
        <v>10</v>
      </c>
      <c r="C192">
        <v>6000</v>
      </c>
      <c r="D192">
        <v>6186</v>
      </c>
      <c r="E192" s="5">
        <f t="shared" si="9"/>
        <v>186</v>
      </c>
      <c r="F192" s="5">
        <f t="shared" si="10"/>
        <v>34596</v>
      </c>
      <c r="G192" s="6">
        <f>SQRT(SUM($F$2:F192)/A192)</f>
        <v>1015.6689771791736</v>
      </c>
      <c r="H192" s="5">
        <f t="shared" si="11"/>
        <v>1</v>
      </c>
      <c r="I192" s="5">
        <f t="shared" si="12"/>
        <v>1</v>
      </c>
    </row>
    <row r="193" spans="1:9">
      <c r="A193">
        <v>192</v>
      </c>
      <c r="B193">
        <v>10</v>
      </c>
      <c r="C193">
        <v>6000</v>
      </c>
      <c r="D193">
        <v>7073</v>
      </c>
      <c r="E193" s="5">
        <f t="shared" si="9"/>
        <v>1073</v>
      </c>
      <c r="F193" s="5">
        <f t="shared" si="10"/>
        <v>1151329</v>
      </c>
      <c r="G193" s="6">
        <f>SQRT(SUM($F$2:F193)/A193)</f>
        <v>1015.9759573106705</v>
      </c>
      <c r="H193" s="5">
        <f t="shared" si="11"/>
        <v>1</v>
      </c>
      <c r="I193" s="5">
        <f t="shared" si="12"/>
        <v>0</v>
      </c>
    </row>
    <row r="194" spans="1:9">
      <c r="A194">
        <v>193</v>
      </c>
      <c r="B194">
        <v>9</v>
      </c>
      <c r="C194">
        <v>6000</v>
      </c>
      <c r="D194">
        <v>6403</v>
      </c>
      <c r="E194" s="5">
        <f t="shared" si="9"/>
        <v>403</v>
      </c>
      <c r="F194" s="5">
        <f t="shared" si="10"/>
        <v>162409</v>
      </c>
      <c r="G194" s="6">
        <f>SQRT(SUM($F$2:F194)/A194)</f>
        <v>1013.7556015574559</v>
      </c>
      <c r="H194" s="5">
        <f t="shared" si="11"/>
        <v>1</v>
      </c>
      <c r="I194" s="5">
        <f t="shared" si="12"/>
        <v>1</v>
      </c>
    </row>
    <row r="195" spans="1:9">
      <c r="A195">
        <v>194</v>
      </c>
      <c r="B195">
        <v>9</v>
      </c>
      <c r="C195">
        <v>6000</v>
      </c>
      <c r="D195">
        <v>6003</v>
      </c>
      <c r="E195" s="5">
        <f t="shared" ref="E195:E258" si="13">ABS(C195-D195)</f>
        <v>3</v>
      </c>
      <c r="F195" s="5">
        <f t="shared" ref="F195:F258" si="14">POWER(E195,2)</f>
        <v>9</v>
      </c>
      <c r="G195" s="6">
        <f>SQRT(SUM($F$2:F195)/A195)</f>
        <v>1011.1394766485548</v>
      </c>
      <c r="H195" s="5">
        <f t="shared" ref="H195:H258" si="15">IF(ABS(E195)/C195&gt;0.2,0,1)</f>
        <v>1</v>
      </c>
      <c r="I195" s="5">
        <f t="shared" ref="I195:I258" si="16">IF(ABS(E195)/C195&gt;0.1,0,1)</f>
        <v>1</v>
      </c>
    </row>
    <row r="196" spans="1:9">
      <c r="A196">
        <v>195</v>
      </c>
      <c r="B196">
        <v>10</v>
      </c>
      <c r="C196">
        <v>6000</v>
      </c>
      <c r="D196">
        <v>6719</v>
      </c>
      <c r="E196" s="5">
        <f t="shared" si="13"/>
        <v>719</v>
      </c>
      <c r="F196" s="5">
        <f t="shared" si="14"/>
        <v>516961</v>
      </c>
      <c r="G196" s="6">
        <f>SQRT(SUM($F$2:F196)/A196)</f>
        <v>1009.8569357930018</v>
      </c>
      <c r="H196" s="5">
        <f t="shared" si="15"/>
        <v>1</v>
      </c>
      <c r="I196" s="5">
        <f t="shared" si="16"/>
        <v>0</v>
      </c>
    </row>
    <row r="197" spans="1:9">
      <c r="A197">
        <v>196</v>
      </c>
      <c r="B197">
        <v>9</v>
      </c>
      <c r="C197">
        <v>6000</v>
      </c>
      <c r="D197">
        <v>5309</v>
      </c>
      <c r="E197" s="5">
        <f t="shared" si="13"/>
        <v>691</v>
      </c>
      <c r="F197" s="5">
        <f t="shared" si="14"/>
        <v>477481</v>
      </c>
      <c r="G197" s="6">
        <f>SQRT(SUM($F$2:F197)/A197)</f>
        <v>1008.486014189749</v>
      </c>
      <c r="H197" s="5">
        <f t="shared" si="15"/>
        <v>1</v>
      </c>
      <c r="I197" s="5">
        <f t="shared" si="16"/>
        <v>0</v>
      </c>
    </row>
    <row r="198" spans="1:9">
      <c r="A198">
        <v>197</v>
      </c>
      <c r="B198">
        <v>11</v>
      </c>
      <c r="C198">
        <v>6000</v>
      </c>
      <c r="D198">
        <v>6939</v>
      </c>
      <c r="E198" s="5">
        <f t="shared" si="13"/>
        <v>939</v>
      </c>
      <c r="F198" s="5">
        <f t="shared" si="14"/>
        <v>881721</v>
      </c>
      <c r="G198" s="6">
        <f>SQRT(SUM($F$2:F198)/A198)</f>
        <v>1008.1453872470038</v>
      </c>
      <c r="H198" s="5">
        <f t="shared" si="15"/>
        <v>1</v>
      </c>
      <c r="I198" s="5">
        <f t="shared" si="16"/>
        <v>0</v>
      </c>
    </row>
    <row r="199" spans="1:9">
      <c r="A199">
        <v>198</v>
      </c>
      <c r="B199">
        <v>9</v>
      </c>
      <c r="C199">
        <v>6000</v>
      </c>
      <c r="D199">
        <v>5441</v>
      </c>
      <c r="E199" s="5">
        <f t="shared" si="13"/>
        <v>559</v>
      </c>
      <c r="F199" s="5">
        <f t="shared" si="14"/>
        <v>312481</v>
      </c>
      <c r="G199" s="6">
        <f>SQRT(SUM($F$2:F199)/A199)</f>
        <v>1006.3807390442207</v>
      </c>
      <c r="H199" s="5">
        <f t="shared" si="15"/>
        <v>1</v>
      </c>
      <c r="I199" s="5">
        <f t="shared" si="16"/>
        <v>1</v>
      </c>
    </row>
    <row r="200" spans="1:9">
      <c r="A200">
        <v>199</v>
      </c>
      <c r="B200">
        <v>10</v>
      </c>
      <c r="C200">
        <v>6000</v>
      </c>
      <c r="D200">
        <v>6572</v>
      </c>
      <c r="E200" s="5">
        <f t="shared" si="13"/>
        <v>572</v>
      </c>
      <c r="F200" s="5">
        <f t="shared" si="14"/>
        <v>327184</v>
      </c>
      <c r="G200" s="6">
        <f>SQRT(SUM($F$2:F200)/A200)</f>
        <v>1004.6675442014932</v>
      </c>
      <c r="H200" s="5">
        <f t="shared" si="15"/>
        <v>1</v>
      </c>
      <c r="I200" s="5">
        <f t="shared" si="16"/>
        <v>1</v>
      </c>
    </row>
    <row r="201" spans="1:9">
      <c r="A201">
        <v>200</v>
      </c>
      <c r="B201">
        <v>9</v>
      </c>
      <c r="C201">
        <v>6000</v>
      </c>
      <c r="D201">
        <v>5544</v>
      </c>
      <c r="E201" s="5">
        <f t="shared" si="13"/>
        <v>456</v>
      </c>
      <c r="F201" s="5">
        <f t="shared" si="14"/>
        <v>207936</v>
      </c>
      <c r="G201" s="6">
        <f>SQRT(SUM($F$2:F201)/A201)</f>
        <v>1002.6713170326556</v>
      </c>
      <c r="H201" s="5">
        <f t="shared" si="15"/>
        <v>1</v>
      </c>
      <c r="I201" s="5">
        <f t="shared" si="16"/>
        <v>1</v>
      </c>
    </row>
    <row r="202" spans="1:9">
      <c r="A202">
        <v>201</v>
      </c>
      <c r="B202">
        <v>1</v>
      </c>
      <c r="C202">
        <v>9000</v>
      </c>
      <c r="D202">
        <v>1023</v>
      </c>
      <c r="E202" s="5">
        <f t="shared" si="13"/>
        <v>7977</v>
      </c>
      <c r="F202" s="5">
        <f t="shared" si="14"/>
        <v>63632529</v>
      </c>
      <c r="G202" s="6">
        <f>SQRT(SUM($F$2:F202)/A202)</f>
        <v>1147.5747366160529</v>
      </c>
      <c r="H202" s="5">
        <f t="shared" si="15"/>
        <v>0</v>
      </c>
      <c r="I202" s="5">
        <f t="shared" si="16"/>
        <v>0</v>
      </c>
    </row>
    <row r="203" spans="1:9">
      <c r="A203">
        <v>202</v>
      </c>
      <c r="B203">
        <v>10</v>
      </c>
      <c r="C203">
        <v>9000</v>
      </c>
      <c r="D203">
        <v>5786</v>
      </c>
      <c r="E203" s="5">
        <f t="shared" si="13"/>
        <v>3214</v>
      </c>
      <c r="F203" s="5">
        <f t="shared" si="14"/>
        <v>10329796</v>
      </c>
      <c r="G203" s="6">
        <f>SQRT(SUM($F$2:F203)/A203)</f>
        <v>1166.8530051568468</v>
      </c>
      <c r="H203" s="5">
        <f t="shared" si="15"/>
        <v>0</v>
      </c>
      <c r="I203" s="5">
        <f t="shared" si="16"/>
        <v>0</v>
      </c>
    </row>
    <row r="204" spans="1:9">
      <c r="A204">
        <v>203</v>
      </c>
      <c r="B204">
        <v>6</v>
      </c>
      <c r="C204">
        <v>9000</v>
      </c>
      <c r="D204">
        <v>2707</v>
      </c>
      <c r="E204" s="5">
        <f t="shared" si="13"/>
        <v>6293</v>
      </c>
      <c r="F204" s="5">
        <f t="shared" si="14"/>
        <v>39601849</v>
      </c>
      <c r="G204" s="6">
        <f>SQRT(SUM($F$2:F204)/A204)</f>
        <v>1244.9585586708827</v>
      </c>
      <c r="H204" s="5">
        <f t="shared" si="15"/>
        <v>0</v>
      </c>
      <c r="I204" s="5">
        <f t="shared" si="16"/>
        <v>0</v>
      </c>
    </row>
    <row r="205" spans="1:9">
      <c r="A205">
        <v>204</v>
      </c>
      <c r="B205">
        <v>11</v>
      </c>
      <c r="C205">
        <v>9000</v>
      </c>
      <c r="D205">
        <v>1838</v>
      </c>
      <c r="E205" s="5">
        <f t="shared" si="13"/>
        <v>7162</v>
      </c>
      <c r="F205" s="5">
        <f t="shared" si="14"/>
        <v>51294244</v>
      </c>
      <c r="G205" s="6">
        <f>SQRT(SUM($F$2:F205)/A205)</f>
        <v>1339.31569445436</v>
      </c>
      <c r="H205" s="5">
        <f t="shared" si="15"/>
        <v>0</v>
      </c>
      <c r="I205" s="5">
        <f t="shared" si="16"/>
        <v>0</v>
      </c>
    </row>
    <row r="206" spans="1:9">
      <c r="A206">
        <v>205</v>
      </c>
      <c r="B206">
        <v>14</v>
      </c>
      <c r="C206">
        <v>9000</v>
      </c>
      <c r="D206">
        <v>4310</v>
      </c>
      <c r="E206" s="5">
        <f t="shared" si="13"/>
        <v>4690</v>
      </c>
      <c r="F206" s="5">
        <f t="shared" si="14"/>
        <v>21996100</v>
      </c>
      <c r="G206" s="6">
        <f>SQRT(SUM($F$2:F206)/A206)</f>
        <v>1375.6142255592501</v>
      </c>
      <c r="H206" s="5">
        <f t="shared" si="15"/>
        <v>0</v>
      </c>
      <c r="I206" s="5">
        <f t="shared" si="16"/>
        <v>0</v>
      </c>
    </row>
    <row r="207" spans="1:9">
      <c r="A207">
        <v>206</v>
      </c>
      <c r="B207">
        <v>13</v>
      </c>
      <c r="C207">
        <v>9000</v>
      </c>
      <c r="D207">
        <v>4445</v>
      </c>
      <c r="E207" s="5">
        <f t="shared" si="13"/>
        <v>4555</v>
      </c>
      <c r="F207" s="5">
        <f t="shared" si="14"/>
        <v>20748025</v>
      </c>
      <c r="G207" s="6">
        <f>SQRT(SUM($F$2:F207)/A207)</f>
        <v>1408.4910623839733</v>
      </c>
      <c r="H207" s="5">
        <f t="shared" si="15"/>
        <v>0</v>
      </c>
      <c r="I207" s="5">
        <f t="shared" si="16"/>
        <v>0</v>
      </c>
    </row>
    <row r="208" spans="1:9">
      <c r="A208">
        <v>207</v>
      </c>
      <c r="B208">
        <v>14</v>
      </c>
      <c r="C208">
        <v>9000</v>
      </c>
      <c r="D208">
        <v>7516</v>
      </c>
      <c r="E208" s="5">
        <f t="shared" si="13"/>
        <v>1484</v>
      </c>
      <c r="F208" s="5">
        <f t="shared" si="14"/>
        <v>2202256</v>
      </c>
      <c r="G208" s="6">
        <f>SQRT(SUM($F$2:F208)/A208)</f>
        <v>1408.8655678970215</v>
      </c>
      <c r="H208" s="5">
        <f t="shared" si="15"/>
        <v>1</v>
      </c>
      <c r="I208" s="5">
        <f t="shared" si="16"/>
        <v>0</v>
      </c>
    </row>
    <row r="209" spans="1:9">
      <c r="A209">
        <v>208</v>
      </c>
      <c r="B209">
        <v>12</v>
      </c>
      <c r="C209">
        <v>9000</v>
      </c>
      <c r="D209">
        <v>7402</v>
      </c>
      <c r="E209" s="5">
        <f t="shared" si="13"/>
        <v>1598</v>
      </c>
      <c r="F209" s="5">
        <f t="shared" si="14"/>
        <v>2553604</v>
      </c>
      <c r="G209" s="6">
        <f>SQRT(SUM($F$2:F209)/A209)</f>
        <v>1409.835569040152</v>
      </c>
      <c r="H209" s="5">
        <f t="shared" si="15"/>
        <v>1</v>
      </c>
      <c r="I209" s="5">
        <f t="shared" si="16"/>
        <v>0</v>
      </c>
    </row>
    <row r="210" spans="1:9">
      <c r="A210">
        <v>209</v>
      </c>
      <c r="B210">
        <v>12</v>
      </c>
      <c r="C210">
        <v>9000</v>
      </c>
      <c r="D210">
        <v>7094</v>
      </c>
      <c r="E210" s="5">
        <f t="shared" si="13"/>
        <v>1906</v>
      </c>
      <c r="F210" s="5">
        <f t="shared" si="14"/>
        <v>3632836</v>
      </c>
      <c r="G210" s="6">
        <f>SQRT(SUM($F$2:F210)/A210)</f>
        <v>1412.6245433513</v>
      </c>
      <c r="H210" s="5">
        <f t="shared" si="15"/>
        <v>0</v>
      </c>
      <c r="I210" s="5">
        <f t="shared" si="16"/>
        <v>0</v>
      </c>
    </row>
    <row r="211" spans="1:9">
      <c r="A211">
        <v>210</v>
      </c>
      <c r="B211">
        <v>13</v>
      </c>
      <c r="C211">
        <v>9000</v>
      </c>
      <c r="D211">
        <v>7844</v>
      </c>
      <c r="E211" s="5">
        <f t="shared" si="13"/>
        <v>1156</v>
      </c>
      <c r="F211" s="5">
        <f t="shared" si="14"/>
        <v>1336336</v>
      </c>
      <c r="G211" s="6">
        <f>SQRT(SUM($F$2:F211)/A211)</f>
        <v>1411.5130837913923</v>
      </c>
      <c r="H211" s="5">
        <f t="shared" si="15"/>
        <v>1</v>
      </c>
      <c r="I211" s="5">
        <f t="shared" si="16"/>
        <v>0</v>
      </c>
    </row>
    <row r="212" spans="1:9">
      <c r="A212">
        <v>211</v>
      </c>
      <c r="B212">
        <v>13</v>
      </c>
      <c r="C212">
        <v>9000</v>
      </c>
      <c r="D212">
        <v>7883</v>
      </c>
      <c r="E212" s="5">
        <f t="shared" si="13"/>
        <v>1117</v>
      </c>
      <c r="F212" s="5">
        <f t="shared" si="14"/>
        <v>1247689</v>
      </c>
      <c r="G212" s="6">
        <f>SQRT(SUM($F$2:F212)/A212)</f>
        <v>1410.262349967054</v>
      </c>
      <c r="H212" s="5">
        <f t="shared" si="15"/>
        <v>1</v>
      </c>
      <c r="I212" s="5">
        <f t="shared" si="16"/>
        <v>0</v>
      </c>
    </row>
    <row r="213" spans="1:9">
      <c r="A213">
        <v>212</v>
      </c>
      <c r="B213">
        <v>13</v>
      </c>
      <c r="C213">
        <v>9000</v>
      </c>
      <c r="D213">
        <v>7994</v>
      </c>
      <c r="E213" s="5">
        <f t="shared" si="13"/>
        <v>1006</v>
      </c>
      <c r="F213" s="5">
        <f t="shared" si="14"/>
        <v>1012036</v>
      </c>
      <c r="G213" s="6">
        <f>SQRT(SUM($F$2:F213)/A213)</f>
        <v>1408.6278181935352</v>
      </c>
      <c r="H213" s="5">
        <f t="shared" si="15"/>
        <v>1</v>
      </c>
      <c r="I213" s="5">
        <f t="shared" si="16"/>
        <v>0</v>
      </c>
    </row>
    <row r="214" spans="1:9">
      <c r="A214">
        <v>213</v>
      </c>
      <c r="B214">
        <v>13</v>
      </c>
      <c r="C214">
        <v>9000</v>
      </c>
      <c r="D214">
        <v>7763</v>
      </c>
      <c r="E214" s="5">
        <f t="shared" si="13"/>
        <v>1237</v>
      </c>
      <c r="F214" s="5">
        <f t="shared" si="14"/>
        <v>1530169</v>
      </c>
      <c r="G214" s="6">
        <f>SQRT(SUM($F$2:F214)/A214)</f>
        <v>1407.8709377868372</v>
      </c>
      <c r="H214" s="5">
        <f t="shared" si="15"/>
        <v>1</v>
      </c>
      <c r="I214" s="5">
        <f t="shared" si="16"/>
        <v>0</v>
      </c>
    </row>
    <row r="215" spans="1:9">
      <c r="A215">
        <v>214</v>
      </c>
      <c r="B215">
        <v>14</v>
      </c>
      <c r="C215">
        <v>9000</v>
      </c>
      <c r="D215">
        <v>7858</v>
      </c>
      <c r="E215" s="5">
        <f t="shared" si="13"/>
        <v>1142</v>
      </c>
      <c r="F215" s="5">
        <f t="shared" si="14"/>
        <v>1304164</v>
      </c>
      <c r="G215" s="6">
        <f>SQRT(SUM($F$2:F215)/A215)</f>
        <v>1406.7454103471282</v>
      </c>
      <c r="H215" s="5">
        <f t="shared" si="15"/>
        <v>1</v>
      </c>
      <c r="I215" s="5">
        <f t="shared" si="16"/>
        <v>0</v>
      </c>
    </row>
    <row r="216" spans="1:9">
      <c r="A216">
        <v>215</v>
      </c>
      <c r="B216">
        <v>14</v>
      </c>
      <c r="C216">
        <v>9000</v>
      </c>
      <c r="D216">
        <v>8422</v>
      </c>
      <c r="E216" s="5">
        <f t="shared" si="13"/>
        <v>578</v>
      </c>
      <c r="F216" s="5">
        <f t="shared" si="14"/>
        <v>334084</v>
      </c>
      <c r="G216" s="6">
        <f>SQRT(SUM($F$2:F216)/A216)</f>
        <v>1404.0235719879045</v>
      </c>
      <c r="H216" s="5">
        <f t="shared" si="15"/>
        <v>1</v>
      </c>
      <c r="I216" s="5">
        <f t="shared" si="16"/>
        <v>1</v>
      </c>
    </row>
    <row r="217" spans="1:9">
      <c r="A217">
        <v>216</v>
      </c>
      <c r="B217">
        <v>14</v>
      </c>
      <c r="C217">
        <v>9000</v>
      </c>
      <c r="D217">
        <v>7979</v>
      </c>
      <c r="E217" s="5">
        <f t="shared" si="13"/>
        <v>1021</v>
      </c>
      <c r="F217" s="5">
        <f t="shared" si="14"/>
        <v>1042441</v>
      </c>
      <c r="G217" s="6">
        <f>SQRT(SUM($F$2:F217)/A217)</f>
        <v>1402.491354697062</v>
      </c>
      <c r="H217" s="5">
        <f t="shared" si="15"/>
        <v>1</v>
      </c>
      <c r="I217" s="5">
        <f t="shared" si="16"/>
        <v>0</v>
      </c>
    </row>
    <row r="218" spans="1:9">
      <c r="A218">
        <v>217</v>
      </c>
      <c r="B218">
        <v>14</v>
      </c>
      <c r="C218">
        <v>9000</v>
      </c>
      <c r="D218">
        <v>7877</v>
      </c>
      <c r="E218" s="5">
        <f t="shared" si="13"/>
        <v>1123</v>
      </c>
      <c r="F218" s="5">
        <f t="shared" si="14"/>
        <v>1261129</v>
      </c>
      <c r="G218" s="6">
        <f>SQRT(SUM($F$2:F218)/A218)</f>
        <v>1401.3312317928824</v>
      </c>
      <c r="H218" s="5">
        <f t="shared" si="15"/>
        <v>1</v>
      </c>
      <c r="I218" s="5">
        <f t="shared" si="16"/>
        <v>0</v>
      </c>
    </row>
    <row r="219" spans="1:9">
      <c r="A219">
        <v>218</v>
      </c>
      <c r="B219">
        <v>15</v>
      </c>
      <c r="C219">
        <v>9000</v>
      </c>
      <c r="D219">
        <v>8801</v>
      </c>
      <c r="E219" s="5">
        <f t="shared" si="13"/>
        <v>199</v>
      </c>
      <c r="F219" s="5">
        <f t="shared" si="14"/>
        <v>39601</v>
      </c>
      <c r="G219" s="6">
        <f>SQRT(SUM($F$2:F219)/A219)</f>
        <v>1398.1784381666484</v>
      </c>
      <c r="H219" s="5">
        <f t="shared" si="15"/>
        <v>1</v>
      </c>
      <c r="I219" s="5">
        <f t="shared" si="16"/>
        <v>1</v>
      </c>
    </row>
    <row r="220" spans="1:9">
      <c r="A220">
        <v>219</v>
      </c>
      <c r="B220">
        <v>14</v>
      </c>
      <c r="C220">
        <v>9000</v>
      </c>
      <c r="D220">
        <v>7554</v>
      </c>
      <c r="E220" s="5">
        <f t="shared" si="13"/>
        <v>1446</v>
      </c>
      <c r="F220" s="5">
        <f t="shared" si="14"/>
        <v>2090916</v>
      </c>
      <c r="G220" s="6">
        <f>SQRT(SUM($F$2:F220)/A220)</f>
        <v>1398.4005181393563</v>
      </c>
      <c r="H220" s="5">
        <f t="shared" si="15"/>
        <v>1</v>
      </c>
      <c r="I220" s="5">
        <f t="shared" si="16"/>
        <v>0</v>
      </c>
    </row>
    <row r="221" spans="1:9">
      <c r="A221">
        <v>220</v>
      </c>
      <c r="B221">
        <v>16</v>
      </c>
      <c r="C221">
        <v>9000</v>
      </c>
      <c r="D221">
        <v>9673</v>
      </c>
      <c r="E221" s="5">
        <f t="shared" si="13"/>
        <v>673</v>
      </c>
      <c r="F221" s="5">
        <f t="shared" si="14"/>
        <v>452929</v>
      </c>
      <c r="G221" s="6">
        <f>SQRT(SUM($F$2:F221)/A221)</f>
        <v>1395.9563144375907</v>
      </c>
      <c r="H221" s="5">
        <f t="shared" si="15"/>
        <v>1</v>
      </c>
      <c r="I221" s="5">
        <f t="shared" si="16"/>
        <v>1</v>
      </c>
    </row>
    <row r="222" spans="1:9">
      <c r="A222">
        <v>221</v>
      </c>
      <c r="B222">
        <v>14</v>
      </c>
      <c r="C222">
        <v>9000</v>
      </c>
      <c r="D222">
        <v>7998</v>
      </c>
      <c r="E222" s="5">
        <f t="shared" si="13"/>
        <v>1002</v>
      </c>
      <c r="F222" s="5">
        <f t="shared" si="14"/>
        <v>1004004</v>
      </c>
      <c r="G222" s="6">
        <f>SQRT(SUM($F$2:F222)/A222)</f>
        <v>1394.4244032178988</v>
      </c>
      <c r="H222" s="5">
        <f t="shared" si="15"/>
        <v>1</v>
      </c>
      <c r="I222" s="5">
        <f t="shared" si="16"/>
        <v>0</v>
      </c>
    </row>
    <row r="223" spans="1:9">
      <c r="A223">
        <v>222</v>
      </c>
      <c r="B223">
        <v>15</v>
      </c>
      <c r="C223">
        <v>9000</v>
      </c>
      <c r="D223">
        <v>9028</v>
      </c>
      <c r="E223" s="5">
        <f t="shared" si="13"/>
        <v>28</v>
      </c>
      <c r="F223" s="5">
        <f t="shared" si="14"/>
        <v>784</v>
      </c>
      <c r="G223" s="6">
        <f>SQRT(SUM($F$2:F223)/A223)</f>
        <v>1391.2815321859921</v>
      </c>
      <c r="H223" s="5">
        <f t="shared" si="15"/>
        <v>1</v>
      </c>
      <c r="I223" s="5">
        <f t="shared" si="16"/>
        <v>1</v>
      </c>
    </row>
    <row r="224" spans="1:9">
      <c r="A224">
        <v>223</v>
      </c>
      <c r="B224">
        <v>14</v>
      </c>
      <c r="C224">
        <v>9000</v>
      </c>
      <c r="D224">
        <v>8335</v>
      </c>
      <c r="E224" s="5">
        <f t="shared" si="13"/>
        <v>665</v>
      </c>
      <c r="F224" s="5">
        <f t="shared" si="14"/>
        <v>442225</v>
      </c>
      <c r="G224" s="6">
        <f>SQRT(SUM($F$2:F224)/A224)</f>
        <v>1388.8726595962607</v>
      </c>
      <c r="H224" s="5">
        <f t="shared" si="15"/>
        <v>1</v>
      </c>
      <c r="I224" s="5">
        <f t="shared" si="16"/>
        <v>1</v>
      </c>
    </row>
    <row r="225" spans="1:9">
      <c r="A225">
        <v>224</v>
      </c>
      <c r="B225">
        <v>15</v>
      </c>
      <c r="C225">
        <v>9000</v>
      </c>
      <c r="D225">
        <v>9068</v>
      </c>
      <c r="E225" s="5">
        <f t="shared" si="13"/>
        <v>68</v>
      </c>
      <c r="F225" s="5">
        <f t="shared" si="14"/>
        <v>4624</v>
      </c>
      <c r="G225" s="6">
        <f>SQRT(SUM($F$2:F225)/A225)</f>
        <v>1385.7764778017311</v>
      </c>
      <c r="H225" s="5">
        <f t="shared" si="15"/>
        <v>1</v>
      </c>
      <c r="I225" s="5">
        <f t="shared" si="16"/>
        <v>1</v>
      </c>
    </row>
    <row r="226" spans="1:9">
      <c r="A226">
        <v>225</v>
      </c>
      <c r="B226">
        <v>15</v>
      </c>
      <c r="C226">
        <v>9000</v>
      </c>
      <c r="D226">
        <v>8706</v>
      </c>
      <c r="E226" s="5">
        <f t="shared" si="13"/>
        <v>294</v>
      </c>
      <c r="F226" s="5">
        <f t="shared" si="14"/>
        <v>86436</v>
      </c>
      <c r="G226" s="6">
        <f>SQRT(SUM($F$2:F226)/A226)</f>
        <v>1382.8324555057277</v>
      </c>
      <c r="H226" s="5">
        <f t="shared" si="15"/>
        <v>1</v>
      </c>
      <c r="I226" s="5">
        <f t="shared" si="16"/>
        <v>1</v>
      </c>
    </row>
    <row r="227" spans="1:9">
      <c r="A227">
        <v>226</v>
      </c>
      <c r="B227">
        <v>15</v>
      </c>
      <c r="C227">
        <v>9000</v>
      </c>
      <c r="D227">
        <v>8754</v>
      </c>
      <c r="E227" s="5">
        <f t="shared" si="13"/>
        <v>246</v>
      </c>
      <c r="F227" s="5">
        <f t="shared" si="14"/>
        <v>60516</v>
      </c>
      <c r="G227" s="6">
        <f>SQRT(SUM($F$2:F227)/A227)</f>
        <v>1379.8667307715864</v>
      </c>
      <c r="H227" s="5">
        <f t="shared" si="15"/>
        <v>1</v>
      </c>
      <c r="I227" s="5">
        <f t="shared" si="16"/>
        <v>1</v>
      </c>
    </row>
    <row r="228" spans="1:9">
      <c r="A228">
        <v>227</v>
      </c>
      <c r="B228">
        <v>15</v>
      </c>
      <c r="C228">
        <v>9000</v>
      </c>
      <c r="D228">
        <v>8950</v>
      </c>
      <c r="E228" s="5">
        <f t="shared" si="13"/>
        <v>50</v>
      </c>
      <c r="F228" s="5">
        <f t="shared" si="14"/>
        <v>2500</v>
      </c>
      <c r="G228" s="6">
        <f>SQRT(SUM($F$2:F228)/A228)</f>
        <v>1376.8280215339378</v>
      </c>
      <c r="H228" s="5">
        <f t="shared" si="15"/>
        <v>1</v>
      </c>
      <c r="I228" s="5">
        <f t="shared" si="16"/>
        <v>1</v>
      </c>
    </row>
    <row r="229" spans="1:9">
      <c r="A229">
        <v>228</v>
      </c>
      <c r="B229">
        <v>15</v>
      </c>
      <c r="C229">
        <v>9000</v>
      </c>
      <c r="D229">
        <v>8849</v>
      </c>
      <c r="E229" s="5">
        <f t="shared" si="13"/>
        <v>151</v>
      </c>
      <c r="F229" s="5">
        <f t="shared" si="14"/>
        <v>22801</v>
      </c>
      <c r="G229" s="6">
        <f>SQRT(SUM($F$2:F229)/A229)</f>
        <v>1373.8417402281029</v>
      </c>
      <c r="H229" s="5">
        <f t="shared" si="15"/>
        <v>1</v>
      </c>
      <c r="I229" s="5">
        <f t="shared" si="16"/>
        <v>1</v>
      </c>
    </row>
    <row r="230" spans="1:9">
      <c r="A230">
        <v>229</v>
      </c>
      <c r="B230">
        <v>15</v>
      </c>
      <c r="C230">
        <v>9000</v>
      </c>
      <c r="D230">
        <v>9471</v>
      </c>
      <c r="E230" s="5">
        <f t="shared" si="13"/>
        <v>471</v>
      </c>
      <c r="F230" s="5">
        <f t="shared" si="14"/>
        <v>221841</v>
      </c>
      <c r="G230" s="6">
        <f>SQRT(SUM($F$2:F230)/A230)</f>
        <v>1371.1920960216114</v>
      </c>
      <c r="H230" s="5">
        <f t="shared" si="15"/>
        <v>1</v>
      </c>
      <c r="I230" s="5">
        <f t="shared" si="16"/>
        <v>1</v>
      </c>
    </row>
    <row r="231" spans="1:9">
      <c r="A231">
        <v>230</v>
      </c>
      <c r="B231">
        <v>14</v>
      </c>
      <c r="C231">
        <v>9000</v>
      </c>
      <c r="D231">
        <v>8373</v>
      </c>
      <c r="E231" s="5">
        <f t="shared" si="13"/>
        <v>627</v>
      </c>
      <c r="F231" s="5">
        <f t="shared" si="14"/>
        <v>393129</v>
      </c>
      <c r="G231" s="6">
        <f>SQRT(SUM($F$2:F231)/A231)</f>
        <v>1368.8324872901248</v>
      </c>
      <c r="H231" s="5">
        <f t="shared" si="15"/>
        <v>1</v>
      </c>
      <c r="I231" s="5">
        <f t="shared" si="16"/>
        <v>1</v>
      </c>
    </row>
    <row r="232" spans="1:9">
      <c r="A232">
        <v>231</v>
      </c>
      <c r="B232">
        <v>15</v>
      </c>
      <c r="C232">
        <v>9000</v>
      </c>
      <c r="D232">
        <v>8772</v>
      </c>
      <c r="E232" s="5">
        <f t="shared" si="13"/>
        <v>228</v>
      </c>
      <c r="F232" s="5">
        <f t="shared" si="14"/>
        <v>51984</v>
      </c>
      <c r="G232" s="6">
        <f>SQRT(SUM($F$2:F232)/A232)</f>
        <v>1365.9488099907521</v>
      </c>
      <c r="H232" s="5">
        <f t="shared" si="15"/>
        <v>1</v>
      </c>
      <c r="I232" s="5">
        <f t="shared" si="16"/>
        <v>1</v>
      </c>
    </row>
    <row r="233" spans="1:9">
      <c r="A233">
        <v>232</v>
      </c>
      <c r="B233">
        <v>15</v>
      </c>
      <c r="C233">
        <v>9000</v>
      </c>
      <c r="D233">
        <v>9426</v>
      </c>
      <c r="E233" s="5">
        <f t="shared" si="13"/>
        <v>426</v>
      </c>
      <c r="F233" s="5">
        <f t="shared" si="14"/>
        <v>181476</v>
      </c>
      <c r="G233" s="6">
        <f>SQRT(SUM($F$2:F233)/A233)</f>
        <v>1363.2886945380176</v>
      </c>
      <c r="H233" s="5">
        <f t="shared" si="15"/>
        <v>1</v>
      </c>
      <c r="I233" s="5">
        <f t="shared" si="16"/>
        <v>1</v>
      </c>
    </row>
    <row r="234" spans="1:9">
      <c r="A234">
        <v>233</v>
      </c>
      <c r="B234">
        <v>14</v>
      </c>
      <c r="C234">
        <v>9000</v>
      </c>
      <c r="D234">
        <v>8683</v>
      </c>
      <c r="E234" s="5">
        <f t="shared" si="13"/>
        <v>317</v>
      </c>
      <c r="F234" s="5">
        <f t="shared" si="14"/>
        <v>100489</v>
      </c>
      <c r="G234" s="6">
        <f>SQRT(SUM($F$2:F234)/A234)</f>
        <v>1360.5185454253653</v>
      </c>
      <c r="H234" s="5">
        <f t="shared" si="15"/>
        <v>1</v>
      </c>
      <c r="I234" s="5">
        <f t="shared" si="16"/>
        <v>1</v>
      </c>
    </row>
    <row r="235" spans="1:9">
      <c r="A235">
        <v>234</v>
      </c>
      <c r="B235">
        <v>15</v>
      </c>
      <c r="C235">
        <v>9000</v>
      </c>
      <c r="D235">
        <v>8630</v>
      </c>
      <c r="E235" s="5">
        <f t="shared" si="13"/>
        <v>370</v>
      </c>
      <c r="F235" s="5">
        <f t="shared" si="14"/>
        <v>136900</v>
      </c>
      <c r="G235" s="6">
        <f>SQRT(SUM($F$2:F235)/A235)</f>
        <v>1357.8237930569096</v>
      </c>
      <c r="H235" s="5">
        <f t="shared" si="15"/>
        <v>1</v>
      </c>
      <c r="I235" s="5">
        <f t="shared" si="16"/>
        <v>1</v>
      </c>
    </row>
    <row r="236" spans="1:9">
      <c r="A236">
        <v>235</v>
      </c>
      <c r="B236">
        <v>15</v>
      </c>
      <c r="C236">
        <v>9000</v>
      </c>
      <c r="D236">
        <v>8685</v>
      </c>
      <c r="E236" s="5">
        <f t="shared" si="13"/>
        <v>315</v>
      </c>
      <c r="F236" s="5">
        <f t="shared" si="14"/>
        <v>99225</v>
      </c>
      <c r="G236" s="6">
        <f>SQRT(SUM($F$2:F236)/A236)</f>
        <v>1355.0875311289956</v>
      </c>
      <c r="H236" s="5">
        <f t="shared" si="15"/>
        <v>1</v>
      </c>
      <c r="I236" s="5">
        <f t="shared" si="16"/>
        <v>1</v>
      </c>
    </row>
    <row r="237" spans="1:9">
      <c r="A237">
        <v>236</v>
      </c>
      <c r="B237">
        <v>15</v>
      </c>
      <c r="C237">
        <v>9000</v>
      </c>
      <c r="D237">
        <v>9000</v>
      </c>
      <c r="E237" s="5">
        <f t="shared" si="13"/>
        <v>0</v>
      </c>
      <c r="F237" s="5">
        <f t="shared" si="14"/>
        <v>0</v>
      </c>
      <c r="G237" s="6">
        <f>SQRT(SUM($F$2:F237)/A237)</f>
        <v>1352.2135352507214</v>
      </c>
      <c r="H237" s="5">
        <f t="shared" si="15"/>
        <v>1</v>
      </c>
      <c r="I237" s="5">
        <f t="shared" si="16"/>
        <v>1</v>
      </c>
    </row>
    <row r="238" spans="1:9">
      <c r="A238">
        <v>237</v>
      </c>
      <c r="B238">
        <v>15</v>
      </c>
      <c r="C238">
        <v>9000</v>
      </c>
      <c r="D238">
        <v>8571</v>
      </c>
      <c r="E238" s="5">
        <f t="shared" si="13"/>
        <v>429</v>
      </c>
      <c r="F238" s="5">
        <f t="shared" si="14"/>
        <v>184041</v>
      </c>
      <c r="G238" s="6">
        <f>SQRT(SUM($F$2:F238)/A238)</f>
        <v>1349.6454636819001</v>
      </c>
      <c r="H238" s="5">
        <f t="shared" si="15"/>
        <v>1</v>
      </c>
      <c r="I238" s="5">
        <f t="shared" si="16"/>
        <v>1</v>
      </c>
    </row>
    <row r="239" spans="1:9">
      <c r="A239">
        <v>238</v>
      </c>
      <c r="B239">
        <v>16</v>
      </c>
      <c r="C239">
        <v>9000</v>
      </c>
      <c r="D239">
        <v>9601</v>
      </c>
      <c r="E239" s="5">
        <f t="shared" si="13"/>
        <v>601</v>
      </c>
      <c r="F239" s="5">
        <f t="shared" si="14"/>
        <v>361201</v>
      </c>
      <c r="G239" s="6">
        <f>SQRT(SUM($F$2:F239)/A239)</f>
        <v>1347.3703972534643</v>
      </c>
      <c r="H239" s="5">
        <f t="shared" si="15"/>
        <v>1</v>
      </c>
      <c r="I239" s="5">
        <f t="shared" si="16"/>
        <v>1</v>
      </c>
    </row>
    <row r="240" spans="1:9">
      <c r="A240">
        <v>239</v>
      </c>
      <c r="B240">
        <v>14</v>
      </c>
      <c r="C240">
        <v>9000</v>
      </c>
      <c r="D240">
        <v>8538</v>
      </c>
      <c r="E240" s="5">
        <f t="shared" si="13"/>
        <v>462</v>
      </c>
      <c r="F240" s="5">
        <f t="shared" si="14"/>
        <v>213444</v>
      </c>
      <c r="G240" s="6">
        <f>SQRT(SUM($F$2:F240)/A240)</f>
        <v>1344.8807431847335</v>
      </c>
      <c r="H240" s="5">
        <f t="shared" si="15"/>
        <v>1</v>
      </c>
      <c r="I240" s="5">
        <f t="shared" si="16"/>
        <v>1</v>
      </c>
    </row>
    <row r="241" spans="1:9">
      <c r="A241">
        <v>240</v>
      </c>
      <c r="B241">
        <v>16</v>
      </c>
      <c r="C241">
        <v>9000</v>
      </c>
      <c r="D241">
        <v>9963</v>
      </c>
      <c r="E241" s="5">
        <f t="shared" si="13"/>
        <v>963</v>
      </c>
      <c r="F241" s="5">
        <f t="shared" si="14"/>
        <v>927369</v>
      </c>
      <c r="G241" s="6">
        <f>SQRT(SUM($F$2:F241)/A241)</f>
        <v>1343.5147871658628</v>
      </c>
      <c r="H241" s="5">
        <f t="shared" si="15"/>
        <v>1</v>
      </c>
      <c r="I241" s="5">
        <f t="shared" si="16"/>
        <v>0</v>
      </c>
    </row>
    <row r="242" spans="1:9">
      <c r="A242">
        <v>241</v>
      </c>
      <c r="B242">
        <v>14</v>
      </c>
      <c r="C242">
        <v>9000</v>
      </c>
      <c r="D242">
        <v>8639</v>
      </c>
      <c r="E242" s="5">
        <f t="shared" si="13"/>
        <v>361</v>
      </c>
      <c r="F242" s="5">
        <f t="shared" si="14"/>
        <v>130321</v>
      </c>
      <c r="G242" s="6">
        <f>SQRT(SUM($F$2:F242)/A242)</f>
        <v>1340.9261631811553</v>
      </c>
      <c r="H242" s="5">
        <f t="shared" si="15"/>
        <v>1</v>
      </c>
      <c r="I242" s="5">
        <f t="shared" si="16"/>
        <v>1</v>
      </c>
    </row>
    <row r="243" spans="1:9">
      <c r="A243">
        <v>242</v>
      </c>
      <c r="B243">
        <v>15</v>
      </c>
      <c r="C243">
        <v>9000</v>
      </c>
      <c r="D243">
        <v>8865</v>
      </c>
      <c r="E243" s="5">
        <f t="shared" si="13"/>
        <v>135</v>
      </c>
      <c r="F243" s="5">
        <f t="shared" si="14"/>
        <v>18225</v>
      </c>
      <c r="G243" s="6">
        <f>SQRT(SUM($F$2:F243)/A243)</f>
        <v>1338.1809257655127</v>
      </c>
      <c r="H243" s="5">
        <f t="shared" si="15"/>
        <v>1</v>
      </c>
      <c r="I243" s="5">
        <f t="shared" si="16"/>
        <v>1</v>
      </c>
    </row>
    <row r="244" spans="1:9">
      <c r="A244">
        <v>243</v>
      </c>
      <c r="B244">
        <v>15</v>
      </c>
      <c r="C244">
        <v>9000</v>
      </c>
      <c r="D244">
        <v>9520</v>
      </c>
      <c r="E244" s="5">
        <f t="shared" si="13"/>
        <v>520</v>
      </c>
      <c r="F244" s="5">
        <f t="shared" si="14"/>
        <v>270400</v>
      </c>
      <c r="G244" s="6">
        <f>SQRT(SUM($F$2:F244)/A244)</f>
        <v>1335.8411939572948</v>
      </c>
      <c r="H244" s="5">
        <f t="shared" si="15"/>
        <v>1</v>
      </c>
      <c r="I244" s="5">
        <f t="shared" si="16"/>
        <v>1</v>
      </c>
    </row>
    <row r="245" spans="1:9">
      <c r="A245">
        <v>244</v>
      </c>
      <c r="B245">
        <v>14</v>
      </c>
      <c r="C245">
        <v>9000</v>
      </c>
      <c r="D245">
        <v>8699</v>
      </c>
      <c r="E245" s="5">
        <f t="shared" si="13"/>
        <v>301</v>
      </c>
      <c r="F245" s="5">
        <f t="shared" si="14"/>
        <v>90601</v>
      </c>
      <c r="G245" s="6">
        <f>SQRT(SUM($F$2:F245)/A245)</f>
        <v>1333.2402643406087</v>
      </c>
      <c r="H245" s="5">
        <f t="shared" si="15"/>
        <v>1</v>
      </c>
      <c r="I245" s="5">
        <f t="shared" si="16"/>
        <v>1</v>
      </c>
    </row>
    <row r="246" spans="1:9">
      <c r="A246">
        <v>245</v>
      </c>
      <c r="B246">
        <v>15</v>
      </c>
      <c r="C246">
        <v>9000</v>
      </c>
      <c r="D246">
        <v>8340</v>
      </c>
      <c r="E246" s="5">
        <f t="shared" si="13"/>
        <v>660</v>
      </c>
      <c r="F246" s="5">
        <f t="shared" si="14"/>
        <v>435600</v>
      </c>
      <c r="G246" s="6">
        <f>SQRT(SUM($F$2:F246)/A246)</f>
        <v>1331.1845622510464</v>
      </c>
      <c r="H246" s="5">
        <f t="shared" si="15"/>
        <v>1</v>
      </c>
      <c r="I246" s="5">
        <f t="shared" si="16"/>
        <v>1</v>
      </c>
    </row>
    <row r="247" spans="1:9">
      <c r="A247">
        <v>246</v>
      </c>
      <c r="B247">
        <v>16</v>
      </c>
      <c r="C247">
        <v>9000</v>
      </c>
      <c r="D247">
        <v>9213</v>
      </c>
      <c r="E247" s="5">
        <f t="shared" si="13"/>
        <v>213</v>
      </c>
      <c r="F247" s="5">
        <f t="shared" si="14"/>
        <v>45369</v>
      </c>
      <c r="G247" s="6">
        <f>SQRT(SUM($F$2:F247)/A247)</f>
        <v>1328.545558425833</v>
      </c>
      <c r="H247" s="5">
        <f t="shared" si="15"/>
        <v>1</v>
      </c>
      <c r="I247" s="5">
        <f t="shared" si="16"/>
        <v>1</v>
      </c>
    </row>
    <row r="248" spans="1:9">
      <c r="A248">
        <v>247</v>
      </c>
      <c r="B248">
        <v>15</v>
      </c>
      <c r="C248">
        <v>9000</v>
      </c>
      <c r="D248">
        <v>8674</v>
      </c>
      <c r="E248" s="5">
        <f t="shared" si="13"/>
        <v>326</v>
      </c>
      <c r="F248" s="5">
        <f t="shared" si="14"/>
        <v>106276</v>
      </c>
      <c r="G248" s="6">
        <f>SQRT(SUM($F$2:F248)/A248)</f>
        <v>1326.0157179349444</v>
      </c>
      <c r="H248" s="5">
        <f t="shared" si="15"/>
        <v>1</v>
      </c>
      <c r="I248" s="5">
        <f t="shared" si="16"/>
        <v>1</v>
      </c>
    </row>
    <row r="249" spans="1:9">
      <c r="A249">
        <v>248</v>
      </c>
      <c r="B249">
        <v>16</v>
      </c>
      <c r="C249">
        <v>9000</v>
      </c>
      <c r="D249">
        <v>8592</v>
      </c>
      <c r="E249" s="5">
        <f t="shared" si="13"/>
        <v>408</v>
      </c>
      <c r="F249" s="5">
        <f t="shared" si="14"/>
        <v>166464</v>
      </c>
      <c r="G249" s="6">
        <f>SQRT(SUM($F$2:F249)/A249)</f>
        <v>1323.5931849910828</v>
      </c>
      <c r="H249" s="5">
        <f t="shared" si="15"/>
        <v>1</v>
      </c>
      <c r="I249" s="5">
        <f t="shared" si="16"/>
        <v>1</v>
      </c>
    </row>
    <row r="250" spans="1:9">
      <c r="A250">
        <v>249</v>
      </c>
      <c r="B250">
        <v>16</v>
      </c>
      <c r="C250">
        <v>9000</v>
      </c>
      <c r="D250">
        <v>9656</v>
      </c>
      <c r="E250" s="5">
        <f t="shared" si="13"/>
        <v>656</v>
      </c>
      <c r="F250" s="5">
        <f t="shared" si="14"/>
        <v>430336</v>
      </c>
      <c r="G250" s="6">
        <f>SQRT(SUM($F$2:F250)/A250)</f>
        <v>1321.586712157399</v>
      </c>
      <c r="H250" s="5">
        <f t="shared" si="15"/>
        <v>1</v>
      </c>
      <c r="I250" s="5">
        <f t="shared" si="16"/>
        <v>1</v>
      </c>
    </row>
    <row r="251" spans="1:9">
      <c r="A251">
        <v>250</v>
      </c>
      <c r="B251">
        <v>15</v>
      </c>
      <c r="C251">
        <v>9000</v>
      </c>
      <c r="D251">
        <v>9246</v>
      </c>
      <c r="E251" s="5">
        <f t="shared" si="13"/>
        <v>246</v>
      </c>
      <c r="F251" s="5">
        <f t="shared" si="14"/>
        <v>60516</v>
      </c>
      <c r="G251" s="6">
        <f>SQRT(SUM($F$2:F251)/A251)</f>
        <v>1319.0326516049556</v>
      </c>
      <c r="H251" s="5">
        <f t="shared" si="15"/>
        <v>1</v>
      </c>
      <c r="I251" s="5">
        <f t="shared" si="16"/>
        <v>1</v>
      </c>
    </row>
    <row r="252" spans="1:9">
      <c r="A252">
        <v>251</v>
      </c>
      <c r="B252">
        <v>15</v>
      </c>
      <c r="C252">
        <v>9000</v>
      </c>
      <c r="D252">
        <v>8911</v>
      </c>
      <c r="E252" s="5">
        <f t="shared" si="13"/>
        <v>89</v>
      </c>
      <c r="F252" s="5">
        <f t="shared" si="14"/>
        <v>7921</v>
      </c>
      <c r="G252" s="6">
        <f>SQRT(SUM($F$2:F252)/A252)</f>
        <v>1316.4144605224108</v>
      </c>
      <c r="H252" s="5">
        <f t="shared" si="15"/>
        <v>1</v>
      </c>
      <c r="I252" s="5">
        <f t="shared" si="16"/>
        <v>1</v>
      </c>
    </row>
    <row r="253" spans="1:9">
      <c r="A253">
        <v>252</v>
      </c>
      <c r="B253">
        <v>15</v>
      </c>
      <c r="C253">
        <v>9000</v>
      </c>
      <c r="D253">
        <v>8761</v>
      </c>
      <c r="E253" s="5">
        <f t="shared" si="13"/>
        <v>239</v>
      </c>
      <c r="F253" s="5">
        <f t="shared" si="14"/>
        <v>57121</v>
      </c>
      <c r="G253" s="6">
        <f>SQRT(SUM($F$2:F253)/A253)</f>
        <v>1313.8861931580789</v>
      </c>
      <c r="H253" s="5">
        <f t="shared" si="15"/>
        <v>1</v>
      </c>
      <c r="I253" s="5">
        <f t="shared" si="16"/>
        <v>1</v>
      </c>
    </row>
    <row r="254" spans="1:9">
      <c r="A254">
        <v>253</v>
      </c>
      <c r="B254">
        <v>15</v>
      </c>
      <c r="C254">
        <v>9000</v>
      </c>
      <c r="D254">
        <v>8961</v>
      </c>
      <c r="E254" s="5">
        <f t="shared" si="13"/>
        <v>39</v>
      </c>
      <c r="F254" s="5">
        <f t="shared" si="14"/>
        <v>1521</v>
      </c>
      <c r="G254" s="6">
        <f>SQRT(SUM($F$2:F254)/A254)</f>
        <v>1311.2893015696677</v>
      </c>
      <c r="H254" s="5">
        <f t="shared" si="15"/>
        <v>1</v>
      </c>
      <c r="I254" s="5">
        <f t="shared" si="16"/>
        <v>1</v>
      </c>
    </row>
    <row r="255" spans="1:9">
      <c r="A255">
        <v>254</v>
      </c>
      <c r="B255">
        <v>15</v>
      </c>
      <c r="C255">
        <v>9000</v>
      </c>
      <c r="D255">
        <v>8943</v>
      </c>
      <c r="E255" s="5">
        <f t="shared" si="13"/>
        <v>57</v>
      </c>
      <c r="F255" s="5">
        <f t="shared" si="14"/>
        <v>3249</v>
      </c>
      <c r="G255" s="6">
        <f>SQRT(SUM($F$2:F255)/A255)</f>
        <v>1308.710364785745</v>
      </c>
      <c r="H255" s="5">
        <f t="shared" si="15"/>
        <v>1</v>
      </c>
      <c r="I255" s="5">
        <f t="shared" si="16"/>
        <v>1</v>
      </c>
    </row>
    <row r="256" spans="1:9">
      <c r="A256">
        <v>255</v>
      </c>
      <c r="B256">
        <v>15</v>
      </c>
      <c r="C256">
        <v>9000</v>
      </c>
      <c r="D256">
        <v>9052</v>
      </c>
      <c r="E256" s="5">
        <f t="shared" si="13"/>
        <v>52</v>
      </c>
      <c r="F256" s="5">
        <f t="shared" si="14"/>
        <v>2704</v>
      </c>
      <c r="G256" s="6">
        <f>SQRT(SUM($F$2:F256)/A256)</f>
        <v>1306.1458045505863</v>
      </c>
      <c r="H256" s="5">
        <f t="shared" si="15"/>
        <v>1</v>
      </c>
      <c r="I256" s="5">
        <f t="shared" si="16"/>
        <v>1</v>
      </c>
    </row>
    <row r="257" spans="1:9">
      <c r="A257">
        <v>256</v>
      </c>
      <c r="B257">
        <v>15</v>
      </c>
      <c r="C257">
        <v>9000</v>
      </c>
      <c r="D257">
        <v>9279</v>
      </c>
      <c r="E257" s="5">
        <f t="shared" si="13"/>
        <v>279</v>
      </c>
      <c r="F257" s="5">
        <f t="shared" si="14"/>
        <v>77841</v>
      </c>
      <c r="G257" s="6">
        <f>SQRT(SUM($F$2:F257)/A257)</f>
        <v>1303.7088635049047</v>
      </c>
      <c r="H257" s="5">
        <f t="shared" si="15"/>
        <v>1</v>
      </c>
      <c r="I257" s="5">
        <f t="shared" si="16"/>
        <v>1</v>
      </c>
    </row>
    <row r="258" spans="1:9">
      <c r="A258">
        <v>257</v>
      </c>
      <c r="B258">
        <v>15</v>
      </c>
      <c r="C258">
        <v>9000</v>
      </c>
      <c r="D258">
        <v>9250</v>
      </c>
      <c r="E258" s="5">
        <f t="shared" si="13"/>
        <v>250</v>
      </c>
      <c r="F258" s="5">
        <f t="shared" si="14"/>
        <v>62500</v>
      </c>
      <c r="G258" s="6">
        <f>SQRT(SUM($F$2:F258)/A258)</f>
        <v>1301.263440221092</v>
      </c>
      <c r="H258" s="5">
        <f t="shared" si="15"/>
        <v>1</v>
      </c>
      <c r="I258" s="5">
        <f t="shared" si="16"/>
        <v>1</v>
      </c>
    </row>
    <row r="259" spans="1:9">
      <c r="A259">
        <v>258</v>
      </c>
      <c r="B259">
        <v>15</v>
      </c>
      <c r="C259">
        <v>9000</v>
      </c>
      <c r="D259">
        <v>9069</v>
      </c>
      <c r="E259" s="5">
        <f t="shared" ref="E259:E322" si="17">ABS(C259-D259)</f>
        <v>69</v>
      </c>
      <c r="F259" s="5">
        <f t="shared" ref="F259:F322" si="18">POWER(E259,2)</f>
        <v>4761</v>
      </c>
      <c r="G259" s="6">
        <f>SQRT(SUM($F$2:F259)/A259)</f>
        <v>1298.7462678356594</v>
      </c>
      <c r="H259" s="5">
        <f t="shared" ref="H259:H322" si="19">IF(ABS(E259)/C259&gt;0.2,0,1)</f>
        <v>1</v>
      </c>
      <c r="I259" s="5">
        <f t="shared" ref="I259:I322" si="20">IF(ABS(E259)/C259&gt;0.1,0,1)</f>
        <v>1</v>
      </c>
    </row>
    <row r="260" spans="1:9">
      <c r="A260">
        <v>259</v>
      </c>
      <c r="B260">
        <v>15</v>
      </c>
      <c r="C260">
        <v>9000</v>
      </c>
      <c r="D260">
        <v>8279</v>
      </c>
      <c r="E260" s="5">
        <f t="shared" si="17"/>
        <v>721</v>
      </c>
      <c r="F260" s="5">
        <f t="shared" si="18"/>
        <v>519841</v>
      </c>
      <c r="G260" s="6">
        <f>SQRT(SUM($F$2:F260)/A260)</f>
        <v>1297.0105857160379</v>
      </c>
      <c r="H260" s="5">
        <f t="shared" si="19"/>
        <v>1</v>
      </c>
      <c r="I260" s="5">
        <f t="shared" si="20"/>
        <v>1</v>
      </c>
    </row>
    <row r="261" spans="1:9">
      <c r="A261">
        <v>260</v>
      </c>
      <c r="B261">
        <v>16</v>
      </c>
      <c r="C261">
        <v>9000</v>
      </c>
      <c r="D261">
        <v>9271</v>
      </c>
      <c r="E261" s="5">
        <f t="shared" si="17"/>
        <v>271</v>
      </c>
      <c r="F261" s="5">
        <f t="shared" si="18"/>
        <v>73441</v>
      </c>
      <c r="G261" s="6">
        <f>SQRT(SUM($F$2:F261)/A261)</f>
        <v>1294.6230279951708</v>
      </c>
      <c r="H261" s="5">
        <f t="shared" si="19"/>
        <v>1</v>
      </c>
      <c r="I261" s="5">
        <f t="shared" si="20"/>
        <v>1</v>
      </c>
    </row>
    <row r="262" spans="1:9">
      <c r="A262">
        <v>261</v>
      </c>
      <c r="B262">
        <v>15</v>
      </c>
      <c r="C262">
        <v>9000</v>
      </c>
      <c r="D262">
        <v>8960</v>
      </c>
      <c r="E262" s="5">
        <f t="shared" si="17"/>
        <v>40</v>
      </c>
      <c r="F262" s="5">
        <f t="shared" si="18"/>
        <v>1600</v>
      </c>
      <c r="G262" s="6">
        <f>SQRT(SUM($F$2:F262)/A262)</f>
        <v>1292.1428992300548</v>
      </c>
      <c r="H262" s="5">
        <f t="shared" si="19"/>
        <v>1</v>
      </c>
      <c r="I262" s="5">
        <f t="shared" si="20"/>
        <v>1</v>
      </c>
    </row>
    <row r="263" spans="1:9">
      <c r="A263">
        <v>262</v>
      </c>
      <c r="B263">
        <v>15</v>
      </c>
      <c r="C263">
        <v>9000</v>
      </c>
      <c r="D263">
        <v>8375</v>
      </c>
      <c r="E263" s="5">
        <f t="shared" si="17"/>
        <v>625</v>
      </c>
      <c r="F263" s="5">
        <f t="shared" si="18"/>
        <v>390625</v>
      </c>
      <c r="G263" s="6">
        <f>SQRT(SUM($F$2:F263)/A263)</f>
        <v>1290.2525183345708</v>
      </c>
      <c r="H263" s="5">
        <f t="shared" si="19"/>
        <v>1</v>
      </c>
      <c r="I263" s="5">
        <f t="shared" si="20"/>
        <v>1</v>
      </c>
    </row>
    <row r="264" spans="1:9">
      <c r="A264">
        <v>263</v>
      </c>
      <c r="B264">
        <v>16</v>
      </c>
      <c r="C264">
        <v>9000</v>
      </c>
      <c r="D264">
        <v>9492</v>
      </c>
      <c r="E264" s="5">
        <f t="shared" si="17"/>
        <v>492</v>
      </c>
      <c r="F264" s="5">
        <f t="shared" si="18"/>
        <v>242064</v>
      </c>
      <c r="G264" s="6">
        <f>SQRT(SUM($F$2:F264)/A264)</f>
        <v>1288.1545336882516</v>
      </c>
      <c r="H264" s="5">
        <f t="shared" si="19"/>
        <v>1</v>
      </c>
      <c r="I264" s="5">
        <f t="shared" si="20"/>
        <v>1</v>
      </c>
    </row>
    <row r="265" spans="1:9">
      <c r="A265">
        <v>264</v>
      </c>
      <c r="B265">
        <v>15</v>
      </c>
      <c r="C265">
        <v>9000</v>
      </c>
      <c r="D265">
        <v>4059</v>
      </c>
      <c r="E265" s="5">
        <f t="shared" si="17"/>
        <v>4941</v>
      </c>
      <c r="F265" s="5">
        <f t="shared" si="18"/>
        <v>24413481</v>
      </c>
      <c r="G265" s="6">
        <f>SQRT(SUM($F$2:F265)/A265)</f>
        <v>1321.1858395877821</v>
      </c>
      <c r="H265" s="5">
        <f t="shared" si="19"/>
        <v>0</v>
      </c>
      <c r="I265" s="5">
        <f t="shared" si="20"/>
        <v>0</v>
      </c>
    </row>
    <row r="266" spans="1:9">
      <c r="A266">
        <v>265</v>
      </c>
      <c r="B266">
        <v>21</v>
      </c>
      <c r="C266">
        <v>9000</v>
      </c>
      <c r="D266">
        <v>9516</v>
      </c>
      <c r="E266" s="5">
        <f t="shared" si="17"/>
        <v>516</v>
      </c>
      <c r="F266" s="5">
        <f t="shared" si="18"/>
        <v>266256</v>
      </c>
      <c r="G266" s="6">
        <f>SQRT(SUM($F$2:F266)/A266)</f>
        <v>1319.0715860242778</v>
      </c>
      <c r="H266" s="5">
        <f t="shared" si="19"/>
        <v>1</v>
      </c>
      <c r="I266" s="5">
        <f t="shared" si="20"/>
        <v>1</v>
      </c>
    </row>
    <row r="267" spans="1:9">
      <c r="A267">
        <v>266</v>
      </c>
      <c r="B267">
        <v>16</v>
      </c>
      <c r="C267">
        <v>9000</v>
      </c>
      <c r="D267">
        <v>8802</v>
      </c>
      <c r="E267" s="5">
        <f t="shared" si="17"/>
        <v>198</v>
      </c>
      <c r="F267" s="5">
        <f t="shared" si="18"/>
        <v>39204</v>
      </c>
      <c r="G267" s="6">
        <f>SQRT(SUM($F$2:F267)/A267)</f>
        <v>1316.6457639278581</v>
      </c>
      <c r="H267" s="5">
        <f t="shared" si="19"/>
        <v>1</v>
      </c>
      <c r="I267" s="5">
        <f t="shared" si="20"/>
        <v>1</v>
      </c>
    </row>
    <row r="268" spans="1:9">
      <c r="A268">
        <v>267</v>
      </c>
      <c r="B268">
        <v>17</v>
      </c>
      <c r="C268">
        <v>9000</v>
      </c>
      <c r="D268">
        <v>9608</v>
      </c>
      <c r="E268" s="5">
        <f t="shared" si="17"/>
        <v>608</v>
      </c>
      <c r="F268" s="5">
        <f t="shared" si="18"/>
        <v>369664</v>
      </c>
      <c r="G268" s="6">
        <f>SQRT(SUM($F$2:F268)/A268)</f>
        <v>1314.7044754156359</v>
      </c>
      <c r="H268" s="5">
        <f t="shared" si="19"/>
        <v>1</v>
      </c>
      <c r="I268" s="5">
        <f t="shared" si="20"/>
        <v>1</v>
      </c>
    </row>
    <row r="269" spans="1:9">
      <c r="A269">
        <v>268</v>
      </c>
      <c r="B269">
        <v>16</v>
      </c>
      <c r="C269">
        <v>9000</v>
      </c>
      <c r="D269">
        <v>9212</v>
      </c>
      <c r="E269" s="5">
        <f t="shared" si="17"/>
        <v>212</v>
      </c>
      <c r="F269" s="5">
        <f t="shared" si="18"/>
        <v>44944</v>
      </c>
      <c r="G269" s="6">
        <f>SQRT(SUM($F$2:F269)/A269)</f>
        <v>1312.3132731423818</v>
      </c>
      <c r="H269" s="5">
        <f t="shared" si="19"/>
        <v>1</v>
      </c>
      <c r="I269" s="5">
        <f t="shared" si="20"/>
        <v>1</v>
      </c>
    </row>
    <row r="270" spans="1:9">
      <c r="A270">
        <v>269</v>
      </c>
      <c r="B270">
        <v>16</v>
      </c>
      <c r="C270">
        <v>9000</v>
      </c>
      <c r="D270">
        <v>8820</v>
      </c>
      <c r="E270" s="5">
        <f t="shared" si="17"/>
        <v>180</v>
      </c>
      <c r="F270" s="5">
        <f t="shared" si="18"/>
        <v>32400</v>
      </c>
      <c r="G270" s="6">
        <f>SQRT(SUM($F$2:F270)/A270)</f>
        <v>1309.9177334479775</v>
      </c>
      <c r="H270" s="5">
        <f t="shared" si="19"/>
        <v>1</v>
      </c>
      <c r="I270" s="5">
        <f t="shared" si="20"/>
        <v>1</v>
      </c>
    </row>
    <row r="271" spans="1:9">
      <c r="A271">
        <v>270</v>
      </c>
      <c r="B271">
        <v>17</v>
      </c>
      <c r="C271">
        <v>9000</v>
      </c>
      <c r="D271">
        <v>10035</v>
      </c>
      <c r="E271" s="5">
        <f t="shared" si="17"/>
        <v>1035</v>
      </c>
      <c r="F271" s="5">
        <f t="shared" si="18"/>
        <v>1071225</v>
      </c>
      <c r="G271" s="6">
        <f>SQRT(SUM($F$2:F271)/A271)</f>
        <v>1309.0060506891252</v>
      </c>
      <c r="H271" s="5">
        <f t="shared" si="19"/>
        <v>1</v>
      </c>
      <c r="I271" s="5">
        <f t="shared" si="20"/>
        <v>0</v>
      </c>
    </row>
    <row r="272" spans="1:9">
      <c r="A272">
        <v>271</v>
      </c>
      <c r="B272">
        <v>15</v>
      </c>
      <c r="C272">
        <v>9000</v>
      </c>
      <c r="D272">
        <v>8897</v>
      </c>
      <c r="E272" s="5">
        <f t="shared" si="17"/>
        <v>103</v>
      </c>
      <c r="F272" s="5">
        <f t="shared" si="18"/>
        <v>10609</v>
      </c>
      <c r="G272" s="6">
        <f>SQRT(SUM($F$2:F272)/A272)</f>
        <v>1306.603659022589</v>
      </c>
      <c r="H272" s="5">
        <f t="shared" si="19"/>
        <v>1</v>
      </c>
      <c r="I272" s="5">
        <f t="shared" si="20"/>
        <v>1</v>
      </c>
    </row>
    <row r="273" spans="1:9">
      <c r="A273">
        <v>272</v>
      </c>
      <c r="B273">
        <v>16</v>
      </c>
      <c r="C273">
        <v>9000</v>
      </c>
      <c r="D273">
        <v>9670</v>
      </c>
      <c r="E273" s="5">
        <f t="shared" si="17"/>
        <v>670</v>
      </c>
      <c r="F273" s="5">
        <f t="shared" si="18"/>
        <v>448900</v>
      </c>
      <c r="G273" s="6">
        <f>SQRT(SUM($F$2:F273)/A273)</f>
        <v>1304.8321618462028</v>
      </c>
      <c r="H273" s="5">
        <f t="shared" si="19"/>
        <v>1</v>
      </c>
      <c r="I273" s="5">
        <f t="shared" si="20"/>
        <v>1</v>
      </c>
    </row>
    <row r="274" spans="1:9">
      <c r="A274">
        <v>273</v>
      </c>
      <c r="B274">
        <v>15</v>
      </c>
      <c r="C274">
        <v>9000</v>
      </c>
      <c r="D274">
        <v>9398</v>
      </c>
      <c r="E274" s="5">
        <f t="shared" si="17"/>
        <v>398</v>
      </c>
      <c r="F274" s="5">
        <f t="shared" si="18"/>
        <v>158404</v>
      </c>
      <c r="G274" s="6">
        <f>SQRT(SUM($F$2:F274)/A274)</f>
        <v>1302.6628968043201</v>
      </c>
      <c r="H274" s="5">
        <f t="shared" si="19"/>
        <v>1</v>
      </c>
      <c r="I274" s="5">
        <f t="shared" si="20"/>
        <v>1</v>
      </c>
    </row>
    <row r="275" spans="1:9">
      <c r="A275">
        <v>274</v>
      </c>
      <c r="B275">
        <v>15</v>
      </c>
      <c r="C275">
        <v>9000</v>
      </c>
      <c r="D275">
        <v>8480</v>
      </c>
      <c r="E275" s="5">
        <f t="shared" si="17"/>
        <v>520</v>
      </c>
      <c r="F275" s="5">
        <f t="shared" si="18"/>
        <v>270400</v>
      </c>
      <c r="G275" s="6">
        <f>SQRT(SUM($F$2:F275)/A275)</f>
        <v>1300.6630257562267</v>
      </c>
      <c r="H275" s="5">
        <f t="shared" si="19"/>
        <v>1</v>
      </c>
      <c r="I275" s="5">
        <f t="shared" si="20"/>
        <v>1</v>
      </c>
    </row>
    <row r="276" spans="1:9">
      <c r="A276">
        <v>275</v>
      </c>
      <c r="B276">
        <v>16</v>
      </c>
      <c r="C276">
        <v>9000</v>
      </c>
      <c r="D276">
        <v>9202</v>
      </c>
      <c r="E276" s="5">
        <f t="shared" si="17"/>
        <v>202</v>
      </c>
      <c r="F276" s="5">
        <f t="shared" si="18"/>
        <v>40804</v>
      </c>
      <c r="G276" s="6">
        <f>SQRT(SUM($F$2:F276)/A276)</f>
        <v>1298.3531722917305</v>
      </c>
      <c r="H276" s="5">
        <f t="shared" si="19"/>
        <v>1</v>
      </c>
      <c r="I276" s="5">
        <f t="shared" si="20"/>
        <v>1</v>
      </c>
    </row>
    <row r="277" spans="1:9">
      <c r="A277">
        <v>276</v>
      </c>
      <c r="B277">
        <v>16</v>
      </c>
      <c r="C277">
        <v>9000</v>
      </c>
      <c r="D277">
        <v>9548</v>
      </c>
      <c r="E277" s="5">
        <f t="shared" si="17"/>
        <v>548</v>
      </c>
      <c r="F277" s="5">
        <f t="shared" si="18"/>
        <v>300304</v>
      </c>
      <c r="G277" s="6">
        <f>SQRT(SUM($F$2:F277)/A277)</f>
        <v>1296.4186566589256</v>
      </c>
      <c r="H277" s="5">
        <f t="shared" si="19"/>
        <v>1</v>
      </c>
      <c r="I277" s="5">
        <f t="shared" si="20"/>
        <v>1</v>
      </c>
    </row>
    <row r="278" spans="1:9">
      <c r="A278">
        <v>277</v>
      </c>
      <c r="B278">
        <v>15</v>
      </c>
      <c r="C278">
        <v>9000</v>
      </c>
      <c r="D278">
        <v>9170</v>
      </c>
      <c r="E278" s="5">
        <f t="shared" si="17"/>
        <v>170</v>
      </c>
      <c r="F278" s="5">
        <f t="shared" si="18"/>
        <v>28900</v>
      </c>
      <c r="G278" s="6">
        <f>SQRT(SUM($F$2:F278)/A278)</f>
        <v>1294.1167457476736</v>
      </c>
      <c r="H278" s="5">
        <f t="shared" si="19"/>
        <v>1</v>
      </c>
      <c r="I278" s="5">
        <f t="shared" si="20"/>
        <v>1</v>
      </c>
    </row>
    <row r="279" spans="1:9">
      <c r="A279">
        <v>278</v>
      </c>
      <c r="B279">
        <v>15</v>
      </c>
      <c r="C279">
        <v>9000</v>
      </c>
      <c r="D279">
        <v>8433</v>
      </c>
      <c r="E279" s="5">
        <f t="shared" si="17"/>
        <v>567</v>
      </c>
      <c r="F279" s="5">
        <f t="shared" si="18"/>
        <v>321489</v>
      </c>
      <c r="G279" s="6">
        <f>SQRT(SUM($F$2:F279)/A279)</f>
        <v>1292.2346338497755</v>
      </c>
      <c r="H279" s="5">
        <f t="shared" si="19"/>
        <v>1</v>
      </c>
      <c r="I279" s="5">
        <f t="shared" si="20"/>
        <v>1</v>
      </c>
    </row>
    <row r="280" spans="1:9">
      <c r="A280">
        <v>279</v>
      </c>
      <c r="B280">
        <v>16</v>
      </c>
      <c r="C280">
        <v>9000</v>
      </c>
      <c r="D280">
        <v>9009</v>
      </c>
      <c r="E280" s="5">
        <f t="shared" si="17"/>
        <v>9</v>
      </c>
      <c r="F280" s="5">
        <f t="shared" si="18"/>
        <v>81</v>
      </c>
      <c r="G280" s="6">
        <f>SQRT(SUM($F$2:F280)/A280)</f>
        <v>1289.9168348619282</v>
      </c>
      <c r="H280" s="5">
        <f t="shared" si="19"/>
        <v>1</v>
      </c>
      <c r="I280" s="5">
        <f t="shared" si="20"/>
        <v>1</v>
      </c>
    </row>
    <row r="281" spans="1:9">
      <c r="A281">
        <v>280</v>
      </c>
      <c r="B281">
        <v>16</v>
      </c>
      <c r="C281">
        <v>9000</v>
      </c>
      <c r="D281">
        <v>9346</v>
      </c>
      <c r="E281" s="5">
        <f t="shared" si="17"/>
        <v>346</v>
      </c>
      <c r="F281" s="5">
        <f t="shared" si="18"/>
        <v>119716</v>
      </c>
      <c r="G281" s="6">
        <f>SQRT(SUM($F$2:F281)/A281)</f>
        <v>1287.7773681813173</v>
      </c>
      <c r="H281" s="5">
        <f t="shared" si="19"/>
        <v>1</v>
      </c>
      <c r="I281" s="5">
        <f t="shared" si="20"/>
        <v>1</v>
      </c>
    </row>
    <row r="282" spans="1:9">
      <c r="A282">
        <v>281</v>
      </c>
      <c r="B282">
        <v>15</v>
      </c>
      <c r="C282">
        <v>9000</v>
      </c>
      <c r="D282">
        <v>8497</v>
      </c>
      <c r="E282" s="5">
        <f t="shared" si="17"/>
        <v>503</v>
      </c>
      <c r="F282" s="5">
        <f t="shared" si="18"/>
        <v>253009</v>
      </c>
      <c r="G282" s="6">
        <f>SQRT(SUM($F$2:F282)/A282)</f>
        <v>1285.8340730223304</v>
      </c>
      <c r="H282" s="5">
        <f t="shared" si="19"/>
        <v>1</v>
      </c>
      <c r="I282" s="5">
        <f t="shared" si="20"/>
        <v>1</v>
      </c>
    </row>
    <row r="283" spans="1:9">
      <c r="A283">
        <v>282</v>
      </c>
      <c r="B283">
        <v>16</v>
      </c>
      <c r="C283">
        <v>9000</v>
      </c>
      <c r="D283">
        <v>9520</v>
      </c>
      <c r="E283" s="5">
        <f t="shared" si="17"/>
        <v>520</v>
      </c>
      <c r="F283" s="5">
        <f t="shared" si="18"/>
        <v>270400</v>
      </c>
      <c r="G283" s="6">
        <f>SQRT(SUM($F$2:F283)/A283)</f>
        <v>1283.9256664703282</v>
      </c>
      <c r="H283" s="5">
        <f t="shared" si="19"/>
        <v>1</v>
      </c>
      <c r="I283" s="5">
        <f t="shared" si="20"/>
        <v>1</v>
      </c>
    </row>
    <row r="284" spans="1:9">
      <c r="A284">
        <v>283</v>
      </c>
      <c r="B284">
        <v>15</v>
      </c>
      <c r="C284">
        <v>9000</v>
      </c>
      <c r="D284">
        <v>9469</v>
      </c>
      <c r="E284" s="5">
        <f t="shared" si="17"/>
        <v>469</v>
      </c>
      <c r="F284" s="5">
        <f t="shared" si="18"/>
        <v>219961</v>
      </c>
      <c r="G284" s="6">
        <f>SQRT(SUM($F$2:F284)/A284)</f>
        <v>1281.9584233871574</v>
      </c>
      <c r="H284" s="5">
        <f t="shared" si="19"/>
        <v>1</v>
      </c>
      <c r="I284" s="5">
        <f t="shared" si="20"/>
        <v>1</v>
      </c>
    </row>
    <row r="285" spans="1:9">
      <c r="A285">
        <v>284</v>
      </c>
      <c r="B285">
        <v>15</v>
      </c>
      <c r="C285">
        <v>9000</v>
      </c>
      <c r="D285">
        <v>8978</v>
      </c>
      <c r="E285" s="5">
        <f t="shared" si="17"/>
        <v>22</v>
      </c>
      <c r="F285" s="5">
        <f t="shared" si="18"/>
        <v>484</v>
      </c>
      <c r="G285" s="6">
        <f>SQRT(SUM($F$2:F285)/A285)</f>
        <v>1279.7001299270119</v>
      </c>
      <c r="H285" s="5">
        <f t="shared" si="19"/>
        <v>1</v>
      </c>
      <c r="I285" s="5">
        <f t="shared" si="20"/>
        <v>1</v>
      </c>
    </row>
    <row r="286" spans="1:9">
      <c r="A286">
        <v>285</v>
      </c>
      <c r="B286">
        <v>16</v>
      </c>
      <c r="C286">
        <v>9000</v>
      </c>
      <c r="D286">
        <v>9525</v>
      </c>
      <c r="E286" s="5">
        <f t="shared" si="17"/>
        <v>525</v>
      </c>
      <c r="F286" s="5">
        <f t="shared" si="18"/>
        <v>275625</v>
      </c>
      <c r="G286" s="6">
        <f>SQRT(SUM($F$2:F286)/A286)</f>
        <v>1277.8315417623744</v>
      </c>
      <c r="H286" s="5">
        <f t="shared" si="19"/>
        <v>1</v>
      </c>
      <c r="I286" s="5">
        <f t="shared" si="20"/>
        <v>1</v>
      </c>
    </row>
    <row r="287" spans="1:9">
      <c r="A287">
        <v>286</v>
      </c>
      <c r="B287">
        <v>15</v>
      </c>
      <c r="C287">
        <v>9000</v>
      </c>
      <c r="D287">
        <v>8596</v>
      </c>
      <c r="E287" s="5">
        <f t="shared" si="17"/>
        <v>404</v>
      </c>
      <c r="F287" s="5">
        <f t="shared" si="18"/>
        <v>163216</v>
      </c>
      <c r="G287" s="6">
        <f>SQRT(SUM($F$2:F287)/A287)</f>
        <v>1275.8192883960317</v>
      </c>
      <c r="H287" s="5">
        <f t="shared" si="19"/>
        <v>1</v>
      </c>
      <c r="I287" s="5">
        <f t="shared" si="20"/>
        <v>1</v>
      </c>
    </row>
    <row r="288" spans="1:9">
      <c r="A288">
        <v>287</v>
      </c>
      <c r="B288">
        <v>16</v>
      </c>
      <c r="C288">
        <v>9000</v>
      </c>
      <c r="D288">
        <v>9485</v>
      </c>
      <c r="E288" s="5">
        <f t="shared" si="17"/>
        <v>485</v>
      </c>
      <c r="F288" s="5">
        <f t="shared" si="18"/>
        <v>235225</v>
      </c>
      <c r="G288" s="6">
        <f>SQRT(SUM($F$2:F288)/A288)</f>
        <v>1273.9163927078403</v>
      </c>
      <c r="H288" s="5">
        <f t="shared" si="19"/>
        <v>1</v>
      </c>
      <c r="I288" s="5">
        <f t="shared" si="20"/>
        <v>1</v>
      </c>
    </row>
    <row r="289" spans="1:9">
      <c r="A289">
        <v>288</v>
      </c>
      <c r="B289">
        <v>15</v>
      </c>
      <c r="C289">
        <v>9000</v>
      </c>
      <c r="D289">
        <v>8584</v>
      </c>
      <c r="E289" s="5">
        <f t="shared" si="17"/>
        <v>416</v>
      </c>
      <c r="F289" s="5">
        <f t="shared" si="18"/>
        <v>173056</v>
      </c>
      <c r="G289" s="6">
        <f>SQRT(SUM($F$2:F289)/A289)</f>
        <v>1271.9390408392655</v>
      </c>
      <c r="H289" s="5">
        <f t="shared" si="19"/>
        <v>1</v>
      </c>
      <c r="I289" s="5">
        <f t="shared" si="20"/>
        <v>1</v>
      </c>
    </row>
    <row r="290" spans="1:9">
      <c r="A290">
        <v>289</v>
      </c>
      <c r="B290">
        <v>16</v>
      </c>
      <c r="C290">
        <v>9000</v>
      </c>
      <c r="D290">
        <v>8751</v>
      </c>
      <c r="E290" s="5">
        <f t="shared" si="17"/>
        <v>249</v>
      </c>
      <c r="F290" s="5">
        <f t="shared" si="18"/>
        <v>62001</v>
      </c>
      <c r="G290" s="6">
        <f>SQRT(SUM($F$2:F290)/A290)</f>
        <v>1269.821025178808</v>
      </c>
      <c r="H290" s="5">
        <f t="shared" si="19"/>
        <v>1</v>
      </c>
      <c r="I290" s="5">
        <f t="shared" si="20"/>
        <v>1</v>
      </c>
    </row>
    <row r="291" spans="1:9">
      <c r="A291">
        <v>290</v>
      </c>
      <c r="B291">
        <v>16</v>
      </c>
      <c r="C291">
        <v>9000</v>
      </c>
      <c r="D291">
        <v>9670</v>
      </c>
      <c r="E291" s="5">
        <f t="shared" si="17"/>
        <v>670</v>
      </c>
      <c r="F291" s="5">
        <f t="shared" si="18"/>
        <v>448900</v>
      </c>
      <c r="G291" s="6">
        <f>SQRT(SUM($F$2:F291)/A291)</f>
        <v>1268.2402021481687</v>
      </c>
      <c r="H291" s="5">
        <f t="shared" si="19"/>
        <v>1</v>
      </c>
      <c r="I291" s="5">
        <f t="shared" si="20"/>
        <v>1</v>
      </c>
    </row>
    <row r="292" spans="1:9">
      <c r="A292">
        <v>291</v>
      </c>
      <c r="B292">
        <v>15</v>
      </c>
      <c r="C292">
        <v>9000</v>
      </c>
      <c r="D292">
        <v>8156</v>
      </c>
      <c r="E292" s="5">
        <f t="shared" si="17"/>
        <v>844</v>
      </c>
      <c r="F292" s="5">
        <f t="shared" si="18"/>
        <v>712336</v>
      </c>
      <c r="G292" s="6">
        <f>SQRT(SUM($F$2:F292)/A292)</f>
        <v>1267.025587148094</v>
      </c>
      <c r="H292" s="5">
        <f t="shared" si="19"/>
        <v>1</v>
      </c>
      <c r="I292" s="5">
        <f t="shared" si="20"/>
        <v>1</v>
      </c>
    </row>
    <row r="293" spans="1:9">
      <c r="A293">
        <v>292</v>
      </c>
      <c r="B293">
        <v>16</v>
      </c>
      <c r="C293">
        <v>9000</v>
      </c>
      <c r="D293">
        <v>9880</v>
      </c>
      <c r="E293" s="5">
        <f t="shared" si="17"/>
        <v>880</v>
      </c>
      <c r="F293" s="5">
        <f t="shared" si="18"/>
        <v>774400</v>
      </c>
      <c r="G293" s="6">
        <f>SQRT(SUM($F$2:F293)/A293)</f>
        <v>1265.9020918555998</v>
      </c>
      <c r="H293" s="5">
        <f t="shared" si="19"/>
        <v>1</v>
      </c>
      <c r="I293" s="5">
        <f t="shared" si="20"/>
        <v>1</v>
      </c>
    </row>
    <row r="294" spans="1:9">
      <c r="A294">
        <v>293</v>
      </c>
      <c r="B294">
        <v>15</v>
      </c>
      <c r="C294">
        <v>9000</v>
      </c>
      <c r="D294">
        <v>8979</v>
      </c>
      <c r="E294" s="5">
        <f t="shared" si="17"/>
        <v>21</v>
      </c>
      <c r="F294" s="5">
        <f t="shared" si="18"/>
        <v>441</v>
      </c>
      <c r="G294" s="6">
        <f>SQRT(SUM($F$2:F294)/A294)</f>
        <v>1263.7405985174714</v>
      </c>
      <c r="H294" s="5">
        <f t="shared" si="19"/>
        <v>1</v>
      </c>
      <c r="I294" s="5">
        <f t="shared" si="20"/>
        <v>1</v>
      </c>
    </row>
    <row r="295" spans="1:9">
      <c r="A295">
        <v>294</v>
      </c>
      <c r="B295">
        <v>15</v>
      </c>
      <c r="C295">
        <v>9000</v>
      </c>
      <c r="D295">
        <v>8592</v>
      </c>
      <c r="E295" s="5">
        <f t="shared" si="17"/>
        <v>408</v>
      </c>
      <c r="F295" s="5">
        <f t="shared" si="18"/>
        <v>166464</v>
      </c>
      <c r="G295" s="6">
        <f>SQRT(SUM($F$2:F295)/A295)</f>
        <v>1261.8139302440052</v>
      </c>
      <c r="H295" s="5">
        <f t="shared" si="19"/>
        <v>1</v>
      </c>
      <c r="I295" s="5">
        <f t="shared" si="20"/>
        <v>1</v>
      </c>
    </row>
    <row r="296" spans="1:9">
      <c r="A296">
        <v>295</v>
      </c>
      <c r="B296">
        <v>16</v>
      </c>
      <c r="C296">
        <v>9000</v>
      </c>
      <c r="D296">
        <v>9153</v>
      </c>
      <c r="E296" s="5">
        <f t="shared" si="17"/>
        <v>153</v>
      </c>
      <c r="F296" s="5">
        <f t="shared" si="18"/>
        <v>23409</v>
      </c>
      <c r="G296" s="6">
        <f>SQRT(SUM($F$2:F296)/A296)</f>
        <v>1259.7049439304078</v>
      </c>
      <c r="H296" s="5">
        <f t="shared" si="19"/>
        <v>1</v>
      </c>
      <c r="I296" s="5">
        <f t="shared" si="20"/>
        <v>1</v>
      </c>
    </row>
    <row r="297" spans="1:9">
      <c r="A297">
        <v>296</v>
      </c>
      <c r="B297">
        <v>15</v>
      </c>
      <c r="C297">
        <v>9000</v>
      </c>
      <c r="D297">
        <v>9559</v>
      </c>
      <c r="E297" s="5">
        <f t="shared" si="17"/>
        <v>559</v>
      </c>
      <c r="F297" s="5">
        <f t="shared" si="18"/>
        <v>312481</v>
      </c>
      <c r="G297" s="6">
        <f>SQRT(SUM($F$2:F297)/A297)</f>
        <v>1257.9949216801208</v>
      </c>
      <c r="H297" s="5">
        <f t="shared" si="19"/>
        <v>1</v>
      </c>
      <c r="I297" s="5">
        <f t="shared" si="20"/>
        <v>1</v>
      </c>
    </row>
    <row r="298" spans="1:9">
      <c r="A298">
        <v>297</v>
      </c>
      <c r="B298">
        <v>15</v>
      </c>
      <c r="C298">
        <v>9000</v>
      </c>
      <c r="D298">
        <v>8261</v>
      </c>
      <c r="E298" s="5">
        <f t="shared" si="17"/>
        <v>739</v>
      </c>
      <c r="F298" s="5">
        <f t="shared" si="18"/>
        <v>546121</v>
      </c>
      <c r="G298" s="6">
        <f>SQRT(SUM($F$2:F298)/A298)</f>
        <v>1256.607161734549</v>
      </c>
      <c r="H298" s="5">
        <f t="shared" si="19"/>
        <v>1</v>
      </c>
      <c r="I298" s="5">
        <f t="shared" si="20"/>
        <v>1</v>
      </c>
    </row>
    <row r="299" spans="1:9">
      <c r="A299">
        <v>298</v>
      </c>
      <c r="B299">
        <v>16</v>
      </c>
      <c r="C299">
        <v>9000</v>
      </c>
      <c r="D299">
        <v>9056</v>
      </c>
      <c r="E299" s="5">
        <f t="shared" si="17"/>
        <v>56</v>
      </c>
      <c r="F299" s="5">
        <f t="shared" si="18"/>
        <v>3136</v>
      </c>
      <c r="G299" s="6">
        <f>SQRT(SUM($F$2:F299)/A299)</f>
        <v>1254.501182989002</v>
      </c>
      <c r="H299" s="5">
        <f t="shared" si="19"/>
        <v>1</v>
      </c>
      <c r="I299" s="5">
        <f t="shared" si="20"/>
        <v>1</v>
      </c>
    </row>
    <row r="300" spans="1:9">
      <c r="A300">
        <v>299</v>
      </c>
      <c r="B300">
        <v>15</v>
      </c>
      <c r="C300">
        <v>9000</v>
      </c>
      <c r="D300">
        <v>8192</v>
      </c>
      <c r="E300" s="5">
        <f t="shared" si="17"/>
        <v>808</v>
      </c>
      <c r="F300" s="5">
        <f t="shared" si="18"/>
        <v>652864</v>
      </c>
      <c r="G300" s="6">
        <f>SQRT(SUM($F$2:F300)/A300)</f>
        <v>1253.2730166171305</v>
      </c>
      <c r="H300" s="5">
        <f t="shared" si="19"/>
        <v>1</v>
      </c>
      <c r="I300" s="5">
        <f t="shared" si="20"/>
        <v>1</v>
      </c>
    </row>
    <row r="301" spans="1:9">
      <c r="A301">
        <v>300</v>
      </c>
      <c r="B301">
        <v>17</v>
      </c>
      <c r="C301">
        <v>9000</v>
      </c>
      <c r="D301">
        <v>10173</v>
      </c>
      <c r="E301" s="5">
        <f t="shared" si="17"/>
        <v>1173</v>
      </c>
      <c r="F301" s="5">
        <f t="shared" si="18"/>
        <v>1375929</v>
      </c>
      <c r="G301" s="6">
        <f>SQRT(SUM($F$2:F301)/A301)</f>
        <v>1253.0139823641234</v>
      </c>
      <c r="H301" s="5">
        <f t="shared" si="19"/>
        <v>1</v>
      </c>
      <c r="I301" s="5">
        <f t="shared" si="20"/>
        <v>0</v>
      </c>
    </row>
    <row r="302" spans="1:9">
      <c r="A302">
        <v>301</v>
      </c>
      <c r="B302">
        <v>14</v>
      </c>
      <c r="C302">
        <v>5000</v>
      </c>
      <c r="D302">
        <v>8587</v>
      </c>
      <c r="E302" s="5">
        <f t="shared" si="17"/>
        <v>3587</v>
      </c>
      <c r="F302" s="5">
        <f t="shared" si="18"/>
        <v>12866569</v>
      </c>
      <c r="G302" s="6">
        <f>SQRT(SUM($F$2:F302)/A302)</f>
        <v>1267.9014248969886</v>
      </c>
      <c r="H302" s="5">
        <f t="shared" si="19"/>
        <v>0</v>
      </c>
      <c r="I302" s="5">
        <f t="shared" si="20"/>
        <v>0</v>
      </c>
    </row>
    <row r="303" spans="1:9">
      <c r="A303">
        <v>302</v>
      </c>
      <c r="B303">
        <v>11</v>
      </c>
      <c r="C303">
        <v>5000</v>
      </c>
      <c r="D303">
        <v>6668</v>
      </c>
      <c r="E303" s="5">
        <f t="shared" si="17"/>
        <v>1668</v>
      </c>
      <c r="F303" s="5">
        <f t="shared" si="18"/>
        <v>2782224</v>
      </c>
      <c r="G303" s="6">
        <f>SQRT(SUM($F$2:F303)/A303)</f>
        <v>1269.4343593566514</v>
      </c>
      <c r="H303" s="5">
        <f t="shared" si="19"/>
        <v>0</v>
      </c>
      <c r="I303" s="5">
        <f t="shared" si="20"/>
        <v>0</v>
      </c>
    </row>
    <row r="304" spans="1:9">
      <c r="A304">
        <v>303</v>
      </c>
      <c r="B304">
        <v>12</v>
      </c>
      <c r="C304">
        <v>5000</v>
      </c>
      <c r="D304">
        <v>6956</v>
      </c>
      <c r="E304" s="5">
        <f t="shared" si="17"/>
        <v>1956</v>
      </c>
      <c r="F304" s="5">
        <f t="shared" si="18"/>
        <v>3825936</v>
      </c>
      <c r="G304" s="6">
        <f>SQRT(SUM($F$2:F304)/A304)</f>
        <v>1272.309743147576</v>
      </c>
      <c r="H304" s="5">
        <f t="shared" si="19"/>
        <v>0</v>
      </c>
      <c r="I304" s="5">
        <f t="shared" si="20"/>
        <v>0</v>
      </c>
    </row>
    <row r="305" spans="1:9">
      <c r="A305">
        <v>304</v>
      </c>
      <c r="B305">
        <v>11</v>
      </c>
      <c r="C305">
        <v>5000</v>
      </c>
      <c r="D305">
        <v>6629</v>
      </c>
      <c r="E305" s="5">
        <f t="shared" si="17"/>
        <v>1629</v>
      </c>
      <c r="F305" s="5">
        <f t="shared" si="18"/>
        <v>2653641</v>
      </c>
      <c r="G305" s="6">
        <f>SQRT(SUM($F$2:F305)/A305)</f>
        <v>1273.6468335370475</v>
      </c>
      <c r="H305" s="5">
        <f t="shared" si="19"/>
        <v>0</v>
      </c>
      <c r="I305" s="5">
        <f t="shared" si="20"/>
        <v>0</v>
      </c>
    </row>
    <row r="306" spans="1:9">
      <c r="A306">
        <v>305</v>
      </c>
      <c r="B306">
        <v>11</v>
      </c>
      <c r="C306">
        <v>5000</v>
      </c>
      <c r="D306">
        <v>7509</v>
      </c>
      <c r="E306" s="5">
        <f t="shared" si="17"/>
        <v>2509</v>
      </c>
      <c r="F306" s="5">
        <f t="shared" si="18"/>
        <v>6295081</v>
      </c>
      <c r="G306" s="6">
        <f>SQRT(SUM($F$2:F306)/A306)</f>
        <v>1279.6473169345156</v>
      </c>
      <c r="H306" s="5">
        <f t="shared" si="19"/>
        <v>0</v>
      </c>
      <c r="I306" s="5">
        <f t="shared" si="20"/>
        <v>0</v>
      </c>
    </row>
    <row r="307" spans="1:9">
      <c r="A307">
        <v>306</v>
      </c>
      <c r="B307">
        <v>10</v>
      </c>
      <c r="C307">
        <v>5000</v>
      </c>
      <c r="D307">
        <v>7331</v>
      </c>
      <c r="E307" s="5">
        <f t="shared" si="17"/>
        <v>2331</v>
      </c>
      <c r="F307" s="5">
        <f t="shared" si="18"/>
        <v>5433561</v>
      </c>
      <c r="G307" s="6">
        <f>SQRT(SUM($F$2:F307)/A307)</f>
        <v>1284.4853805359007</v>
      </c>
      <c r="H307" s="5">
        <f t="shared" si="19"/>
        <v>0</v>
      </c>
      <c r="I307" s="5">
        <f t="shared" si="20"/>
        <v>0</v>
      </c>
    </row>
    <row r="308" spans="1:9">
      <c r="A308">
        <v>307</v>
      </c>
      <c r="B308">
        <v>9</v>
      </c>
      <c r="C308">
        <v>5000</v>
      </c>
      <c r="D308">
        <v>6231</v>
      </c>
      <c r="E308" s="5">
        <f t="shared" si="17"/>
        <v>1231</v>
      </c>
      <c r="F308" s="5">
        <f t="shared" si="18"/>
        <v>1515361</v>
      </c>
      <c r="G308" s="6">
        <f>SQRT(SUM($F$2:F308)/A308)</f>
        <v>1284.314776935184</v>
      </c>
      <c r="H308" s="5">
        <f t="shared" si="19"/>
        <v>0</v>
      </c>
      <c r="I308" s="5">
        <f t="shared" si="20"/>
        <v>0</v>
      </c>
    </row>
    <row r="309" spans="1:9">
      <c r="A309">
        <v>308</v>
      </c>
      <c r="B309">
        <v>10</v>
      </c>
      <c r="C309">
        <v>5000</v>
      </c>
      <c r="D309">
        <v>6175</v>
      </c>
      <c r="E309" s="5">
        <f t="shared" si="17"/>
        <v>1175</v>
      </c>
      <c r="F309" s="5">
        <f t="shared" si="18"/>
        <v>1380625</v>
      </c>
      <c r="G309" s="6">
        <f>SQRT(SUM($F$2:F309)/A309)</f>
        <v>1283.9749183333336</v>
      </c>
      <c r="H309" s="5">
        <f t="shared" si="19"/>
        <v>0</v>
      </c>
      <c r="I309" s="5">
        <f t="shared" si="20"/>
        <v>0</v>
      </c>
    </row>
    <row r="310" spans="1:9">
      <c r="A310">
        <v>309</v>
      </c>
      <c r="B310">
        <v>10</v>
      </c>
      <c r="C310">
        <v>5000</v>
      </c>
      <c r="D310">
        <v>6505</v>
      </c>
      <c r="E310" s="5">
        <f t="shared" si="17"/>
        <v>1505</v>
      </c>
      <c r="F310" s="5">
        <f t="shared" si="18"/>
        <v>2265025</v>
      </c>
      <c r="G310" s="6">
        <f>SQRT(SUM($F$2:F310)/A310)</f>
        <v>1284.7515405850263</v>
      </c>
      <c r="H310" s="5">
        <f t="shared" si="19"/>
        <v>0</v>
      </c>
      <c r="I310" s="5">
        <f t="shared" si="20"/>
        <v>0</v>
      </c>
    </row>
    <row r="311" spans="1:9">
      <c r="A311">
        <v>310</v>
      </c>
      <c r="B311">
        <v>9</v>
      </c>
      <c r="C311">
        <v>5000</v>
      </c>
      <c r="D311">
        <v>5656</v>
      </c>
      <c r="E311" s="5">
        <f t="shared" si="17"/>
        <v>656</v>
      </c>
      <c r="F311" s="5">
        <f t="shared" si="18"/>
        <v>430336</v>
      </c>
      <c r="G311" s="6">
        <f>SQRT(SUM($F$2:F311)/A311)</f>
        <v>1283.218698832065</v>
      </c>
      <c r="H311" s="5">
        <f t="shared" si="19"/>
        <v>1</v>
      </c>
      <c r="I311" s="5">
        <f t="shared" si="20"/>
        <v>0</v>
      </c>
    </row>
    <row r="312" spans="1:9">
      <c r="A312">
        <v>311</v>
      </c>
      <c r="B312">
        <v>9</v>
      </c>
      <c r="C312">
        <v>5000</v>
      </c>
      <c r="D312">
        <v>5703</v>
      </c>
      <c r="E312" s="5">
        <f t="shared" si="17"/>
        <v>703</v>
      </c>
      <c r="F312" s="5">
        <f t="shared" si="18"/>
        <v>494209</v>
      </c>
      <c r="G312" s="6">
        <f>SQRT(SUM($F$2:F312)/A312)</f>
        <v>1281.7740168317816</v>
      </c>
      <c r="H312" s="5">
        <f t="shared" si="19"/>
        <v>1</v>
      </c>
      <c r="I312" s="5">
        <f t="shared" si="20"/>
        <v>0</v>
      </c>
    </row>
    <row r="313" spans="1:9">
      <c r="A313">
        <v>312</v>
      </c>
      <c r="B313">
        <v>9</v>
      </c>
      <c r="C313">
        <v>5000</v>
      </c>
      <c r="D313">
        <v>5845</v>
      </c>
      <c r="E313" s="5">
        <f t="shared" si="17"/>
        <v>845</v>
      </c>
      <c r="F313" s="5">
        <f t="shared" si="18"/>
        <v>714025</v>
      </c>
      <c r="G313" s="6">
        <f>SQRT(SUM($F$2:F313)/A313)</f>
        <v>1280.6120894782889</v>
      </c>
      <c r="H313" s="5">
        <f t="shared" si="19"/>
        <v>1</v>
      </c>
      <c r="I313" s="5">
        <f t="shared" si="20"/>
        <v>0</v>
      </c>
    </row>
    <row r="314" spans="1:9">
      <c r="A314">
        <v>313</v>
      </c>
      <c r="B314">
        <v>9</v>
      </c>
      <c r="C314">
        <v>5000</v>
      </c>
      <c r="D314">
        <v>5029</v>
      </c>
      <c r="E314" s="5">
        <f t="shared" si="17"/>
        <v>29</v>
      </c>
      <c r="F314" s="5">
        <f t="shared" si="18"/>
        <v>841</v>
      </c>
      <c r="G314" s="6">
        <f>SQRT(SUM($F$2:F314)/A314)</f>
        <v>1278.5657974474977</v>
      </c>
      <c r="H314" s="5">
        <f t="shared" si="19"/>
        <v>1</v>
      </c>
      <c r="I314" s="5">
        <f t="shared" si="20"/>
        <v>1</v>
      </c>
    </row>
    <row r="315" spans="1:9">
      <c r="A315">
        <v>314</v>
      </c>
      <c r="B315">
        <v>10</v>
      </c>
      <c r="C315">
        <v>5000</v>
      </c>
      <c r="D315">
        <v>6633</v>
      </c>
      <c r="E315" s="5">
        <f t="shared" si="17"/>
        <v>1633</v>
      </c>
      <c r="F315" s="5">
        <f t="shared" si="18"/>
        <v>2666689</v>
      </c>
      <c r="G315" s="6">
        <f>SQRT(SUM($F$2:F315)/A315)</f>
        <v>1279.8503781481099</v>
      </c>
      <c r="H315" s="5">
        <f t="shared" si="19"/>
        <v>0</v>
      </c>
      <c r="I315" s="5">
        <f t="shared" si="20"/>
        <v>0</v>
      </c>
    </row>
    <row r="316" spans="1:9">
      <c r="A316">
        <v>315</v>
      </c>
      <c r="B316">
        <v>8</v>
      </c>
      <c r="C316">
        <v>5000</v>
      </c>
      <c r="D316">
        <v>4805</v>
      </c>
      <c r="E316" s="5">
        <f t="shared" si="17"/>
        <v>195</v>
      </c>
      <c r="F316" s="5">
        <f t="shared" si="18"/>
        <v>38025</v>
      </c>
      <c r="G316" s="6">
        <f>SQRT(SUM($F$2:F316)/A316)</f>
        <v>1277.8644884312464</v>
      </c>
      <c r="H316" s="5">
        <f t="shared" si="19"/>
        <v>1</v>
      </c>
      <c r="I316" s="5">
        <f t="shared" si="20"/>
        <v>1</v>
      </c>
    </row>
    <row r="317" spans="1:9">
      <c r="A317">
        <v>316</v>
      </c>
      <c r="B317">
        <v>9</v>
      </c>
      <c r="C317">
        <v>5000</v>
      </c>
      <c r="D317">
        <v>5468</v>
      </c>
      <c r="E317" s="5">
        <f t="shared" si="17"/>
        <v>468</v>
      </c>
      <c r="F317" s="5">
        <f t="shared" si="18"/>
        <v>219024</v>
      </c>
      <c r="G317" s="6">
        <f>SQRT(SUM($F$2:F317)/A317)</f>
        <v>1276.1125500935759</v>
      </c>
      <c r="H317" s="5">
        <f t="shared" si="19"/>
        <v>1</v>
      </c>
      <c r="I317" s="5">
        <f t="shared" si="20"/>
        <v>1</v>
      </c>
    </row>
    <row r="318" spans="1:9">
      <c r="A318">
        <v>317</v>
      </c>
      <c r="B318">
        <v>9</v>
      </c>
      <c r="C318">
        <v>5000</v>
      </c>
      <c r="D318">
        <v>5796</v>
      </c>
      <c r="E318" s="5">
        <f t="shared" si="17"/>
        <v>796</v>
      </c>
      <c r="F318" s="5">
        <f t="shared" si="18"/>
        <v>633616</v>
      </c>
      <c r="G318" s="6">
        <f>SQRT(SUM($F$2:F318)/A318)</f>
        <v>1274.8823165828471</v>
      </c>
      <c r="H318" s="5">
        <f t="shared" si="19"/>
        <v>1</v>
      </c>
      <c r="I318" s="5">
        <f t="shared" si="20"/>
        <v>0</v>
      </c>
    </row>
    <row r="319" spans="1:9">
      <c r="A319">
        <v>318</v>
      </c>
      <c r="B319">
        <v>8</v>
      </c>
      <c r="C319">
        <v>5000</v>
      </c>
      <c r="D319">
        <v>4868</v>
      </c>
      <c r="E319" s="5">
        <f t="shared" si="17"/>
        <v>132</v>
      </c>
      <c r="F319" s="5">
        <f t="shared" si="18"/>
        <v>17424</v>
      </c>
      <c r="G319" s="6">
        <f>SQRT(SUM($F$2:F319)/A319)</f>
        <v>1272.8977291718363</v>
      </c>
      <c r="H319" s="5">
        <f t="shared" si="19"/>
        <v>1</v>
      </c>
      <c r="I319" s="5">
        <f t="shared" si="20"/>
        <v>1</v>
      </c>
    </row>
    <row r="320" spans="1:9">
      <c r="A320">
        <v>319</v>
      </c>
      <c r="B320">
        <v>9</v>
      </c>
      <c r="C320">
        <v>5000</v>
      </c>
      <c r="D320">
        <v>6963</v>
      </c>
      <c r="E320" s="5">
        <f t="shared" si="17"/>
        <v>1963</v>
      </c>
      <c r="F320" s="5">
        <f t="shared" si="18"/>
        <v>3853369</v>
      </c>
      <c r="G320" s="6">
        <f>SQRT(SUM($F$2:F320)/A320)</f>
        <v>1275.6445208496243</v>
      </c>
      <c r="H320" s="5">
        <f t="shared" si="19"/>
        <v>0</v>
      </c>
      <c r="I320" s="5">
        <f t="shared" si="20"/>
        <v>0</v>
      </c>
    </row>
    <row r="321" spans="1:9">
      <c r="A321">
        <v>320</v>
      </c>
      <c r="B321">
        <v>6</v>
      </c>
      <c r="C321">
        <v>5000</v>
      </c>
      <c r="D321">
        <v>5137</v>
      </c>
      <c r="E321" s="5">
        <f t="shared" si="17"/>
        <v>137</v>
      </c>
      <c r="F321" s="5">
        <f t="shared" si="18"/>
        <v>18769</v>
      </c>
      <c r="G321" s="6">
        <f>SQRT(SUM($F$2:F321)/A321)</f>
        <v>1273.6727920663141</v>
      </c>
      <c r="H321" s="5">
        <f t="shared" si="19"/>
        <v>1</v>
      </c>
      <c r="I321" s="5">
        <f t="shared" si="20"/>
        <v>1</v>
      </c>
    </row>
    <row r="322" spans="1:9">
      <c r="A322">
        <v>321</v>
      </c>
      <c r="B322">
        <v>8</v>
      </c>
      <c r="C322">
        <v>5000</v>
      </c>
      <c r="D322">
        <v>5473</v>
      </c>
      <c r="E322" s="5">
        <f t="shared" si="17"/>
        <v>473</v>
      </c>
      <c r="F322" s="5">
        <f t="shared" si="18"/>
        <v>223729</v>
      </c>
      <c r="G322" s="6">
        <f>SQRT(SUM($F$2:F322)/A322)</f>
        <v>1271.9613365761352</v>
      </c>
      <c r="H322" s="5">
        <f t="shared" si="19"/>
        <v>1</v>
      </c>
      <c r="I322" s="5">
        <f t="shared" si="20"/>
        <v>1</v>
      </c>
    </row>
    <row r="323" spans="1:9">
      <c r="A323">
        <v>322</v>
      </c>
      <c r="B323">
        <v>8</v>
      </c>
      <c r="C323">
        <v>5000</v>
      </c>
      <c r="D323">
        <v>5239</v>
      </c>
      <c r="E323" s="5">
        <f t="shared" ref="E323:E386" si="21">ABS(C323-D323)</f>
        <v>239</v>
      </c>
      <c r="F323" s="5">
        <f t="shared" ref="F323:F386" si="22">POWER(E323,2)</f>
        <v>57121</v>
      </c>
      <c r="G323" s="6">
        <f>SQRT(SUM($F$2:F323)/A323)</f>
        <v>1270.0545447278439</v>
      </c>
      <c r="H323" s="5">
        <f t="shared" ref="H323:H386" si="23">IF(ABS(E323)/C323&gt;0.2,0,1)</f>
        <v>1</v>
      </c>
      <c r="I323" s="5">
        <f t="shared" ref="I323:I386" si="24">IF(ABS(E323)/C323&gt;0.1,0,1)</f>
        <v>1</v>
      </c>
    </row>
    <row r="324" spans="1:9">
      <c r="A324">
        <v>323</v>
      </c>
      <c r="B324">
        <v>8</v>
      </c>
      <c r="C324">
        <v>5000</v>
      </c>
      <c r="D324">
        <v>4729</v>
      </c>
      <c r="E324" s="5">
        <f t="shared" si="21"/>
        <v>271</v>
      </c>
      <c r="F324" s="5">
        <f t="shared" si="22"/>
        <v>73441</v>
      </c>
      <c r="G324" s="6">
        <f>SQRT(SUM($F$2:F324)/A324)</f>
        <v>1268.176640185457</v>
      </c>
      <c r="H324" s="5">
        <f t="shared" si="23"/>
        <v>1</v>
      </c>
      <c r="I324" s="5">
        <f t="shared" si="24"/>
        <v>1</v>
      </c>
    </row>
    <row r="325" spans="1:9">
      <c r="A325">
        <v>324</v>
      </c>
      <c r="B325">
        <v>8</v>
      </c>
      <c r="C325">
        <v>5000</v>
      </c>
      <c r="D325">
        <v>3529</v>
      </c>
      <c r="E325" s="5">
        <f t="shared" si="21"/>
        <v>1471</v>
      </c>
      <c r="F325" s="5">
        <f t="shared" si="22"/>
        <v>2163841</v>
      </c>
      <c r="G325" s="6">
        <f>SQRT(SUM($F$2:F325)/A325)</f>
        <v>1268.8525169918462</v>
      </c>
      <c r="H325" s="5">
        <f t="shared" si="23"/>
        <v>0</v>
      </c>
      <c r="I325" s="5">
        <f t="shared" si="24"/>
        <v>0</v>
      </c>
    </row>
    <row r="326" spans="1:9">
      <c r="A326">
        <v>325</v>
      </c>
      <c r="B326">
        <v>10</v>
      </c>
      <c r="C326">
        <v>5000</v>
      </c>
      <c r="D326">
        <v>5161</v>
      </c>
      <c r="E326" s="5">
        <f t="shared" si="21"/>
        <v>161</v>
      </c>
      <c r="F326" s="5">
        <f t="shared" si="22"/>
        <v>25921</v>
      </c>
      <c r="G326" s="6">
        <f>SQRT(SUM($F$2:F326)/A326)</f>
        <v>1266.930409114274</v>
      </c>
      <c r="H326" s="5">
        <f t="shared" si="23"/>
        <v>1</v>
      </c>
      <c r="I326" s="5">
        <f t="shared" si="24"/>
        <v>1</v>
      </c>
    </row>
    <row r="327" spans="1:9">
      <c r="A327">
        <v>326</v>
      </c>
      <c r="B327">
        <v>8</v>
      </c>
      <c r="C327">
        <v>5000</v>
      </c>
      <c r="D327">
        <v>4765</v>
      </c>
      <c r="E327" s="5">
        <f t="shared" si="21"/>
        <v>235</v>
      </c>
      <c r="F327" s="5">
        <f t="shared" si="22"/>
        <v>55225</v>
      </c>
      <c r="G327" s="6">
        <f>SQRT(SUM($F$2:F327)/A327)</f>
        <v>1265.0527281137238</v>
      </c>
      <c r="H327" s="5">
        <f t="shared" si="23"/>
        <v>1</v>
      </c>
      <c r="I327" s="5">
        <f t="shared" si="24"/>
        <v>1</v>
      </c>
    </row>
    <row r="328" spans="1:9">
      <c r="A328">
        <v>327</v>
      </c>
      <c r="B328">
        <v>9</v>
      </c>
      <c r="C328">
        <v>5000</v>
      </c>
      <c r="D328">
        <v>6624</v>
      </c>
      <c r="E328" s="5">
        <f t="shared" si="21"/>
        <v>1624</v>
      </c>
      <c r="F328" s="5">
        <f t="shared" si="22"/>
        <v>2637376</v>
      </c>
      <c r="G328" s="6">
        <f>SQRT(SUM($F$2:F328)/A328)</f>
        <v>1266.3055368031155</v>
      </c>
      <c r="H328" s="5">
        <f t="shared" si="23"/>
        <v>0</v>
      </c>
      <c r="I328" s="5">
        <f t="shared" si="24"/>
        <v>0</v>
      </c>
    </row>
    <row r="329" spans="1:9">
      <c r="A329">
        <v>328</v>
      </c>
      <c r="B329">
        <v>7</v>
      </c>
      <c r="C329">
        <v>5000</v>
      </c>
      <c r="D329">
        <v>4450</v>
      </c>
      <c r="E329" s="5">
        <f t="shared" si="21"/>
        <v>550</v>
      </c>
      <c r="F329" s="5">
        <f t="shared" si="22"/>
        <v>302500</v>
      </c>
      <c r="G329" s="6">
        <f>SQRT(SUM($F$2:F329)/A329)</f>
        <v>1264.7383755293365</v>
      </c>
      <c r="H329" s="5">
        <f t="shared" si="23"/>
        <v>1</v>
      </c>
      <c r="I329" s="5">
        <f t="shared" si="24"/>
        <v>0</v>
      </c>
    </row>
    <row r="330" spans="1:9">
      <c r="A330">
        <v>329</v>
      </c>
      <c r="B330">
        <v>9</v>
      </c>
      <c r="C330">
        <v>5000</v>
      </c>
      <c r="D330">
        <v>5401</v>
      </c>
      <c r="E330" s="5">
        <f t="shared" si="21"/>
        <v>401</v>
      </c>
      <c r="F330" s="5">
        <f t="shared" si="22"/>
        <v>160801</v>
      </c>
      <c r="G330" s="6">
        <f>SQRT(SUM($F$2:F330)/A330)</f>
        <v>1263.0083219348144</v>
      </c>
      <c r="H330" s="5">
        <f t="shared" si="23"/>
        <v>1</v>
      </c>
      <c r="I330" s="5">
        <f t="shared" si="24"/>
        <v>1</v>
      </c>
    </row>
    <row r="331" spans="1:9">
      <c r="A331">
        <v>330</v>
      </c>
      <c r="B331">
        <v>8</v>
      </c>
      <c r="C331">
        <v>5000</v>
      </c>
      <c r="D331">
        <v>5341</v>
      </c>
      <c r="E331" s="5">
        <f t="shared" si="21"/>
        <v>341</v>
      </c>
      <c r="F331" s="5">
        <f t="shared" si="22"/>
        <v>116281</v>
      </c>
      <c r="G331" s="6">
        <f>SQRT(SUM($F$2:F331)/A331)</f>
        <v>1261.2329201174059</v>
      </c>
      <c r="H331" s="5">
        <f t="shared" si="23"/>
        <v>1</v>
      </c>
      <c r="I331" s="5">
        <f t="shared" si="24"/>
        <v>1</v>
      </c>
    </row>
    <row r="332" spans="1:9">
      <c r="A332">
        <v>331</v>
      </c>
      <c r="B332">
        <v>8</v>
      </c>
      <c r="C332">
        <v>5000</v>
      </c>
      <c r="D332">
        <v>5044</v>
      </c>
      <c r="E332" s="5">
        <f t="shared" si="21"/>
        <v>44</v>
      </c>
      <c r="F332" s="5">
        <f t="shared" si="22"/>
        <v>1936</v>
      </c>
      <c r="G332" s="6">
        <f>SQRT(SUM($F$2:F332)/A332)</f>
        <v>1259.3286155462104</v>
      </c>
      <c r="H332" s="5">
        <f t="shared" si="23"/>
        <v>1</v>
      </c>
      <c r="I332" s="5">
        <f t="shared" si="24"/>
        <v>1</v>
      </c>
    </row>
    <row r="333" spans="1:9">
      <c r="A333">
        <v>332</v>
      </c>
      <c r="B333">
        <v>8</v>
      </c>
      <c r="C333">
        <v>5000</v>
      </c>
      <c r="D333">
        <v>5600</v>
      </c>
      <c r="E333" s="5">
        <f t="shared" si="21"/>
        <v>600</v>
      </c>
      <c r="F333" s="5">
        <f t="shared" si="22"/>
        <v>360000</v>
      </c>
      <c r="G333" s="6">
        <f>SQRT(SUM($F$2:F333)/A333)</f>
        <v>1257.8617039504225</v>
      </c>
      <c r="H333" s="5">
        <f t="shared" si="23"/>
        <v>1</v>
      </c>
      <c r="I333" s="5">
        <f t="shared" si="24"/>
        <v>0</v>
      </c>
    </row>
    <row r="334" spans="1:9">
      <c r="A334">
        <v>333</v>
      </c>
      <c r="B334">
        <v>7</v>
      </c>
      <c r="C334">
        <v>5000</v>
      </c>
      <c r="D334">
        <v>4624</v>
      </c>
      <c r="E334" s="5">
        <f t="shared" si="21"/>
        <v>376</v>
      </c>
      <c r="F334" s="5">
        <f t="shared" si="22"/>
        <v>141376</v>
      </c>
      <c r="G334" s="6">
        <f>SQRT(SUM($F$2:F334)/A334)</f>
        <v>1256.1406048763886</v>
      </c>
      <c r="H334" s="5">
        <f t="shared" si="23"/>
        <v>1</v>
      </c>
      <c r="I334" s="5">
        <f t="shared" si="24"/>
        <v>1</v>
      </c>
    </row>
    <row r="335" spans="1:9">
      <c r="A335">
        <v>334</v>
      </c>
      <c r="B335">
        <v>8</v>
      </c>
      <c r="C335">
        <v>5000</v>
      </c>
      <c r="D335">
        <v>5615</v>
      </c>
      <c r="E335" s="5">
        <f t="shared" si="21"/>
        <v>615</v>
      </c>
      <c r="F335" s="5">
        <f t="shared" si="22"/>
        <v>378225</v>
      </c>
      <c r="G335" s="6">
        <f>SQRT(SUM($F$2:F335)/A335)</f>
        <v>1254.7100900923849</v>
      </c>
      <c r="H335" s="5">
        <f t="shared" si="23"/>
        <v>1</v>
      </c>
      <c r="I335" s="5">
        <f t="shared" si="24"/>
        <v>0</v>
      </c>
    </row>
    <row r="336" spans="1:9">
      <c r="A336">
        <v>335</v>
      </c>
      <c r="B336">
        <v>7</v>
      </c>
      <c r="C336">
        <v>5000</v>
      </c>
      <c r="D336">
        <v>5198</v>
      </c>
      <c r="E336" s="5">
        <f t="shared" si="21"/>
        <v>198</v>
      </c>
      <c r="F336" s="5">
        <f t="shared" si="22"/>
        <v>39204</v>
      </c>
      <c r="G336" s="6">
        <f>SQRT(SUM($F$2:F336)/A336)</f>
        <v>1252.8826927494229</v>
      </c>
      <c r="H336" s="5">
        <f t="shared" si="23"/>
        <v>1</v>
      </c>
      <c r="I336" s="5">
        <f t="shared" si="24"/>
        <v>1</v>
      </c>
    </row>
    <row r="337" spans="1:9">
      <c r="A337">
        <v>336</v>
      </c>
      <c r="B337">
        <v>8</v>
      </c>
      <c r="C337">
        <v>5000</v>
      </c>
      <c r="D337">
        <v>5411</v>
      </c>
      <c r="E337" s="5">
        <f t="shared" si="21"/>
        <v>411</v>
      </c>
      <c r="F337" s="5">
        <f t="shared" si="22"/>
        <v>168921</v>
      </c>
      <c r="G337" s="6">
        <f>SQRT(SUM($F$2:F337)/A337)</f>
        <v>1251.21781153593</v>
      </c>
      <c r="H337" s="5">
        <f t="shared" si="23"/>
        <v>1</v>
      </c>
      <c r="I337" s="5">
        <f t="shared" si="24"/>
        <v>1</v>
      </c>
    </row>
    <row r="338" spans="1:9">
      <c r="A338">
        <v>337</v>
      </c>
      <c r="B338">
        <v>7</v>
      </c>
      <c r="C338">
        <v>5000</v>
      </c>
      <c r="D338">
        <v>3988</v>
      </c>
      <c r="E338" s="5">
        <f t="shared" si="21"/>
        <v>1012</v>
      </c>
      <c r="F338" s="5">
        <f t="shared" si="22"/>
        <v>1024144</v>
      </c>
      <c r="G338" s="6">
        <f>SQRT(SUM($F$2:F338)/A338)</f>
        <v>1250.5756585448187</v>
      </c>
      <c r="H338" s="5">
        <f t="shared" si="23"/>
        <v>0</v>
      </c>
      <c r="I338" s="5">
        <f t="shared" si="24"/>
        <v>0</v>
      </c>
    </row>
    <row r="339" spans="1:9">
      <c r="A339">
        <v>338</v>
      </c>
      <c r="B339">
        <v>9</v>
      </c>
      <c r="C339">
        <v>5000</v>
      </c>
      <c r="D339">
        <v>6014</v>
      </c>
      <c r="E339" s="5">
        <f t="shared" si="21"/>
        <v>1014</v>
      </c>
      <c r="F339" s="5">
        <f t="shared" si="22"/>
        <v>1028196</v>
      </c>
      <c r="G339" s="6">
        <f>SQRT(SUM($F$2:F339)/A339)</f>
        <v>1249.9417737918125</v>
      </c>
      <c r="H339" s="5">
        <f t="shared" si="23"/>
        <v>0</v>
      </c>
      <c r="I339" s="5">
        <f t="shared" si="24"/>
        <v>0</v>
      </c>
    </row>
    <row r="340" spans="1:9">
      <c r="A340">
        <v>339</v>
      </c>
      <c r="B340">
        <v>7</v>
      </c>
      <c r="C340">
        <v>5000</v>
      </c>
      <c r="D340">
        <v>5414</v>
      </c>
      <c r="E340" s="5">
        <f t="shared" si="21"/>
        <v>414</v>
      </c>
      <c r="F340" s="5">
        <f t="shared" si="22"/>
        <v>171396</v>
      </c>
      <c r="G340" s="6">
        <f>SQRT(SUM($F$2:F340)/A340)</f>
        <v>1248.2993693959068</v>
      </c>
      <c r="H340" s="5">
        <f t="shared" si="23"/>
        <v>1</v>
      </c>
      <c r="I340" s="5">
        <f t="shared" si="24"/>
        <v>1</v>
      </c>
    </row>
    <row r="341" spans="1:9">
      <c r="A341">
        <v>340</v>
      </c>
      <c r="B341">
        <v>7</v>
      </c>
      <c r="C341">
        <v>5000</v>
      </c>
      <c r="D341">
        <v>4306</v>
      </c>
      <c r="E341" s="5">
        <f t="shared" si="21"/>
        <v>694</v>
      </c>
      <c r="F341" s="5">
        <f t="shared" si="22"/>
        <v>481636</v>
      </c>
      <c r="G341" s="6">
        <f>SQRT(SUM($F$2:F341)/A341)</f>
        <v>1247.0303925726912</v>
      </c>
      <c r="H341" s="5">
        <f t="shared" si="23"/>
        <v>1</v>
      </c>
      <c r="I341" s="5">
        <f t="shared" si="24"/>
        <v>0</v>
      </c>
    </row>
    <row r="342" spans="1:9">
      <c r="A342">
        <v>341</v>
      </c>
      <c r="B342">
        <v>8</v>
      </c>
      <c r="C342">
        <v>5000</v>
      </c>
      <c r="D342">
        <v>5710</v>
      </c>
      <c r="E342" s="5">
        <f t="shared" si="21"/>
        <v>710</v>
      </c>
      <c r="F342" s="5">
        <f t="shared" si="22"/>
        <v>504100</v>
      </c>
      <c r="G342" s="6">
        <f>SQRT(SUM($F$2:F342)/A342)</f>
        <v>1245.7940171383991</v>
      </c>
      <c r="H342" s="5">
        <f t="shared" si="23"/>
        <v>1</v>
      </c>
      <c r="I342" s="5">
        <f t="shared" si="24"/>
        <v>0</v>
      </c>
    </row>
    <row r="343" spans="1:9">
      <c r="A343">
        <v>342</v>
      </c>
      <c r="B343">
        <v>7</v>
      </c>
      <c r="C343">
        <v>5000</v>
      </c>
      <c r="D343">
        <v>5047</v>
      </c>
      <c r="E343" s="5">
        <f t="shared" si="21"/>
        <v>47</v>
      </c>
      <c r="F343" s="5">
        <f t="shared" si="22"/>
        <v>2209</v>
      </c>
      <c r="G343" s="6">
        <f>SQRT(SUM($F$2:F343)/A343)</f>
        <v>1243.9739436638613</v>
      </c>
      <c r="H343" s="5">
        <f t="shared" si="23"/>
        <v>1</v>
      </c>
      <c r="I343" s="5">
        <f t="shared" si="24"/>
        <v>1</v>
      </c>
    </row>
    <row r="344" spans="1:9">
      <c r="A344">
        <v>343</v>
      </c>
      <c r="B344">
        <v>7</v>
      </c>
      <c r="C344">
        <v>5000</v>
      </c>
      <c r="D344">
        <v>5037</v>
      </c>
      <c r="E344" s="5">
        <f t="shared" si="21"/>
        <v>37</v>
      </c>
      <c r="F344" s="5">
        <f t="shared" si="22"/>
        <v>1369</v>
      </c>
      <c r="G344" s="6">
        <f>SQRT(SUM($F$2:F344)/A344)</f>
        <v>1242.1608535152889</v>
      </c>
      <c r="H344" s="5">
        <f t="shared" si="23"/>
        <v>1</v>
      </c>
      <c r="I344" s="5">
        <f t="shared" si="24"/>
        <v>1</v>
      </c>
    </row>
    <row r="345" spans="1:9">
      <c r="A345">
        <v>344</v>
      </c>
      <c r="B345">
        <v>7</v>
      </c>
      <c r="C345">
        <v>5000</v>
      </c>
      <c r="D345">
        <v>5499</v>
      </c>
      <c r="E345" s="5">
        <f t="shared" si="21"/>
        <v>499</v>
      </c>
      <c r="F345" s="5">
        <f t="shared" si="22"/>
        <v>249001</v>
      </c>
      <c r="G345" s="6">
        <f>SQRT(SUM($F$2:F345)/A345)</f>
        <v>1240.6458265195854</v>
      </c>
      <c r="H345" s="5">
        <f t="shared" si="23"/>
        <v>1</v>
      </c>
      <c r="I345" s="5">
        <f t="shared" si="24"/>
        <v>1</v>
      </c>
    </row>
    <row r="346" spans="1:9">
      <c r="A346">
        <v>345</v>
      </c>
      <c r="B346">
        <v>7</v>
      </c>
      <c r="C346">
        <v>5000</v>
      </c>
      <c r="D346">
        <v>5241</v>
      </c>
      <c r="E346" s="5">
        <f t="shared" si="21"/>
        <v>241</v>
      </c>
      <c r="F346" s="5">
        <f t="shared" si="22"/>
        <v>58081</v>
      </c>
      <c r="G346" s="6">
        <f>SQRT(SUM($F$2:F346)/A346)</f>
        <v>1238.9144289735432</v>
      </c>
      <c r="H346" s="5">
        <f t="shared" si="23"/>
        <v>1</v>
      </c>
      <c r="I346" s="5">
        <f t="shared" si="24"/>
        <v>1</v>
      </c>
    </row>
    <row r="347" spans="1:9">
      <c r="A347">
        <v>346</v>
      </c>
      <c r="B347">
        <v>7</v>
      </c>
      <c r="C347">
        <v>5000</v>
      </c>
      <c r="D347">
        <v>5686</v>
      </c>
      <c r="E347" s="5">
        <f t="shared" si="21"/>
        <v>686</v>
      </c>
      <c r="F347" s="5">
        <f t="shared" si="22"/>
        <v>470596</v>
      </c>
      <c r="G347" s="6">
        <f>SQRT(SUM($F$2:F347)/A347)</f>
        <v>1237.6723772044029</v>
      </c>
      <c r="H347" s="5">
        <f t="shared" si="23"/>
        <v>1</v>
      </c>
      <c r="I347" s="5">
        <f t="shared" si="24"/>
        <v>0</v>
      </c>
    </row>
    <row r="348" spans="1:9">
      <c r="A348">
        <v>347</v>
      </c>
      <c r="B348">
        <v>6</v>
      </c>
      <c r="C348">
        <v>5000</v>
      </c>
      <c r="D348">
        <v>4969</v>
      </c>
      <c r="E348" s="5">
        <f t="shared" si="21"/>
        <v>31</v>
      </c>
      <c r="F348" s="5">
        <f t="shared" si="22"/>
        <v>961</v>
      </c>
      <c r="G348" s="6">
        <f>SQRT(SUM($F$2:F348)/A348)</f>
        <v>1235.8888213242935</v>
      </c>
      <c r="H348" s="5">
        <f t="shared" si="23"/>
        <v>1</v>
      </c>
      <c r="I348" s="5">
        <f t="shared" si="24"/>
        <v>1</v>
      </c>
    </row>
    <row r="349" spans="1:9">
      <c r="A349">
        <v>348</v>
      </c>
      <c r="B349">
        <v>7</v>
      </c>
      <c r="C349">
        <v>5000</v>
      </c>
      <c r="D349">
        <v>5478</v>
      </c>
      <c r="E349" s="5">
        <f t="shared" si="21"/>
        <v>478</v>
      </c>
      <c r="F349" s="5">
        <f t="shared" si="22"/>
        <v>228484</v>
      </c>
      <c r="G349" s="6">
        <f>SQRT(SUM($F$2:F349)/A349)</f>
        <v>1234.3778192169173</v>
      </c>
      <c r="H349" s="5">
        <f t="shared" si="23"/>
        <v>1</v>
      </c>
      <c r="I349" s="5">
        <f t="shared" si="24"/>
        <v>1</v>
      </c>
    </row>
    <row r="350" spans="1:9">
      <c r="A350">
        <v>349</v>
      </c>
      <c r="B350">
        <v>6</v>
      </c>
      <c r="C350">
        <v>5000</v>
      </c>
      <c r="D350">
        <v>4240</v>
      </c>
      <c r="E350" s="5">
        <f t="shared" si="21"/>
        <v>760</v>
      </c>
      <c r="F350" s="5">
        <f t="shared" si="22"/>
        <v>577600</v>
      </c>
      <c r="G350" s="6">
        <f>SQRT(SUM($F$2:F350)/A350)</f>
        <v>1233.2792648000182</v>
      </c>
      <c r="H350" s="5">
        <f t="shared" si="23"/>
        <v>1</v>
      </c>
      <c r="I350" s="5">
        <f t="shared" si="24"/>
        <v>0</v>
      </c>
    </row>
    <row r="351" spans="1:9">
      <c r="A351">
        <v>350</v>
      </c>
      <c r="B351">
        <v>8</v>
      </c>
      <c r="C351">
        <v>5000</v>
      </c>
      <c r="D351">
        <v>5228</v>
      </c>
      <c r="E351" s="5">
        <f t="shared" si="21"/>
        <v>228</v>
      </c>
      <c r="F351" s="5">
        <f t="shared" si="22"/>
        <v>51984</v>
      </c>
      <c r="G351" s="6">
        <f>SQRT(SUM($F$2:F351)/A351)</f>
        <v>1231.5764775278878</v>
      </c>
      <c r="H351" s="5">
        <f t="shared" si="23"/>
        <v>1</v>
      </c>
      <c r="I351" s="5">
        <f t="shared" si="24"/>
        <v>1</v>
      </c>
    </row>
    <row r="352" spans="1:9">
      <c r="A352">
        <v>351</v>
      </c>
      <c r="B352">
        <v>7</v>
      </c>
      <c r="C352">
        <v>5000</v>
      </c>
      <c r="D352">
        <v>4617</v>
      </c>
      <c r="E352" s="5">
        <f t="shared" si="21"/>
        <v>383</v>
      </c>
      <c r="F352" s="5">
        <f t="shared" si="22"/>
        <v>146689</v>
      </c>
      <c r="G352" s="6">
        <f>SQRT(SUM($F$2:F352)/A352)</f>
        <v>1229.9907418640294</v>
      </c>
      <c r="H352" s="5">
        <f t="shared" si="23"/>
        <v>1</v>
      </c>
      <c r="I352" s="5">
        <f t="shared" si="24"/>
        <v>1</v>
      </c>
    </row>
    <row r="353" spans="1:9">
      <c r="A353">
        <v>352</v>
      </c>
      <c r="B353">
        <v>8</v>
      </c>
      <c r="C353">
        <v>5000</v>
      </c>
      <c r="D353">
        <v>5530</v>
      </c>
      <c r="E353" s="5">
        <f t="shared" si="21"/>
        <v>530</v>
      </c>
      <c r="F353" s="5">
        <f t="shared" si="22"/>
        <v>280900</v>
      </c>
      <c r="G353" s="6">
        <f>SQRT(SUM($F$2:F353)/A353)</f>
        <v>1228.567169418395</v>
      </c>
      <c r="H353" s="5">
        <f t="shared" si="23"/>
        <v>1</v>
      </c>
      <c r="I353" s="5">
        <f t="shared" si="24"/>
        <v>0</v>
      </c>
    </row>
    <row r="354" spans="1:9">
      <c r="A354">
        <v>353</v>
      </c>
      <c r="B354">
        <v>7</v>
      </c>
      <c r="C354">
        <v>5000</v>
      </c>
      <c r="D354">
        <v>4635</v>
      </c>
      <c r="E354" s="5">
        <f t="shared" si="21"/>
        <v>365</v>
      </c>
      <c r="F354" s="5">
        <f t="shared" si="22"/>
        <v>133225</v>
      </c>
      <c r="G354" s="6">
        <f>SQRT(SUM($F$2:F354)/A354)</f>
        <v>1226.9795602860602</v>
      </c>
      <c r="H354" s="5">
        <f t="shared" si="23"/>
        <v>1</v>
      </c>
      <c r="I354" s="5">
        <f t="shared" si="24"/>
        <v>1</v>
      </c>
    </row>
    <row r="355" spans="1:9">
      <c r="A355">
        <v>354</v>
      </c>
      <c r="B355">
        <v>7</v>
      </c>
      <c r="C355">
        <v>5000</v>
      </c>
      <c r="D355">
        <v>5557</v>
      </c>
      <c r="E355" s="5">
        <f t="shared" si="21"/>
        <v>557</v>
      </c>
      <c r="F355" s="5">
        <f t="shared" si="22"/>
        <v>310249</v>
      </c>
      <c r="G355" s="6">
        <f>SQRT(SUM($F$2:F355)/A355)</f>
        <v>1225.6029070933644</v>
      </c>
      <c r="H355" s="5">
        <f t="shared" si="23"/>
        <v>1</v>
      </c>
      <c r="I355" s="5">
        <f t="shared" si="24"/>
        <v>0</v>
      </c>
    </row>
    <row r="356" spans="1:9">
      <c r="A356">
        <v>355</v>
      </c>
      <c r="B356">
        <v>6</v>
      </c>
      <c r="C356">
        <v>5000</v>
      </c>
      <c r="D356">
        <v>3889</v>
      </c>
      <c r="E356" s="5">
        <f t="shared" si="21"/>
        <v>1111</v>
      </c>
      <c r="F356" s="5">
        <f t="shared" si="22"/>
        <v>1234321</v>
      </c>
      <c r="G356" s="6">
        <f>SQRT(SUM($F$2:F356)/A356)</f>
        <v>1225.2951366225959</v>
      </c>
      <c r="H356" s="5">
        <f t="shared" si="23"/>
        <v>0</v>
      </c>
      <c r="I356" s="5">
        <f t="shared" si="24"/>
        <v>0</v>
      </c>
    </row>
    <row r="357" spans="1:9">
      <c r="A357">
        <v>356</v>
      </c>
      <c r="B357">
        <v>8</v>
      </c>
      <c r="C357">
        <v>5000</v>
      </c>
      <c r="D357">
        <v>5800</v>
      </c>
      <c r="E357" s="5">
        <f t="shared" si="21"/>
        <v>800</v>
      </c>
      <c r="F357" s="5">
        <f t="shared" si="22"/>
        <v>640000</v>
      </c>
      <c r="G357" s="6">
        <f>SQRT(SUM($F$2:F357)/A357)</f>
        <v>1224.3074182959042</v>
      </c>
      <c r="H357" s="5">
        <f t="shared" si="23"/>
        <v>1</v>
      </c>
      <c r="I357" s="5">
        <f t="shared" si="24"/>
        <v>0</v>
      </c>
    </row>
    <row r="358" spans="1:9">
      <c r="A358">
        <v>357</v>
      </c>
      <c r="B358">
        <v>6</v>
      </c>
      <c r="C358">
        <v>5000</v>
      </c>
      <c r="D358">
        <v>4153</v>
      </c>
      <c r="E358" s="5">
        <f t="shared" si="21"/>
        <v>847</v>
      </c>
      <c r="F358" s="5">
        <f t="shared" si="22"/>
        <v>717409</v>
      </c>
      <c r="G358" s="6">
        <f>SQRT(SUM($F$2:F358)/A358)</f>
        <v>1223.4130634456719</v>
      </c>
      <c r="H358" s="5">
        <f t="shared" si="23"/>
        <v>1</v>
      </c>
      <c r="I358" s="5">
        <f t="shared" si="24"/>
        <v>0</v>
      </c>
    </row>
    <row r="359" spans="1:9">
      <c r="A359">
        <v>358</v>
      </c>
      <c r="B359">
        <v>8</v>
      </c>
      <c r="C359">
        <v>5000</v>
      </c>
      <c r="D359">
        <v>5470</v>
      </c>
      <c r="E359" s="5">
        <f t="shared" si="21"/>
        <v>470</v>
      </c>
      <c r="F359" s="5">
        <f t="shared" si="22"/>
        <v>220900</v>
      </c>
      <c r="G359" s="6">
        <f>SQRT(SUM($F$2:F359)/A359)</f>
        <v>1221.9556973380759</v>
      </c>
      <c r="H359" s="5">
        <f t="shared" si="23"/>
        <v>1</v>
      </c>
      <c r="I359" s="5">
        <f t="shared" si="24"/>
        <v>1</v>
      </c>
    </row>
    <row r="360" spans="1:9">
      <c r="A360">
        <v>359</v>
      </c>
      <c r="B360">
        <v>7</v>
      </c>
      <c r="C360">
        <v>5000</v>
      </c>
      <c r="D360">
        <v>4609</v>
      </c>
      <c r="E360" s="5">
        <f t="shared" si="21"/>
        <v>391</v>
      </c>
      <c r="F360" s="5">
        <f t="shared" si="22"/>
        <v>152881</v>
      </c>
      <c r="G360" s="6">
        <f>SQRT(SUM($F$2:F360)/A360)</f>
        <v>1220.4271034204505</v>
      </c>
      <c r="H360" s="5">
        <f t="shared" si="23"/>
        <v>1</v>
      </c>
      <c r="I360" s="5">
        <f t="shared" si="24"/>
        <v>1</v>
      </c>
    </row>
    <row r="361" spans="1:9">
      <c r="A361">
        <v>360</v>
      </c>
      <c r="B361">
        <v>8</v>
      </c>
      <c r="C361">
        <v>5000</v>
      </c>
      <c r="D361">
        <v>5347</v>
      </c>
      <c r="E361" s="5">
        <f t="shared" si="21"/>
        <v>347</v>
      </c>
      <c r="F361" s="5">
        <f t="shared" si="22"/>
        <v>120409</v>
      </c>
      <c r="G361" s="6">
        <f>SQRT(SUM($F$2:F361)/A361)</f>
        <v>1218.8680996910389</v>
      </c>
      <c r="H361" s="5">
        <f t="shared" si="23"/>
        <v>1</v>
      </c>
      <c r="I361" s="5">
        <f t="shared" si="24"/>
        <v>1</v>
      </c>
    </row>
    <row r="362" spans="1:9">
      <c r="A362">
        <v>361</v>
      </c>
      <c r="B362">
        <v>7</v>
      </c>
      <c r="C362">
        <v>5000</v>
      </c>
      <c r="D362">
        <v>4608</v>
      </c>
      <c r="E362" s="5">
        <f t="shared" si="21"/>
        <v>392</v>
      </c>
      <c r="F362" s="5">
        <f t="shared" si="22"/>
        <v>153664</v>
      </c>
      <c r="G362" s="6">
        <f>SQRT(SUM($F$2:F362)/A362)</f>
        <v>1217.353589460701</v>
      </c>
      <c r="H362" s="5">
        <f t="shared" si="23"/>
        <v>1</v>
      </c>
      <c r="I362" s="5">
        <f t="shared" si="24"/>
        <v>1</v>
      </c>
    </row>
    <row r="363" spans="1:9">
      <c r="A363">
        <v>362</v>
      </c>
      <c r="B363">
        <v>8</v>
      </c>
      <c r="C363">
        <v>5000</v>
      </c>
      <c r="D363">
        <v>5179</v>
      </c>
      <c r="E363" s="5">
        <f t="shared" si="21"/>
        <v>179</v>
      </c>
      <c r="F363" s="5">
        <f t="shared" si="22"/>
        <v>32041</v>
      </c>
      <c r="G363" s="6">
        <f>SQRT(SUM($F$2:F363)/A363)</f>
        <v>1215.7074026879479</v>
      </c>
      <c r="H363" s="5">
        <f t="shared" si="23"/>
        <v>1</v>
      </c>
      <c r="I363" s="5">
        <f t="shared" si="24"/>
        <v>1</v>
      </c>
    </row>
    <row r="364" spans="1:9">
      <c r="A364">
        <v>363</v>
      </c>
      <c r="B364">
        <v>7</v>
      </c>
      <c r="C364">
        <v>5000</v>
      </c>
      <c r="D364">
        <v>5570</v>
      </c>
      <c r="E364" s="5">
        <f t="shared" si="21"/>
        <v>570</v>
      </c>
      <c r="F364" s="5">
        <f t="shared" si="22"/>
        <v>324900</v>
      </c>
      <c r="G364" s="6">
        <f>SQRT(SUM($F$2:F364)/A364)</f>
        <v>1214.4002873234342</v>
      </c>
      <c r="H364" s="5">
        <f t="shared" si="23"/>
        <v>1</v>
      </c>
      <c r="I364" s="5">
        <f t="shared" si="24"/>
        <v>0</v>
      </c>
    </row>
    <row r="365" spans="1:9">
      <c r="A365">
        <v>364</v>
      </c>
      <c r="B365">
        <v>7</v>
      </c>
      <c r="C365">
        <v>5000</v>
      </c>
      <c r="D365">
        <v>5603</v>
      </c>
      <c r="E365" s="5">
        <f t="shared" si="21"/>
        <v>603</v>
      </c>
      <c r="F365" s="5">
        <f t="shared" si="22"/>
        <v>363609</v>
      </c>
      <c r="G365" s="6">
        <f>SQRT(SUM($F$2:F365)/A365)</f>
        <v>1213.1427875880577</v>
      </c>
      <c r="H365" s="5">
        <f t="shared" si="23"/>
        <v>1</v>
      </c>
      <c r="I365" s="5">
        <f t="shared" si="24"/>
        <v>0</v>
      </c>
    </row>
    <row r="366" spans="1:9">
      <c r="A366">
        <v>365</v>
      </c>
      <c r="B366">
        <v>6</v>
      </c>
      <c r="C366">
        <v>5000</v>
      </c>
      <c r="D366">
        <v>4452</v>
      </c>
      <c r="E366" s="5">
        <f t="shared" si="21"/>
        <v>548</v>
      </c>
      <c r="F366" s="5">
        <f t="shared" si="22"/>
        <v>300304</v>
      </c>
      <c r="G366" s="6">
        <f>SQRT(SUM($F$2:F366)/A366)</f>
        <v>1211.8193251109378</v>
      </c>
      <c r="H366" s="5">
        <f t="shared" si="23"/>
        <v>1</v>
      </c>
      <c r="I366" s="5">
        <f t="shared" si="24"/>
        <v>0</v>
      </c>
    </row>
    <row r="367" spans="1:9">
      <c r="A367">
        <v>366</v>
      </c>
      <c r="B367">
        <v>8</v>
      </c>
      <c r="C367">
        <v>5000</v>
      </c>
      <c r="D367">
        <v>5366</v>
      </c>
      <c r="E367" s="5">
        <f t="shared" si="21"/>
        <v>366</v>
      </c>
      <c r="F367" s="5">
        <f t="shared" si="22"/>
        <v>133956</v>
      </c>
      <c r="G367" s="6">
        <f>SQRT(SUM($F$2:F367)/A367)</f>
        <v>1210.3139117713729</v>
      </c>
      <c r="H367" s="5">
        <f t="shared" si="23"/>
        <v>1</v>
      </c>
      <c r="I367" s="5">
        <f t="shared" si="24"/>
        <v>1</v>
      </c>
    </row>
    <row r="368" spans="1:9">
      <c r="A368">
        <v>367</v>
      </c>
      <c r="B368">
        <v>7</v>
      </c>
      <c r="C368">
        <v>5000</v>
      </c>
      <c r="D368">
        <v>5058</v>
      </c>
      <c r="E368" s="5">
        <f t="shared" si="21"/>
        <v>58</v>
      </c>
      <c r="F368" s="5">
        <f t="shared" si="22"/>
        <v>3364</v>
      </c>
      <c r="G368" s="6">
        <f>SQRT(SUM($F$2:F368)/A368)</f>
        <v>1208.6676498270397</v>
      </c>
      <c r="H368" s="5">
        <f t="shared" si="23"/>
        <v>1</v>
      </c>
      <c r="I368" s="5">
        <f t="shared" si="24"/>
        <v>1</v>
      </c>
    </row>
    <row r="369" spans="1:9">
      <c r="A369">
        <v>368</v>
      </c>
      <c r="B369">
        <v>7</v>
      </c>
      <c r="C369">
        <v>5000</v>
      </c>
      <c r="D369">
        <v>4821</v>
      </c>
      <c r="E369" s="5">
        <f t="shared" si="21"/>
        <v>179</v>
      </c>
      <c r="F369" s="5">
        <f t="shared" si="22"/>
        <v>32041</v>
      </c>
      <c r="G369" s="6">
        <f>SQRT(SUM($F$2:F369)/A369)</f>
        <v>1207.060387839525</v>
      </c>
      <c r="H369" s="5">
        <f t="shared" si="23"/>
        <v>1</v>
      </c>
      <c r="I369" s="5">
        <f t="shared" si="24"/>
        <v>1</v>
      </c>
    </row>
    <row r="370" spans="1:9">
      <c r="A370">
        <v>369</v>
      </c>
      <c r="B370">
        <v>7</v>
      </c>
      <c r="C370">
        <v>5000</v>
      </c>
      <c r="D370">
        <v>5267</v>
      </c>
      <c r="E370" s="5">
        <f t="shared" si="21"/>
        <v>267</v>
      </c>
      <c r="F370" s="5">
        <f t="shared" si="22"/>
        <v>71289</v>
      </c>
      <c r="G370" s="6">
        <f>SQRT(SUM($F$2:F370)/A370)</f>
        <v>1205.5038281460565</v>
      </c>
      <c r="H370" s="5">
        <f t="shared" si="23"/>
        <v>1</v>
      </c>
      <c r="I370" s="5">
        <f t="shared" si="24"/>
        <v>1</v>
      </c>
    </row>
    <row r="371" spans="1:9">
      <c r="A371">
        <v>370</v>
      </c>
      <c r="B371">
        <v>7</v>
      </c>
      <c r="C371">
        <v>5000</v>
      </c>
      <c r="D371">
        <v>4848</v>
      </c>
      <c r="E371" s="5">
        <f t="shared" si="21"/>
        <v>152</v>
      </c>
      <c r="F371" s="5">
        <f t="shared" si="22"/>
        <v>23104</v>
      </c>
      <c r="G371" s="6">
        <f>SQRT(SUM($F$2:F371)/A371)</f>
        <v>1203.8996007344833</v>
      </c>
      <c r="H371" s="5">
        <f t="shared" si="23"/>
        <v>1</v>
      </c>
      <c r="I371" s="5">
        <f t="shared" si="24"/>
        <v>1</v>
      </c>
    </row>
    <row r="372" spans="1:9">
      <c r="A372">
        <v>371</v>
      </c>
      <c r="B372">
        <v>7</v>
      </c>
      <c r="C372">
        <v>5000</v>
      </c>
      <c r="D372">
        <v>5524</v>
      </c>
      <c r="E372" s="5">
        <f t="shared" si="21"/>
        <v>524</v>
      </c>
      <c r="F372" s="5">
        <f t="shared" si="22"/>
        <v>274576</v>
      </c>
      <c r="G372" s="6">
        <f>SQRT(SUM($F$2:F372)/A372)</f>
        <v>1202.5837503267144</v>
      </c>
      <c r="H372" s="5">
        <f t="shared" si="23"/>
        <v>1</v>
      </c>
      <c r="I372" s="5">
        <f t="shared" si="24"/>
        <v>0</v>
      </c>
    </row>
    <row r="373" spans="1:9">
      <c r="A373">
        <v>372</v>
      </c>
      <c r="B373">
        <v>6</v>
      </c>
      <c r="C373">
        <v>5000</v>
      </c>
      <c r="D373">
        <v>4850</v>
      </c>
      <c r="E373" s="5">
        <f t="shared" si="21"/>
        <v>150</v>
      </c>
      <c r="F373" s="5">
        <f t="shared" si="22"/>
        <v>22500</v>
      </c>
      <c r="G373" s="6">
        <f>SQRT(SUM($F$2:F373)/A373)</f>
        <v>1200.9914676534318</v>
      </c>
      <c r="H373" s="5">
        <f t="shared" si="23"/>
        <v>1</v>
      </c>
      <c r="I373" s="5">
        <f t="shared" si="24"/>
        <v>1</v>
      </c>
    </row>
    <row r="374" spans="1:9">
      <c r="A374">
        <v>373</v>
      </c>
      <c r="B374">
        <v>7</v>
      </c>
      <c r="C374">
        <v>5000</v>
      </c>
      <c r="D374">
        <v>4818</v>
      </c>
      <c r="E374" s="5">
        <f t="shared" si="21"/>
        <v>182</v>
      </c>
      <c r="F374" s="5">
        <f t="shared" si="22"/>
        <v>33124</v>
      </c>
      <c r="G374" s="6">
        <f>SQRT(SUM($F$2:F374)/A374)</f>
        <v>1199.4174993727615</v>
      </c>
      <c r="H374" s="5">
        <f t="shared" si="23"/>
        <v>1</v>
      </c>
      <c r="I374" s="5">
        <f t="shared" si="24"/>
        <v>1</v>
      </c>
    </row>
    <row r="375" spans="1:9">
      <c r="A375">
        <v>374</v>
      </c>
      <c r="B375">
        <v>7</v>
      </c>
      <c r="C375">
        <v>5000</v>
      </c>
      <c r="D375">
        <v>5207</v>
      </c>
      <c r="E375" s="5">
        <f t="shared" si="21"/>
        <v>207</v>
      </c>
      <c r="F375" s="5">
        <f t="shared" si="22"/>
        <v>42849</v>
      </c>
      <c r="G375" s="6">
        <f>SQRT(SUM($F$2:F375)/A375)</f>
        <v>1197.8607502566178</v>
      </c>
      <c r="H375" s="5">
        <f t="shared" si="23"/>
        <v>1</v>
      </c>
      <c r="I375" s="5">
        <f t="shared" si="24"/>
        <v>1</v>
      </c>
    </row>
    <row r="376" spans="1:9">
      <c r="A376">
        <v>375</v>
      </c>
      <c r="B376">
        <v>7</v>
      </c>
      <c r="C376">
        <v>5000</v>
      </c>
      <c r="D376">
        <v>5798</v>
      </c>
      <c r="E376" s="5">
        <f t="shared" si="21"/>
        <v>798</v>
      </c>
      <c r="F376" s="5">
        <f t="shared" si="22"/>
        <v>636804</v>
      </c>
      <c r="G376" s="6">
        <f>SQRT(SUM($F$2:F376)/A376)</f>
        <v>1196.9720965837089</v>
      </c>
      <c r="H376" s="5">
        <f t="shared" si="23"/>
        <v>1</v>
      </c>
      <c r="I376" s="5">
        <f t="shared" si="24"/>
        <v>0</v>
      </c>
    </row>
    <row r="377" spans="1:9">
      <c r="A377">
        <v>376</v>
      </c>
      <c r="B377">
        <v>6</v>
      </c>
      <c r="C377">
        <v>5000</v>
      </c>
      <c r="D377">
        <v>4250</v>
      </c>
      <c r="E377" s="5">
        <f t="shared" si="21"/>
        <v>750</v>
      </c>
      <c r="F377" s="5">
        <f t="shared" si="22"/>
        <v>562500</v>
      </c>
      <c r="G377" s="6">
        <f>SQRT(SUM($F$2:F377)/A377)</f>
        <v>1196.0049021905511</v>
      </c>
      <c r="H377" s="5">
        <f t="shared" si="23"/>
        <v>1</v>
      </c>
      <c r="I377" s="5">
        <f t="shared" si="24"/>
        <v>0</v>
      </c>
    </row>
    <row r="378" spans="1:9">
      <c r="A378">
        <v>377</v>
      </c>
      <c r="B378">
        <v>8</v>
      </c>
      <c r="C378">
        <v>5000</v>
      </c>
      <c r="D378">
        <v>5547</v>
      </c>
      <c r="E378" s="5">
        <f t="shared" si="21"/>
        <v>547</v>
      </c>
      <c r="F378" s="5">
        <f t="shared" si="22"/>
        <v>299209</v>
      </c>
      <c r="G378" s="6">
        <f>SQRT(SUM($F$2:F378)/A378)</f>
        <v>1194.7498256491165</v>
      </c>
      <c r="H378" s="5">
        <f t="shared" si="23"/>
        <v>1</v>
      </c>
      <c r="I378" s="5">
        <f t="shared" si="24"/>
        <v>0</v>
      </c>
    </row>
    <row r="379" spans="1:9">
      <c r="A379">
        <v>378</v>
      </c>
      <c r="B379">
        <v>6</v>
      </c>
      <c r="C379">
        <v>5000</v>
      </c>
      <c r="D379">
        <v>4457</v>
      </c>
      <c r="E379" s="5">
        <f t="shared" si="21"/>
        <v>543</v>
      </c>
      <c r="F379" s="5">
        <f t="shared" si="22"/>
        <v>294849</v>
      </c>
      <c r="G379" s="6">
        <f>SQRT(SUM($F$2:F379)/A379)</f>
        <v>1193.4952481712726</v>
      </c>
      <c r="H379" s="5">
        <f t="shared" si="23"/>
        <v>1</v>
      </c>
      <c r="I379" s="5">
        <f t="shared" si="24"/>
        <v>0</v>
      </c>
    </row>
    <row r="380" spans="1:9">
      <c r="A380">
        <v>379</v>
      </c>
      <c r="B380">
        <v>7</v>
      </c>
      <c r="C380">
        <v>5000</v>
      </c>
      <c r="D380">
        <v>5571</v>
      </c>
      <c r="E380" s="5">
        <f t="shared" si="21"/>
        <v>571</v>
      </c>
      <c r="F380" s="5">
        <f t="shared" si="22"/>
        <v>326041</v>
      </c>
      <c r="G380" s="6">
        <f>SQRT(SUM($F$2:F380)/A380)</f>
        <v>1192.2804959415544</v>
      </c>
      <c r="H380" s="5">
        <f t="shared" si="23"/>
        <v>1</v>
      </c>
      <c r="I380" s="5">
        <f t="shared" si="24"/>
        <v>0</v>
      </c>
    </row>
    <row r="381" spans="1:9">
      <c r="A381">
        <v>380</v>
      </c>
      <c r="B381">
        <v>6</v>
      </c>
      <c r="C381">
        <v>5000</v>
      </c>
      <c r="D381">
        <v>4836</v>
      </c>
      <c r="E381" s="5">
        <f t="shared" si="21"/>
        <v>164</v>
      </c>
      <c r="F381" s="5">
        <f t="shared" si="22"/>
        <v>26896</v>
      </c>
      <c r="G381" s="6">
        <f>SQRT(SUM($F$2:F381)/A381)</f>
        <v>1190.7403932892032</v>
      </c>
      <c r="H381" s="5">
        <f t="shared" si="23"/>
        <v>1</v>
      </c>
      <c r="I381" s="5">
        <f t="shared" si="24"/>
        <v>1</v>
      </c>
    </row>
    <row r="382" spans="1:9">
      <c r="A382">
        <v>381</v>
      </c>
      <c r="B382">
        <v>7</v>
      </c>
      <c r="C382">
        <v>5000</v>
      </c>
      <c r="D382">
        <v>5512</v>
      </c>
      <c r="E382" s="5">
        <f t="shared" si="21"/>
        <v>512</v>
      </c>
      <c r="F382" s="5">
        <f t="shared" si="22"/>
        <v>262144</v>
      </c>
      <c r="G382" s="6">
        <f>SQRT(SUM($F$2:F382)/A382)</f>
        <v>1189.4659733835476</v>
      </c>
      <c r="H382" s="5">
        <f t="shared" si="23"/>
        <v>1</v>
      </c>
      <c r="I382" s="5">
        <f t="shared" si="24"/>
        <v>0</v>
      </c>
    </row>
    <row r="383" spans="1:9">
      <c r="A383">
        <v>382</v>
      </c>
      <c r="B383">
        <v>6</v>
      </c>
      <c r="C383">
        <v>5000</v>
      </c>
      <c r="D383">
        <v>4299</v>
      </c>
      <c r="E383" s="5">
        <f t="shared" si="21"/>
        <v>701</v>
      </c>
      <c r="F383" s="5">
        <f t="shared" si="22"/>
        <v>491401</v>
      </c>
      <c r="G383" s="6">
        <f>SQRT(SUM($F$2:F383)/A383)</f>
        <v>1188.4493890199028</v>
      </c>
      <c r="H383" s="5">
        <f t="shared" si="23"/>
        <v>1</v>
      </c>
      <c r="I383" s="5">
        <f t="shared" si="24"/>
        <v>0</v>
      </c>
    </row>
    <row r="384" spans="1:9">
      <c r="A384">
        <v>383</v>
      </c>
      <c r="B384">
        <v>7</v>
      </c>
      <c r="C384">
        <v>5000</v>
      </c>
      <c r="D384">
        <v>3858</v>
      </c>
      <c r="E384" s="5">
        <f t="shared" si="21"/>
        <v>1142</v>
      </c>
      <c r="F384" s="5">
        <f t="shared" si="22"/>
        <v>1304164</v>
      </c>
      <c r="G384" s="6">
        <f>SQRT(SUM($F$2:F384)/A384)</f>
        <v>1188.3304753046853</v>
      </c>
      <c r="H384" s="5">
        <f t="shared" si="23"/>
        <v>0</v>
      </c>
      <c r="I384" s="5">
        <f t="shared" si="24"/>
        <v>0</v>
      </c>
    </row>
    <row r="385" spans="1:9">
      <c r="A385">
        <v>384</v>
      </c>
      <c r="B385">
        <v>8</v>
      </c>
      <c r="C385">
        <v>5000</v>
      </c>
      <c r="D385">
        <v>1237</v>
      </c>
      <c r="E385" s="5">
        <f t="shared" si="21"/>
        <v>3763</v>
      </c>
      <c r="F385" s="5">
        <f t="shared" si="22"/>
        <v>14160169</v>
      </c>
      <c r="G385" s="6">
        <f>SQRT(SUM($F$2:F385)/A385)</f>
        <v>1202.2176751910058</v>
      </c>
      <c r="H385" s="5">
        <f t="shared" si="23"/>
        <v>0</v>
      </c>
      <c r="I385" s="5">
        <f t="shared" si="24"/>
        <v>0</v>
      </c>
    </row>
    <row r="386" spans="1:9">
      <c r="A386">
        <v>385</v>
      </c>
      <c r="B386">
        <v>12</v>
      </c>
      <c r="C386">
        <v>5000</v>
      </c>
      <c r="D386">
        <v>4156</v>
      </c>
      <c r="E386" s="5">
        <f t="shared" si="21"/>
        <v>844</v>
      </c>
      <c r="F386" s="5">
        <f t="shared" si="22"/>
        <v>712336</v>
      </c>
      <c r="G386" s="6">
        <f>SQRT(SUM($F$2:F386)/A386)</f>
        <v>1201.4255969202025</v>
      </c>
      <c r="H386" s="5">
        <f t="shared" si="23"/>
        <v>1</v>
      </c>
      <c r="I386" s="5">
        <f t="shared" si="24"/>
        <v>0</v>
      </c>
    </row>
    <row r="387" spans="1:9">
      <c r="A387">
        <v>386</v>
      </c>
      <c r="B387">
        <v>9</v>
      </c>
      <c r="C387">
        <v>5000</v>
      </c>
      <c r="D387">
        <v>4994</v>
      </c>
      <c r="E387" s="5">
        <f t="shared" ref="E387:E450" si="25">ABS(C387-D387)</f>
        <v>6</v>
      </c>
      <c r="F387" s="5">
        <f t="shared" ref="F387:F450" si="26">POWER(E387,2)</f>
        <v>36</v>
      </c>
      <c r="G387" s="6">
        <f>SQRT(SUM($F$2:F387)/A387)</f>
        <v>1199.8683757691861</v>
      </c>
      <c r="H387" s="5">
        <f t="shared" ref="H387:H450" si="27">IF(ABS(E387)/C387&gt;0.2,0,1)</f>
        <v>1</v>
      </c>
      <c r="I387" s="5">
        <f t="shared" ref="I387:I450" si="28">IF(ABS(E387)/C387&gt;0.1,0,1)</f>
        <v>1</v>
      </c>
    </row>
    <row r="388" spans="1:9">
      <c r="A388">
        <v>387</v>
      </c>
      <c r="B388">
        <v>8</v>
      </c>
      <c r="C388">
        <v>5000</v>
      </c>
      <c r="D388">
        <v>4419</v>
      </c>
      <c r="E388" s="5">
        <f t="shared" si="25"/>
        <v>581</v>
      </c>
      <c r="F388" s="5">
        <f t="shared" si="26"/>
        <v>337561</v>
      </c>
      <c r="G388" s="6">
        <f>SQRT(SUM($F$2:F388)/A388)</f>
        <v>1198.6810484086054</v>
      </c>
      <c r="H388" s="5">
        <f t="shared" si="27"/>
        <v>1</v>
      </c>
      <c r="I388" s="5">
        <f t="shared" si="28"/>
        <v>0</v>
      </c>
    </row>
    <row r="389" spans="1:9">
      <c r="A389">
        <v>388</v>
      </c>
      <c r="B389">
        <v>9</v>
      </c>
      <c r="C389">
        <v>5000</v>
      </c>
      <c r="D389">
        <v>5227</v>
      </c>
      <c r="E389" s="5">
        <f t="shared" si="25"/>
        <v>227</v>
      </c>
      <c r="F389" s="5">
        <f t="shared" si="26"/>
        <v>51529</v>
      </c>
      <c r="G389" s="6">
        <f>SQRT(SUM($F$2:F389)/A389)</f>
        <v>1197.1908270149165</v>
      </c>
      <c r="H389" s="5">
        <f t="shared" si="27"/>
        <v>1</v>
      </c>
      <c r="I389" s="5">
        <f t="shared" si="28"/>
        <v>1</v>
      </c>
    </row>
    <row r="390" spans="1:9">
      <c r="A390">
        <v>389</v>
      </c>
      <c r="B390">
        <v>8</v>
      </c>
      <c r="C390">
        <v>5000</v>
      </c>
      <c r="D390">
        <v>4669</v>
      </c>
      <c r="E390" s="5">
        <f t="shared" si="25"/>
        <v>331</v>
      </c>
      <c r="F390" s="5">
        <f t="shared" si="26"/>
        <v>109561</v>
      </c>
      <c r="G390" s="6">
        <f>SQRT(SUM($F$2:F390)/A390)</f>
        <v>1195.7688054091882</v>
      </c>
      <c r="H390" s="5">
        <f t="shared" si="27"/>
        <v>1</v>
      </c>
      <c r="I390" s="5">
        <f t="shared" si="28"/>
        <v>1</v>
      </c>
    </row>
    <row r="391" spans="1:9">
      <c r="A391">
        <v>390</v>
      </c>
      <c r="B391">
        <v>9</v>
      </c>
      <c r="C391">
        <v>5000</v>
      </c>
      <c r="D391">
        <v>4862</v>
      </c>
      <c r="E391" s="5">
        <f t="shared" si="25"/>
        <v>138</v>
      </c>
      <c r="F391" s="5">
        <f t="shared" si="26"/>
        <v>19044</v>
      </c>
      <c r="G391" s="6">
        <f>SQRT(SUM($F$2:F391)/A391)</f>
        <v>1194.2552287019937</v>
      </c>
      <c r="H391" s="5">
        <f t="shared" si="27"/>
        <v>1</v>
      </c>
      <c r="I391" s="5">
        <f t="shared" si="28"/>
        <v>1</v>
      </c>
    </row>
    <row r="392" spans="1:9">
      <c r="A392">
        <v>391</v>
      </c>
      <c r="B392">
        <v>9</v>
      </c>
      <c r="C392">
        <v>5000</v>
      </c>
      <c r="D392">
        <v>5353</v>
      </c>
      <c r="E392" s="5">
        <f t="shared" si="25"/>
        <v>353</v>
      </c>
      <c r="F392" s="5">
        <f t="shared" si="26"/>
        <v>124609</v>
      </c>
      <c r="G392" s="6">
        <f>SQRT(SUM($F$2:F392)/A392)</f>
        <v>1192.8606614122025</v>
      </c>
      <c r="H392" s="5">
        <f t="shared" si="27"/>
        <v>1</v>
      </c>
      <c r="I392" s="5">
        <f t="shared" si="28"/>
        <v>1</v>
      </c>
    </row>
    <row r="393" spans="1:9">
      <c r="A393">
        <v>392</v>
      </c>
      <c r="B393">
        <v>8</v>
      </c>
      <c r="C393">
        <v>5000</v>
      </c>
      <c r="D393">
        <v>5035</v>
      </c>
      <c r="E393" s="5">
        <f t="shared" si="25"/>
        <v>35</v>
      </c>
      <c r="F393" s="5">
        <f t="shared" si="26"/>
        <v>1225</v>
      </c>
      <c r="G393" s="6">
        <f>SQRT(SUM($F$2:F393)/A393)</f>
        <v>1191.339495428296</v>
      </c>
      <c r="H393" s="5">
        <f t="shared" si="27"/>
        <v>1</v>
      </c>
      <c r="I393" s="5">
        <f t="shared" si="28"/>
        <v>1</v>
      </c>
    </row>
    <row r="394" spans="1:9">
      <c r="A394">
        <v>393</v>
      </c>
      <c r="B394">
        <v>9</v>
      </c>
      <c r="C394">
        <v>5000</v>
      </c>
      <c r="D394">
        <v>5190</v>
      </c>
      <c r="E394" s="5">
        <f t="shared" si="25"/>
        <v>190</v>
      </c>
      <c r="F394" s="5">
        <f t="shared" si="26"/>
        <v>36100</v>
      </c>
      <c r="G394" s="6">
        <f>SQRT(SUM($F$2:F394)/A394)</f>
        <v>1189.8614316226508</v>
      </c>
      <c r="H394" s="5">
        <f t="shared" si="27"/>
        <v>1</v>
      </c>
      <c r="I394" s="5">
        <f t="shared" si="28"/>
        <v>1</v>
      </c>
    </row>
    <row r="395" spans="1:9">
      <c r="A395">
        <v>394</v>
      </c>
      <c r="B395">
        <v>8</v>
      </c>
      <c r="C395">
        <v>5000</v>
      </c>
      <c r="D395">
        <v>4709</v>
      </c>
      <c r="E395" s="5">
        <f t="shared" si="25"/>
        <v>291</v>
      </c>
      <c r="F395" s="5">
        <f t="shared" si="26"/>
        <v>84681</v>
      </c>
      <c r="G395" s="6">
        <f>SQRT(SUM($F$2:F395)/A395)</f>
        <v>1188.4409229789958</v>
      </c>
      <c r="H395" s="5">
        <f t="shared" si="27"/>
        <v>1</v>
      </c>
      <c r="I395" s="5">
        <f t="shared" si="28"/>
        <v>1</v>
      </c>
    </row>
    <row r="396" spans="1:9">
      <c r="A396">
        <v>395</v>
      </c>
      <c r="B396">
        <v>9</v>
      </c>
      <c r="C396">
        <v>5000</v>
      </c>
      <c r="D396">
        <v>6311</v>
      </c>
      <c r="E396" s="5">
        <f t="shared" si="25"/>
        <v>1311</v>
      </c>
      <c r="F396" s="5">
        <f t="shared" si="26"/>
        <v>1718721</v>
      </c>
      <c r="G396" s="6">
        <f>SQRT(SUM($F$2:F396)/A396)</f>
        <v>1188.7671531060225</v>
      </c>
      <c r="H396" s="5">
        <f t="shared" si="27"/>
        <v>0</v>
      </c>
      <c r="I396" s="5">
        <f t="shared" si="28"/>
        <v>0</v>
      </c>
    </row>
    <row r="397" spans="1:9">
      <c r="A397">
        <v>396</v>
      </c>
      <c r="B397">
        <v>7</v>
      </c>
      <c r="C397">
        <v>5000</v>
      </c>
      <c r="D397">
        <v>4944</v>
      </c>
      <c r="E397" s="5">
        <f t="shared" si="25"/>
        <v>56</v>
      </c>
      <c r="F397" s="5">
        <f t="shared" si="26"/>
        <v>3136</v>
      </c>
      <c r="G397" s="6">
        <f>SQRT(SUM($F$2:F397)/A397)</f>
        <v>1187.268570750068</v>
      </c>
      <c r="H397" s="5">
        <f t="shared" si="27"/>
        <v>1</v>
      </c>
      <c r="I397" s="5">
        <f t="shared" si="28"/>
        <v>1</v>
      </c>
    </row>
    <row r="398" spans="1:9">
      <c r="A398">
        <v>397</v>
      </c>
      <c r="B398">
        <v>8</v>
      </c>
      <c r="C398">
        <v>5000</v>
      </c>
      <c r="D398">
        <v>6303</v>
      </c>
      <c r="E398" s="5">
        <f t="shared" si="25"/>
        <v>1303</v>
      </c>
      <c r="F398" s="5">
        <f t="shared" si="26"/>
        <v>1697809</v>
      </c>
      <c r="G398" s="6">
        <f>SQRT(SUM($F$2:F398)/A398)</f>
        <v>1187.5742543402448</v>
      </c>
      <c r="H398" s="5">
        <f t="shared" si="27"/>
        <v>0</v>
      </c>
      <c r="I398" s="5">
        <f t="shared" si="28"/>
        <v>0</v>
      </c>
    </row>
    <row r="399" spans="1:9">
      <c r="A399">
        <v>398</v>
      </c>
      <c r="B399">
        <v>7</v>
      </c>
      <c r="C399">
        <v>5000</v>
      </c>
      <c r="D399">
        <v>5431</v>
      </c>
      <c r="E399" s="5">
        <f t="shared" si="25"/>
        <v>431</v>
      </c>
      <c r="F399" s="5">
        <f t="shared" si="26"/>
        <v>185761</v>
      </c>
      <c r="G399" s="6">
        <f>SQRT(SUM($F$2:F399)/A399)</f>
        <v>1186.2781277939891</v>
      </c>
      <c r="H399" s="5">
        <f t="shared" si="27"/>
        <v>1</v>
      </c>
      <c r="I399" s="5">
        <f t="shared" si="28"/>
        <v>1</v>
      </c>
    </row>
    <row r="400" spans="1:9">
      <c r="A400">
        <v>399</v>
      </c>
      <c r="B400">
        <v>7</v>
      </c>
      <c r="C400">
        <v>5000</v>
      </c>
      <c r="D400">
        <v>5528</v>
      </c>
      <c r="E400" s="5">
        <f t="shared" si="25"/>
        <v>528</v>
      </c>
      <c r="F400" s="5">
        <f t="shared" si="26"/>
        <v>278784</v>
      </c>
      <c r="G400" s="6">
        <f>SQRT(SUM($F$2:F400)/A400)</f>
        <v>1185.0854595200781</v>
      </c>
      <c r="H400" s="5">
        <f t="shared" si="27"/>
        <v>1</v>
      </c>
      <c r="I400" s="5">
        <f t="shared" si="28"/>
        <v>0</v>
      </c>
    </row>
    <row r="401" spans="1:9">
      <c r="A401">
        <v>400</v>
      </c>
      <c r="B401">
        <v>7</v>
      </c>
      <c r="C401">
        <v>5000</v>
      </c>
      <c r="D401">
        <v>4813</v>
      </c>
      <c r="E401" s="5">
        <f t="shared" si="25"/>
        <v>187</v>
      </c>
      <c r="F401" s="5">
        <f t="shared" si="26"/>
        <v>34969</v>
      </c>
      <c r="G401" s="6">
        <f>SQRT(SUM($F$2:F401)/A401)</f>
        <v>1183.6401057753999</v>
      </c>
      <c r="H401" s="5">
        <f t="shared" si="27"/>
        <v>1</v>
      </c>
      <c r="I401" s="5">
        <f t="shared" si="28"/>
        <v>1</v>
      </c>
    </row>
    <row r="402" spans="1:9">
      <c r="A402">
        <v>401</v>
      </c>
      <c r="B402">
        <v>1</v>
      </c>
      <c r="C402">
        <v>6000</v>
      </c>
      <c r="D402">
        <v>950</v>
      </c>
      <c r="E402" s="5">
        <f t="shared" si="25"/>
        <v>5050</v>
      </c>
      <c r="F402" s="5">
        <f t="shared" si="26"/>
        <v>25502500</v>
      </c>
      <c r="G402" s="6">
        <f>SQRT(SUM($F$2:F402)/A402)</f>
        <v>1208.7627482455498</v>
      </c>
      <c r="H402" s="5">
        <f t="shared" si="27"/>
        <v>0</v>
      </c>
      <c r="I402" s="5">
        <f t="shared" si="28"/>
        <v>0</v>
      </c>
    </row>
    <row r="403" spans="1:9">
      <c r="A403">
        <v>402</v>
      </c>
      <c r="B403">
        <v>6</v>
      </c>
      <c r="C403">
        <v>6000</v>
      </c>
      <c r="D403">
        <v>4459</v>
      </c>
      <c r="E403" s="5">
        <f t="shared" si="25"/>
        <v>1541</v>
      </c>
      <c r="F403" s="5">
        <f t="shared" si="26"/>
        <v>2374681</v>
      </c>
      <c r="G403" s="6">
        <f>SQRT(SUM($F$2:F403)/A403)</f>
        <v>1209.7024232166846</v>
      </c>
      <c r="H403" s="5">
        <f t="shared" si="27"/>
        <v>0</v>
      </c>
      <c r="I403" s="5">
        <f t="shared" si="28"/>
        <v>0</v>
      </c>
    </row>
    <row r="404" spans="1:9">
      <c r="A404">
        <v>403</v>
      </c>
      <c r="B404">
        <v>3</v>
      </c>
      <c r="C404">
        <v>6000</v>
      </c>
      <c r="D404">
        <v>2371</v>
      </c>
      <c r="E404" s="5">
        <f t="shared" si="25"/>
        <v>3629</v>
      </c>
      <c r="F404" s="5">
        <f t="shared" si="26"/>
        <v>13169641</v>
      </c>
      <c r="G404" s="6">
        <f>SQRT(SUM($F$2:F404)/A404)</f>
        <v>1221.6496007031897</v>
      </c>
      <c r="H404" s="5">
        <f t="shared" si="27"/>
        <v>0</v>
      </c>
      <c r="I404" s="5">
        <f t="shared" si="28"/>
        <v>0</v>
      </c>
    </row>
    <row r="405" spans="1:9">
      <c r="A405">
        <v>404</v>
      </c>
      <c r="B405">
        <v>6</v>
      </c>
      <c r="C405">
        <v>6000</v>
      </c>
      <c r="D405">
        <v>4175</v>
      </c>
      <c r="E405" s="5">
        <f t="shared" si="25"/>
        <v>1825</v>
      </c>
      <c r="F405" s="5">
        <f t="shared" si="26"/>
        <v>3330625</v>
      </c>
      <c r="G405" s="6">
        <f>SQRT(SUM($F$2:F405)/A405)</f>
        <v>1223.5104168330606</v>
      </c>
      <c r="H405" s="5">
        <f t="shared" si="27"/>
        <v>0</v>
      </c>
      <c r="I405" s="5">
        <f t="shared" si="28"/>
        <v>0</v>
      </c>
    </row>
    <row r="406" spans="1:9">
      <c r="A406">
        <v>405</v>
      </c>
      <c r="B406">
        <v>5</v>
      </c>
      <c r="C406">
        <v>6000</v>
      </c>
      <c r="D406">
        <v>3892</v>
      </c>
      <c r="E406" s="5">
        <f t="shared" si="25"/>
        <v>2108</v>
      </c>
      <c r="F406" s="5">
        <f t="shared" si="26"/>
        <v>4443664</v>
      </c>
      <c r="G406" s="6">
        <f>SQRT(SUM($F$2:F406)/A406)</f>
        <v>1226.4801297379322</v>
      </c>
      <c r="H406" s="5">
        <f t="shared" si="27"/>
        <v>0</v>
      </c>
      <c r="I406" s="5">
        <f t="shared" si="28"/>
        <v>0</v>
      </c>
    </row>
    <row r="407" spans="1:9">
      <c r="A407">
        <v>406</v>
      </c>
      <c r="B407">
        <v>6</v>
      </c>
      <c r="C407">
        <v>6000</v>
      </c>
      <c r="D407">
        <v>4578</v>
      </c>
      <c r="E407" s="5">
        <f t="shared" si="25"/>
        <v>1422</v>
      </c>
      <c r="F407" s="5">
        <f t="shared" si="26"/>
        <v>2022084</v>
      </c>
      <c r="G407" s="6">
        <f>SQRT(SUM($F$2:F407)/A407)</f>
        <v>1226.9999809298981</v>
      </c>
      <c r="H407" s="5">
        <f t="shared" si="27"/>
        <v>0</v>
      </c>
      <c r="I407" s="5">
        <f t="shared" si="28"/>
        <v>0</v>
      </c>
    </row>
    <row r="408" spans="1:9">
      <c r="A408">
        <v>407</v>
      </c>
      <c r="B408">
        <v>6</v>
      </c>
      <c r="C408">
        <v>6000</v>
      </c>
      <c r="D408">
        <v>3711</v>
      </c>
      <c r="E408" s="5">
        <f t="shared" si="25"/>
        <v>2289</v>
      </c>
      <c r="F408" s="5">
        <f t="shared" si="26"/>
        <v>5239521</v>
      </c>
      <c r="G408" s="6">
        <f>SQRT(SUM($F$2:F408)/A408)</f>
        <v>1230.7328633116858</v>
      </c>
      <c r="H408" s="5">
        <f t="shared" si="27"/>
        <v>0</v>
      </c>
      <c r="I408" s="5">
        <f t="shared" si="28"/>
        <v>0</v>
      </c>
    </row>
    <row r="409" spans="1:9">
      <c r="A409">
        <v>408</v>
      </c>
      <c r="B409">
        <v>7</v>
      </c>
      <c r="C409">
        <v>6000</v>
      </c>
      <c r="D409">
        <v>5091</v>
      </c>
      <c r="E409" s="5">
        <f t="shared" si="25"/>
        <v>909</v>
      </c>
      <c r="F409" s="5">
        <f t="shared" si="26"/>
        <v>826281</v>
      </c>
      <c r="G409" s="6">
        <f>SQRT(SUM($F$2:F409)/A409)</f>
        <v>1230.047182460263</v>
      </c>
      <c r="H409" s="5">
        <f t="shared" si="27"/>
        <v>1</v>
      </c>
      <c r="I409" s="5">
        <f t="shared" si="28"/>
        <v>0</v>
      </c>
    </row>
    <row r="410" spans="1:9">
      <c r="A410">
        <v>409</v>
      </c>
      <c r="B410">
        <v>6</v>
      </c>
      <c r="C410">
        <v>6000</v>
      </c>
      <c r="D410">
        <v>4556</v>
      </c>
      <c r="E410" s="5">
        <f t="shared" si="25"/>
        <v>1444</v>
      </c>
      <c r="F410" s="5">
        <f t="shared" si="26"/>
        <v>2085136</v>
      </c>
      <c r="G410" s="6">
        <f>SQRT(SUM($F$2:F410)/A410)</f>
        <v>1230.6156578357491</v>
      </c>
      <c r="H410" s="5">
        <f t="shared" si="27"/>
        <v>0</v>
      </c>
      <c r="I410" s="5">
        <f t="shared" si="28"/>
        <v>0</v>
      </c>
    </row>
    <row r="411" spans="1:9">
      <c r="A411">
        <v>410</v>
      </c>
      <c r="B411">
        <v>7</v>
      </c>
      <c r="C411">
        <v>6000</v>
      </c>
      <c r="D411">
        <v>4828</v>
      </c>
      <c r="E411" s="5">
        <f t="shared" si="25"/>
        <v>1172</v>
      </c>
      <c r="F411" s="5">
        <f t="shared" si="26"/>
        <v>1373584</v>
      </c>
      <c r="G411" s="6">
        <f>SQRT(SUM($F$2:F411)/A411)</f>
        <v>1230.4760896974281</v>
      </c>
      <c r="H411" s="5">
        <f t="shared" si="27"/>
        <v>1</v>
      </c>
      <c r="I411" s="5">
        <f t="shared" si="28"/>
        <v>0</v>
      </c>
    </row>
    <row r="412" spans="1:9">
      <c r="A412">
        <v>411</v>
      </c>
      <c r="B412">
        <v>7</v>
      </c>
      <c r="C412">
        <v>6000</v>
      </c>
      <c r="D412">
        <v>5506</v>
      </c>
      <c r="E412" s="5">
        <f t="shared" si="25"/>
        <v>494</v>
      </c>
      <c r="F412" s="5">
        <f t="shared" si="26"/>
        <v>244036</v>
      </c>
      <c r="G412" s="6">
        <f>SQRT(SUM($F$2:F412)/A412)</f>
        <v>1229.2197919155806</v>
      </c>
      <c r="H412" s="5">
        <f t="shared" si="27"/>
        <v>1</v>
      </c>
      <c r="I412" s="5">
        <f t="shared" si="28"/>
        <v>1</v>
      </c>
    </row>
    <row r="413" spans="1:9">
      <c r="A413">
        <v>412</v>
      </c>
      <c r="B413">
        <v>7</v>
      </c>
      <c r="C413">
        <v>6000</v>
      </c>
      <c r="D413">
        <v>5748</v>
      </c>
      <c r="E413" s="5">
        <f t="shared" si="25"/>
        <v>252</v>
      </c>
      <c r="F413" s="5">
        <f t="shared" si="26"/>
        <v>63504</v>
      </c>
      <c r="G413" s="6">
        <f>SQRT(SUM($F$2:F413)/A413)</f>
        <v>1227.7898852927501</v>
      </c>
      <c r="H413" s="5">
        <f t="shared" si="27"/>
        <v>1</v>
      </c>
      <c r="I413" s="5">
        <f t="shared" si="28"/>
        <v>1</v>
      </c>
    </row>
    <row r="414" spans="1:9">
      <c r="A414">
        <v>413</v>
      </c>
      <c r="B414">
        <v>6</v>
      </c>
      <c r="C414">
        <v>6000</v>
      </c>
      <c r="D414">
        <v>4690</v>
      </c>
      <c r="E414" s="5">
        <f t="shared" si="25"/>
        <v>1310</v>
      </c>
      <c r="F414" s="5">
        <f t="shared" si="26"/>
        <v>1716100</v>
      </c>
      <c r="G414" s="6">
        <f>SQRT(SUM($F$2:F414)/A414)</f>
        <v>1227.995588204172</v>
      </c>
      <c r="H414" s="5">
        <f t="shared" si="27"/>
        <v>0</v>
      </c>
      <c r="I414" s="5">
        <f t="shared" si="28"/>
        <v>0</v>
      </c>
    </row>
    <row r="415" spans="1:9">
      <c r="A415">
        <v>414</v>
      </c>
      <c r="B415">
        <v>8</v>
      </c>
      <c r="C415">
        <v>6000</v>
      </c>
      <c r="D415">
        <v>6194</v>
      </c>
      <c r="E415" s="5">
        <f t="shared" si="25"/>
        <v>194</v>
      </c>
      <c r="F415" s="5">
        <f t="shared" si="26"/>
        <v>37636</v>
      </c>
      <c r="G415" s="6">
        <f>SQRT(SUM($F$2:F415)/A415)</f>
        <v>1226.5486641808652</v>
      </c>
      <c r="H415" s="5">
        <f t="shared" si="27"/>
        <v>1</v>
      </c>
      <c r="I415" s="5">
        <f t="shared" si="28"/>
        <v>1</v>
      </c>
    </row>
    <row r="416" spans="1:9">
      <c r="A416">
        <v>415</v>
      </c>
      <c r="B416">
        <v>6</v>
      </c>
      <c r="C416">
        <v>6000</v>
      </c>
      <c r="D416">
        <v>4613</v>
      </c>
      <c r="E416" s="5">
        <f t="shared" si="25"/>
        <v>1387</v>
      </c>
      <c r="F416" s="5">
        <f t="shared" si="26"/>
        <v>1923769</v>
      </c>
      <c r="G416" s="6">
        <f>SQRT(SUM($F$2:F416)/A416)</f>
        <v>1226.9605133030236</v>
      </c>
      <c r="H416" s="5">
        <f t="shared" si="27"/>
        <v>0</v>
      </c>
      <c r="I416" s="5">
        <f t="shared" si="28"/>
        <v>0</v>
      </c>
    </row>
    <row r="417" spans="1:9">
      <c r="A417">
        <v>416</v>
      </c>
      <c r="B417">
        <v>8</v>
      </c>
      <c r="C417">
        <v>6000</v>
      </c>
      <c r="D417">
        <v>5550</v>
      </c>
      <c r="E417" s="5">
        <f t="shared" si="25"/>
        <v>450</v>
      </c>
      <c r="F417" s="5">
        <f t="shared" si="26"/>
        <v>202500</v>
      </c>
      <c r="G417" s="6">
        <f>SQRT(SUM($F$2:F417)/A417)</f>
        <v>1225.6835043699559</v>
      </c>
      <c r="H417" s="5">
        <f t="shared" si="27"/>
        <v>1</v>
      </c>
      <c r="I417" s="5">
        <f t="shared" si="28"/>
        <v>1</v>
      </c>
    </row>
    <row r="418" spans="1:9">
      <c r="A418">
        <v>417</v>
      </c>
      <c r="B418">
        <v>7</v>
      </c>
      <c r="C418">
        <v>6000</v>
      </c>
      <c r="D418">
        <v>4795</v>
      </c>
      <c r="E418" s="5">
        <f t="shared" si="25"/>
        <v>1205</v>
      </c>
      <c r="F418" s="5">
        <f t="shared" si="26"/>
        <v>1452025</v>
      </c>
      <c r="G418" s="6">
        <f>SQRT(SUM($F$2:F418)/A418)</f>
        <v>1225.634321161346</v>
      </c>
      <c r="H418" s="5">
        <f t="shared" si="27"/>
        <v>0</v>
      </c>
      <c r="I418" s="5">
        <f t="shared" si="28"/>
        <v>0</v>
      </c>
    </row>
    <row r="419" spans="1:9">
      <c r="A419">
        <v>418</v>
      </c>
      <c r="B419">
        <v>8</v>
      </c>
      <c r="C419">
        <v>6000</v>
      </c>
      <c r="D419">
        <v>5938</v>
      </c>
      <c r="E419" s="5">
        <f t="shared" si="25"/>
        <v>62</v>
      </c>
      <c r="F419" s="5">
        <f t="shared" si="26"/>
        <v>3844</v>
      </c>
      <c r="G419" s="6">
        <f>SQRT(SUM($F$2:F419)/A419)</f>
        <v>1224.17112959972</v>
      </c>
      <c r="H419" s="5">
        <f t="shared" si="27"/>
        <v>1</v>
      </c>
      <c r="I419" s="5">
        <f t="shared" si="28"/>
        <v>1</v>
      </c>
    </row>
    <row r="420" spans="1:9">
      <c r="A420">
        <v>419</v>
      </c>
      <c r="B420">
        <v>7</v>
      </c>
      <c r="C420">
        <v>6000</v>
      </c>
      <c r="D420">
        <v>4061</v>
      </c>
      <c r="E420" s="5">
        <f t="shared" si="25"/>
        <v>1939</v>
      </c>
      <c r="F420" s="5">
        <f t="shared" si="26"/>
        <v>3759721</v>
      </c>
      <c r="G420" s="6">
        <f>SQRT(SUM($F$2:F420)/A420)</f>
        <v>1226.3732860569723</v>
      </c>
      <c r="H420" s="5">
        <f t="shared" si="27"/>
        <v>0</v>
      </c>
      <c r="I420" s="5">
        <f t="shared" si="28"/>
        <v>0</v>
      </c>
    </row>
    <row r="421" spans="1:9">
      <c r="A421">
        <v>420</v>
      </c>
      <c r="B421">
        <v>10</v>
      </c>
      <c r="C421">
        <v>6000</v>
      </c>
      <c r="D421">
        <v>5377</v>
      </c>
      <c r="E421" s="5">
        <f t="shared" si="25"/>
        <v>623</v>
      </c>
      <c r="F421" s="5">
        <f t="shared" si="26"/>
        <v>388129</v>
      </c>
      <c r="G421" s="6">
        <f>SQRT(SUM($F$2:F421)/A421)</f>
        <v>1225.2896071658208</v>
      </c>
      <c r="H421" s="5">
        <f t="shared" si="27"/>
        <v>1</v>
      </c>
      <c r="I421" s="5">
        <f t="shared" si="28"/>
        <v>0</v>
      </c>
    </row>
    <row r="422" spans="1:9">
      <c r="A422">
        <v>421</v>
      </c>
      <c r="B422">
        <v>9</v>
      </c>
      <c r="C422">
        <v>6000</v>
      </c>
      <c r="D422">
        <v>3105</v>
      </c>
      <c r="E422" s="5">
        <f t="shared" si="25"/>
        <v>2895</v>
      </c>
      <c r="F422" s="5">
        <f t="shared" si="26"/>
        <v>8381025</v>
      </c>
      <c r="G422" s="6">
        <f>SQRT(SUM($F$2:F422)/A422)</f>
        <v>1231.9399046792391</v>
      </c>
      <c r="H422" s="5">
        <f t="shared" si="27"/>
        <v>0</v>
      </c>
      <c r="I422" s="5">
        <f t="shared" si="28"/>
        <v>0</v>
      </c>
    </row>
    <row r="423" spans="1:9">
      <c r="A423">
        <v>422</v>
      </c>
      <c r="B423">
        <v>11</v>
      </c>
      <c r="C423">
        <v>6000</v>
      </c>
      <c r="D423">
        <v>5607</v>
      </c>
      <c r="E423" s="5">
        <f t="shared" si="25"/>
        <v>393</v>
      </c>
      <c r="F423" s="5">
        <f t="shared" si="26"/>
        <v>154449</v>
      </c>
      <c r="G423" s="6">
        <f>SQRT(SUM($F$2:F423)/A423)</f>
        <v>1230.6281051460492</v>
      </c>
      <c r="H423" s="5">
        <f t="shared" si="27"/>
        <v>1</v>
      </c>
      <c r="I423" s="5">
        <f t="shared" si="28"/>
        <v>1</v>
      </c>
    </row>
    <row r="424" spans="1:9">
      <c r="A424">
        <v>423</v>
      </c>
      <c r="B424">
        <v>9</v>
      </c>
      <c r="C424">
        <v>6000</v>
      </c>
      <c r="D424">
        <v>5114</v>
      </c>
      <c r="E424" s="5">
        <f t="shared" si="25"/>
        <v>886</v>
      </c>
      <c r="F424" s="5">
        <f t="shared" si="26"/>
        <v>784996</v>
      </c>
      <c r="G424" s="6">
        <f>SQRT(SUM($F$2:F424)/A424)</f>
        <v>1229.9272605296028</v>
      </c>
      <c r="H424" s="5">
        <f t="shared" si="27"/>
        <v>1</v>
      </c>
      <c r="I424" s="5">
        <f t="shared" si="28"/>
        <v>0</v>
      </c>
    </row>
    <row r="425" spans="1:9">
      <c r="A425">
        <v>424</v>
      </c>
      <c r="B425">
        <v>10</v>
      </c>
      <c r="C425">
        <v>6000</v>
      </c>
      <c r="D425">
        <v>6042</v>
      </c>
      <c r="E425" s="5">
        <f t="shared" si="25"/>
        <v>42</v>
      </c>
      <c r="F425" s="5">
        <f t="shared" si="26"/>
        <v>1764</v>
      </c>
      <c r="G425" s="6">
        <f>SQRT(SUM($F$2:F425)/A425)</f>
        <v>1228.4777117259991</v>
      </c>
      <c r="H425" s="5">
        <f t="shared" si="27"/>
        <v>1</v>
      </c>
      <c r="I425" s="5">
        <f t="shared" si="28"/>
        <v>1</v>
      </c>
    </row>
    <row r="426" spans="1:9">
      <c r="A426">
        <v>425</v>
      </c>
      <c r="B426">
        <v>9</v>
      </c>
      <c r="C426">
        <v>6000</v>
      </c>
      <c r="D426">
        <v>6298</v>
      </c>
      <c r="E426" s="5">
        <f t="shared" si="25"/>
        <v>298</v>
      </c>
      <c r="F426" s="5">
        <f t="shared" si="26"/>
        <v>88804</v>
      </c>
      <c r="G426" s="6">
        <f>SQRT(SUM($F$2:F426)/A426)</f>
        <v>1227.1167344633516</v>
      </c>
      <c r="H426" s="5">
        <f t="shared" si="27"/>
        <v>1</v>
      </c>
      <c r="I426" s="5">
        <f t="shared" si="28"/>
        <v>1</v>
      </c>
    </row>
    <row r="427" spans="1:9">
      <c r="A427">
        <v>426</v>
      </c>
      <c r="B427">
        <v>9</v>
      </c>
      <c r="C427">
        <v>6000</v>
      </c>
      <c r="D427">
        <v>5722</v>
      </c>
      <c r="E427" s="5">
        <f t="shared" si="25"/>
        <v>278</v>
      </c>
      <c r="F427" s="5">
        <f t="shared" si="26"/>
        <v>77284</v>
      </c>
      <c r="G427" s="6">
        <f>SQRT(SUM($F$2:F427)/A427)</f>
        <v>1225.7496154265398</v>
      </c>
      <c r="H427" s="5">
        <f t="shared" si="27"/>
        <v>1</v>
      </c>
      <c r="I427" s="5">
        <f t="shared" si="28"/>
        <v>1</v>
      </c>
    </row>
    <row r="428" spans="1:9">
      <c r="A428">
        <v>427</v>
      </c>
      <c r="B428">
        <v>9</v>
      </c>
      <c r="C428">
        <v>6000</v>
      </c>
      <c r="D428">
        <v>5728</v>
      </c>
      <c r="E428" s="5">
        <f t="shared" si="25"/>
        <v>272</v>
      </c>
      <c r="F428" s="5">
        <f t="shared" si="26"/>
        <v>73984</v>
      </c>
      <c r="G428" s="6">
        <f>SQRT(SUM($F$2:F428)/A428)</f>
        <v>1224.3842279713169</v>
      </c>
      <c r="H428" s="5">
        <f t="shared" si="27"/>
        <v>1</v>
      </c>
      <c r="I428" s="5">
        <f t="shared" si="28"/>
        <v>1</v>
      </c>
    </row>
    <row r="429" spans="1:9">
      <c r="A429">
        <v>428</v>
      </c>
      <c r="B429">
        <v>10</v>
      </c>
      <c r="C429">
        <v>6000</v>
      </c>
      <c r="D429">
        <v>6035</v>
      </c>
      <c r="E429" s="5">
        <f t="shared" si="25"/>
        <v>35</v>
      </c>
      <c r="F429" s="5">
        <f t="shared" si="26"/>
        <v>1225</v>
      </c>
      <c r="G429" s="6">
        <f>SQRT(SUM($F$2:F429)/A429)</f>
        <v>1222.9542062784712</v>
      </c>
      <c r="H429" s="5">
        <f t="shared" si="27"/>
        <v>1</v>
      </c>
      <c r="I429" s="5">
        <f t="shared" si="28"/>
        <v>1</v>
      </c>
    </row>
    <row r="430" spans="1:9">
      <c r="A430">
        <v>429</v>
      </c>
      <c r="B430">
        <v>9</v>
      </c>
      <c r="C430">
        <v>6000</v>
      </c>
      <c r="D430">
        <v>5143</v>
      </c>
      <c r="E430" s="5">
        <f t="shared" si="25"/>
        <v>857</v>
      </c>
      <c r="F430" s="5">
        <f t="shared" si="26"/>
        <v>734449</v>
      </c>
      <c r="G430" s="6">
        <f>SQRT(SUM($F$2:F430)/A430)</f>
        <v>1222.2285818510818</v>
      </c>
      <c r="H430" s="5">
        <f t="shared" si="27"/>
        <v>1</v>
      </c>
      <c r="I430" s="5">
        <f t="shared" si="28"/>
        <v>0</v>
      </c>
    </row>
    <row r="431" spans="1:9">
      <c r="A431">
        <v>430</v>
      </c>
      <c r="B431">
        <v>10</v>
      </c>
      <c r="C431">
        <v>6000</v>
      </c>
      <c r="D431">
        <v>7329</v>
      </c>
      <c r="E431" s="5">
        <f t="shared" si="25"/>
        <v>1329</v>
      </c>
      <c r="F431" s="5">
        <f t="shared" si="26"/>
        <v>1766241</v>
      </c>
      <c r="G431" s="6">
        <f>SQRT(SUM($F$2:F431)/A431)</f>
        <v>1222.4877057450003</v>
      </c>
      <c r="H431" s="5">
        <f t="shared" si="27"/>
        <v>0</v>
      </c>
      <c r="I431" s="5">
        <f t="shared" si="28"/>
        <v>0</v>
      </c>
    </row>
    <row r="432" spans="1:9">
      <c r="A432">
        <v>431</v>
      </c>
      <c r="B432">
        <v>8</v>
      </c>
      <c r="C432">
        <v>6000</v>
      </c>
      <c r="D432">
        <v>4505</v>
      </c>
      <c r="E432" s="5">
        <f t="shared" si="25"/>
        <v>1495</v>
      </c>
      <c r="F432" s="5">
        <f t="shared" si="26"/>
        <v>2235025</v>
      </c>
      <c r="G432" s="6">
        <f>SQRT(SUM($F$2:F432)/A432)</f>
        <v>1223.1902555989036</v>
      </c>
      <c r="H432" s="5">
        <f t="shared" si="27"/>
        <v>0</v>
      </c>
      <c r="I432" s="5">
        <f t="shared" si="28"/>
        <v>0</v>
      </c>
    </row>
    <row r="433" spans="1:9">
      <c r="A433">
        <v>432</v>
      </c>
      <c r="B433">
        <v>11</v>
      </c>
      <c r="C433">
        <v>6000</v>
      </c>
      <c r="D433">
        <v>6921</v>
      </c>
      <c r="E433" s="5">
        <f t="shared" si="25"/>
        <v>921</v>
      </c>
      <c r="F433" s="5">
        <f t="shared" si="26"/>
        <v>848241</v>
      </c>
      <c r="G433" s="6">
        <f>SQRT(SUM($F$2:F433)/A433)</f>
        <v>1222.5769952274006</v>
      </c>
      <c r="H433" s="5">
        <f t="shared" si="27"/>
        <v>1</v>
      </c>
      <c r="I433" s="5">
        <f t="shared" si="28"/>
        <v>0</v>
      </c>
    </row>
    <row r="434" spans="1:9">
      <c r="A434">
        <v>433</v>
      </c>
      <c r="B434">
        <v>9</v>
      </c>
      <c r="C434">
        <v>6000</v>
      </c>
      <c r="D434">
        <v>5942</v>
      </c>
      <c r="E434" s="5">
        <f t="shared" si="25"/>
        <v>58</v>
      </c>
      <c r="F434" s="5">
        <f t="shared" si="26"/>
        <v>3364</v>
      </c>
      <c r="G434" s="6">
        <f>SQRT(SUM($F$2:F434)/A434)</f>
        <v>1221.1676084569933</v>
      </c>
      <c r="H434" s="5">
        <f t="shared" si="27"/>
        <v>1</v>
      </c>
      <c r="I434" s="5">
        <f t="shared" si="28"/>
        <v>1</v>
      </c>
    </row>
    <row r="435" spans="1:9">
      <c r="A435">
        <v>434</v>
      </c>
      <c r="B435">
        <v>9</v>
      </c>
      <c r="C435">
        <v>6000</v>
      </c>
      <c r="D435">
        <v>5888</v>
      </c>
      <c r="E435" s="5">
        <f t="shared" si="25"/>
        <v>112</v>
      </c>
      <c r="F435" s="5">
        <f t="shared" si="26"/>
        <v>12544</v>
      </c>
      <c r="G435" s="6">
        <f>SQRT(SUM($F$2:F435)/A435)</f>
        <v>1219.7717698434051</v>
      </c>
      <c r="H435" s="5">
        <f t="shared" si="27"/>
        <v>1</v>
      </c>
      <c r="I435" s="5">
        <f t="shared" si="28"/>
        <v>1</v>
      </c>
    </row>
    <row r="436" spans="1:9">
      <c r="A436">
        <v>435</v>
      </c>
      <c r="B436">
        <v>9</v>
      </c>
      <c r="C436">
        <v>6000</v>
      </c>
      <c r="D436">
        <v>5437</v>
      </c>
      <c r="E436" s="5">
        <f t="shared" si="25"/>
        <v>563</v>
      </c>
      <c r="F436" s="5">
        <f t="shared" si="26"/>
        <v>316969</v>
      </c>
      <c r="G436" s="6">
        <f>SQRT(SUM($F$2:F436)/A436)</f>
        <v>1218.6679226709491</v>
      </c>
      <c r="H436" s="5">
        <f t="shared" si="27"/>
        <v>1</v>
      </c>
      <c r="I436" s="5">
        <f t="shared" si="28"/>
        <v>1</v>
      </c>
    </row>
    <row r="437" spans="1:9">
      <c r="A437">
        <v>436</v>
      </c>
      <c r="B437">
        <v>10</v>
      </c>
      <c r="C437">
        <v>6000</v>
      </c>
      <c r="D437">
        <v>5531</v>
      </c>
      <c r="E437" s="5">
        <f t="shared" si="25"/>
        <v>469</v>
      </c>
      <c r="F437" s="5">
        <f t="shared" si="26"/>
        <v>219961</v>
      </c>
      <c r="G437" s="6">
        <f>SQRT(SUM($F$2:F437)/A437)</f>
        <v>1217.4767729449916</v>
      </c>
      <c r="H437" s="5">
        <f t="shared" si="27"/>
        <v>1</v>
      </c>
      <c r="I437" s="5">
        <f t="shared" si="28"/>
        <v>1</v>
      </c>
    </row>
    <row r="438" spans="1:9">
      <c r="A438">
        <v>437</v>
      </c>
      <c r="B438">
        <v>10</v>
      </c>
      <c r="C438">
        <v>6000</v>
      </c>
      <c r="D438">
        <v>6369</v>
      </c>
      <c r="E438" s="5">
        <f t="shared" si="25"/>
        <v>369</v>
      </c>
      <c r="F438" s="5">
        <f t="shared" si="26"/>
        <v>136161</v>
      </c>
      <c r="G438" s="6">
        <f>SQRT(SUM($F$2:F438)/A438)</f>
        <v>1216.2110829002243</v>
      </c>
      <c r="H438" s="5">
        <f t="shared" si="27"/>
        <v>1</v>
      </c>
      <c r="I438" s="5">
        <f t="shared" si="28"/>
        <v>1</v>
      </c>
    </row>
    <row r="439" spans="1:9">
      <c r="A439">
        <v>438</v>
      </c>
      <c r="B439">
        <v>9</v>
      </c>
      <c r="C439">
        <v>6000</v>
      </c>
      <c r="D439">
        <v>5685</v>
      </c>
      <c r="E439" s="5">
        <f t="shared" si="25"/>
        <v>315</v>
      </c>
      <c r="F439" s="5">
        <f t="shared" si="26"/>
        <v>99225</v>
      </c>
      <c r="G439" s="6">
        <f>SQRT(SUM($F$2:F439)/A439)</f>
        <v>1214.9151576067559</v>
      </c>
      <c r="H439" s="5">
        <f t="shared" si="27"/>
        <v>1</v>
      </c>
      <c r="I439" s="5">
        <f t="shared" si="28"/>
        <v>1</v>
      </c>
    </row>
    <row r="440" spans="1:9">
      <c r="A440">
        <v>439</v>
      </c>
      <c r="B440">
        <v>10</v>
      </c>
      <c r="C440">
        <v>6000</v>
      </c>
      <c r="D440">
        <v>6268</v>
      </c>
      <c r="E440" s="5">
        <f t="shared" si="25"/>
        <v>268</v>
      </c>
      <c r="F440" s="5">
        <f t="shared" si="26"/>
        <v>71824</v>
      </c>
      <c r="G440" s="6">
        <f>SQRT(SUM($F$2:F440)/A440)</f>
        <v>1213.5980465866016</v>
      </c>
      <c r="H440" s="5">
        <f t="shared" si="27"/>
        <v>1</v>
      </c>
      <c r="I440" s="5">
        <f t="shared" si="28"/>
        <v>1</v>
      </c>
    </row>
    <row r="441" spans="1:9">
      <c r="A441">
        <v>440</v>
      </c>
      <c r="B441">
        <v>9</v>
      </c>
      <c r="C441">
        <v>6000</v>
      </c>
      <c r="D441">
        <v>5680</v>
      </c>
      <c r="E441" s="5">
        <f t="shared" si="25"/>
        <v>320</v>
      </c>
      <c r="F441" s="5">
        <f t="shared" si="26"/>
        <v>102400</v>
      </c>
      <c r="G441" s="6">
        <f>SQRT(SUM($F$2:F441)/A441)</f>
        <v>1212.3141619533806</v>
      </c>
      <c r="H441" s="5">
        <f t="shared" si="27"/>
        <v>1</v>
      </c>
      <c r="I441" s="5">
        <f t="shared" si="28"/>
        <v>1</v>
      </c>
    </row>
    <row r="442" spans="1:9">
      <c r="A442">
        <v>441</v>
      </c>
      <c r="B442">
        <v>10</v>
      </c>
      <c r="C442">
        <v>6000</v>
      </c>
      <c r="D442">
        <v>6218</v>
      </c>
      <c r="E442" s="5">
        <f t="shared" si="25"/>
        <v>218</v>
      </c>
      <c r="F442" s="5">
        <f t="shared" si="26"/>
        <v>47524</v>
      </c>
      <c r="G442" s="6">
        <f>SQRT(SUM($F$2:F442)/A442)</f>
        <v>1210.9833713241412</v>
      </c>
      <c r="H442" s="5">
        <f t="shared" si="27"/>
        <v>1</v>
      </c>
      <c r="I442" s="5">
        <f t="shared" si="28"/>
        <v>1</v>
      </c>
    </row>
    <row r="443" spans="1:9">
      <c r="A443">
        <v>442</v>
      </c>
      <c r="B443">
        <v>9</v>
      </c>
      <c r="C443">
        <v>6000</v>
      </c>
      <c r="D443">
        <v>5864</v>
      </c>
      <c r="E443" s="5">
        <f t="shared" si="25"/>
        <v>136</v>
      </c>
      <c r="F443" s="5">
        <f t="shared" si="26"/>
        <v>18496</v>
      </c>
      <c r="G443" s="6">
        <f>SQRT(SUM($F$2:F443)/A443)</f>
        <v>1209.6300021417492</v>
      </c>
      <c r="H443" s="5">
        <f t="shared" si="27"/>
        <v>1</v>
      </c>
      <c r="I443" s="5">
        <f t="shared" si="28"/>
        <v>1</v>
      </c>
    </row>
    <row r="444" spans="1:9">
      <c r="A444">
        <v>443</v>
      </c>
      <c r="B444">
        <v>10</v>
      </c>
      <c r="C444">
        <v>6000</v>
      </c>
      <c r="D444">
        <v>5774</v>
      </c>
      <c r="E444" s="5">
        <f t="shared" si="25"/>
        <v>226</v>
      </c>
      <c r="F444" s="5">
        <f t="shared" si="26"/>
        <v>51076</v>
      </c>
      <c r="G444" s="6">
        <f>SQRT(SUM($F$2:F444)/A444)</f>
        <v>1208.3116702865987</v>
      </c>
      <c r="H444" s="5">
        <f t="shared" si="27"/>
        <v>1</v>
      </c>
      <c r="I444" s="5">
        <f t="shared" si="28"/>
        <v>1</v>
      </c>
    </row>
    <row r="445" spans="1:9">
      <c r="A445">
        <v>444</v>
      </c>
      <c r="B445">
        <v>10</v>
      </c>
      <c r="C445">
        <v>6000</v>
      </c>
      <c r="D445">
        <v>6111</v>
      </c>
      <c r="E445" s="5">
        <f t="shared" si="25"/>
        <v>111</v>
      </c>
      <c r="F445" s="5">
        <f t="shared" si="26"/>
        <v>12321</v>
      </c>
      <c r="G445" s="6">
        <f>SQRT(SUM($F$2:F445)/A445)</f>
        <v>1206.9616877787653</v>
      </c>
      <c r="H445" s="5">
        <f t="shared" si="27"/>
        <v>1</v>
      </c>
      <c r="I445" s="5">
        <f t="shared" si="28"/>
        <v>1</v>
      </c>
    </row>
    <row r="446" spans="1:9">
      <c r="A446">
        <v>445</v>
      </c>
      <c r="B446">
        <v>10</v>
      </c>
      <c r="C446">
        <v>6000</v>
      </c>
      <c r="D446">
        <v>6186</v>
      </c>
      <c r="E446" s="5">
        <f t="shared" si="25"/>
        <v>186</v>
      </c>
      <c r="F446" s="5">
        <f t="shared" si="26"/>
        <v>34596</v>
      </c>
      <c r="G446" s="6">
        <f>SQRT(SUM($F$2:F446)/A446)</f>
        <v>1205.6370305519827</v>
      </c>
      <c r="H446" s="5">
        <f t="shared" si="27"/>
        <v>1</v>
      </c>
      <c r="I446" s="5">
        <f t="shared" si="28"/>
        <v>1</v>
      </c>
    </row>
    <row r="447" spans="1:9">
      <c r="A447">
        <v>446</v>
      </c>
      <c r="B447">
        <v>9</v>
      </c>
      <c r="C447">
        <v>6000</v>
      </c>
      <c r="D447">
        <v>5835</v>
      </c>
      <c r="E447" s="5">
        <f t="shared" si="25"/>
        <v>165</v>
      </c>
      <c r="F447" s="5">
        <f t="shared" si="26"/>
        <v>27225</v>
      </c>
      <c r="G447" s="6">
        <f>SQRT(SUM($F$2:F447)/A447)</f>
        <v>1204.3100047097284</v>
      </c>
      <c r="H447" s="5">
        <f t="shared" si="27"/>
        <v>1</v>
      </c>
      <c r="I447" s="5">
        <f t="shared" si="28"/>
        <v>1</v>
      </c>
    </row>
    <row r="448" spans="1:9">
      <c r="A448">
        <v>447</v>
      </c>
      <c r="B448">
        <v>10</v>
      </c>
      <c r="C448">
        <v>6000</v>
      </c>
      <c r="D448">
        <v>6178</v>
      </c>
      <c r="E448" s="5">
        <f t="shared" si="25"/>
        <v>178</v>
      </c>
      <c r="F448" s="5">
        <f t="shared" si="26"/>
        <v>31684</v>
      </c>
      <c r="G448" s="6">
        <f>SQRT(SUM($F$2:F448)/A448)</f>
        <v>1202.9916083844478</v>
      </c>
      <c r="H448" s="5">
        <f t="shared" si="27"/>
        <v>1</v>
      </c>
      <c r="I448" s="5">
        <f t="shared" si="28"/>
        <v>1</v>
      </c>
    </row>
    <row r="449" spans="1:9">
      <c r="A449">
        <v>448</v>
      </c>
      <c r="B449">
        <v>9</v>
      </c>
      <c r="C449">
        <v>6000</v>
      </c>
      <c r="D449">
        <v>5763</v>
      </c>
      <c r="E449" s="5">
        <f t="shared" si="25"/>
        <v>237</v>
      </c>
      <c r="F449" s="5">
        <f t="shared" si="26"/>
        <v>56169</v>
      </c>
      <c r="G449" s="6">
        <f>SQRT(SUM($F$2:F449)/A449)</f>
        <v>1201.7004014773042</v>
      </c>
      <c r="H449" s="5">
        <f t="shared" si="27"/>
        <v>1</v>
      </c>
      <c r="I449" s="5">
        <f t="shared" si="28"/>
        <v>1</v>
      </c>
    </row>
    <row r="450" spans="1:9">
      <c r="A450">
        <v>449</v>
      </c>
      <c r="B450">
        <v>10</v>
      </c>
      <c r="C450">
        <v>6000</v>
      </c>
      <c r="D450">
        <v>6031</v>
      </c>
      <c r="E450" s="5">
        <f t="shared" si="25"/>
        <v>31</v>
      </c>
      <c r="F450" s="5">
        <f t="shared" si="26"/>
        <v>961</v>
      </c>
      <c r="G450" s="6">
        <f>SQRT(SUM($F$2:F450)/A450)</f>
        <v>1200.362350637718</v>
      </c>
      <c r="H450" s="5">
        <f t="shared" si="27"/>
        <v>1</v>
      </c>
      <c r="I450" s="5">
        <f t="shared" si="28"/>
        <v>1</v>
      </c>
    </row>
    <row r="451" spans="1:9">
      <c r="A451">
        <v>450</v>
      </c>
      <c r="B451">
        <v>10</v>
      </c>
      <c r="C451">
        <v>6000</v>
      </c>
      <c r="D451">
        <v>6181</v>
      </c>
      <c r="E451" s="5">
        <f t="shared" ref="E451:E514" si="29">ABS(C451-D451)</f>
        <v>181</v>
      </c>
      <c r="F451" s="5">
        <f t="shared" ref="F451:F514" si="30">POWER(E451,2)</f>
        <v>32761</v>
      </c>
      <c r="G451" s="6">
        <f>SQRT(SUM($F$2:F451)/A451)</f>
        <v>1199.0582313725311</v>
      </c>
      <c r="H451" s="5">
        <f t="shared" ref="H451:H514" si="31">IF(ABS(E451)/C451&gt;0.2,0,1)</f>
        <v>1</v>
      </c>
      <c r="I451" s="5">
        <f t="shared" ref="I451:I514" si="32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5431</v>
      </c>
      <c r="E452" s="5">
        <f t="shared" si="29"/>
        <v>569</v>
      </c>
      <c r="F452" s="5">
        <f t="shared" si="30"/>
        <v>323761</v>
      </c>
      <c r="G452" s="6">
        <f>SQRT(SUM($F$2:F452)/A452)</f>
        <v>1198.0278047034519</v>
      </c>
      <c r="H452" s="5">
        <f t="shared" si="31"/>
        <v>1</v>
      </c>
      <c r="I452" s="5">
        <f t="shared" si="32"/>
        <v>1</v>
      </c>
    </row>
    <row r="453" spans="1:9">
      <c r="A453">
        <v>452</v>
      </c>
      <c r="B453">
        <v>10</v>
      </c>
      <c r="C453">
        <v>6000</v>
      </c>
      <c r="D453">
        <v>5796</v>
      </c>
      <c r="E453" s="5">
        <f t="shared" si="29"/>
        <v>204</v>
      </c>
      <c r="F453" s="5">
        <f t="shared" si="30"/>
        <v>41616</v>
      </c>
      <c r="G453" s="6">
        <f>SQRT(SUM($F$2:F453)/A453)</f>
        <v>1196.7402868456013</v>
      </c>
      <c r="H453" s="5">
        <f t="shared" si="31"/>
        <v>1</v>
      </c>
      <c r="I453" s="5">
        <f t="shared" si="32"/>
        <v>1</v>
      </c>
    </row>
    <row r="454" spans="1:9">
      <c r="A454">
        <v>453</v>
      </c>
      <c r="B454">
        <v>10</v>
      </c>
      <c r="C454">
        <v>6000</v>
      </c>
      <c r="D454">
        <v>5876</v>
      </c>
      <c r="E454" s="5">
        <f t="shared" si="29"/>
        <v>124</v>
      </c>
      <c r="F454" s="5">
        <f t="shared" si="30"/>
        <v>15376</v>
      </c>
      <c r="G454" s="6">
        <f>SQRT(SUM($F$2:F454)/A454)</f>
        <v>1195.4328485382348</v>
      </c>
      <c r="H454" s="5">
        <f t="shared" si="31"/>
        <v>1</v>
      </c>
      <c r="I454" s="5">
        <f t="shared" si="32"/>
        <v>1</v>
      </c>
    </row>
    <row r="455" spans="1:9">
      <c r="A455">
        <v>454</v>
      </c>
      <c r="B455">
        <v>10</v>
      </c>
      <c r="C455">
        <v>6000</v>
      </c>
      <c r="D455">
        <v>5916</v>
      </c>
      <c r="E455" s="5">
        <f t="shared" si="29"/>
        <v>84</v>
      </c>
      <c r="F455" s="5">
        <f t="shared" si="30"/>
        <v>7056</v>
      </c>
      <c r="G455" s="6">
        <f>SQRT(SUM($F$2:F455)/A455)</f>
        <v>1194.1220744272175</v>
      </c>
      <c r="H455" s="5">
        <f t="shared" si="31"/>
        <v>1</v>
      </c>
      <c r="I455" s="5">
        <f t="shared" si="32"/>
        <v>1</v>
      </c>
    </row>
    <row r="456" spans="1:9">
      <c r="A456">
        <v>455</v>
      </c>
      <c r="B456">
        <v>10</v>
      </c>
      <c r="C456">
        <v>6000</v>
      </c>
      <c r="D456">
        <v>6062</v>
      </c>
      <c r="E456" s="5">
        <f t="shared" si="29"/>
        <v>62</v>
      </c>
      <c r="F456" s="5">
        <f t="shared" si="30"/>
        <v>3844</v>
      </c>
      <c r="G456" s="6">
        <f>SQRT(SUM($F$2:F456)/A456)</f>
        <v>1192.8126719354009</v>
      </c>
      <c r="H456" s="5">
        <f t="shared" si="31"/>
        <v>1</v>
      </c>
      <c r="I456" s="5">
        <f t="shared" si="32"/>
        <v>1</v>
      </c>
    </row>
    <row r="457" spans="1:9">
      <c r="A457">
        <v>456</v>
      </c>
      <c r="B457">
        <v>10</v>
      </c>
      <c r="C457">
        <v>6000</v>
      </c>
      <c r="D457">
        <v>6599</v>
      </c>
      <c r="E457" s="5">
        <f t="shared" si="29"/>
        <v>599</v>
      </c>
      <c r="F457" s="5">
        <f t="shared" si="30"/>
        <v>358801</v>
      </c>
      <c r="G457" s="6">
        <f>SQRT(SUM($F$2:F457)/A457)</f>
        <v>1191.8341892432531</v>
      </c>
      <c r="H457" s="5">
        <f t="shared" si="31"/>
        <v>1</v>
      </c>
      <c r="I457" s="5">
        <f t="shared" si="32"/>
        <v>1</v>
      </c>
    </row>
    <row r="458" spans="1:9">
      <c r="A458">
        <v>457</v>
      </c>
      <c r="B458">
        <v>9</v>
      </c>
      <c r="C458">
        <v>6000</v>
      </c>
      <c r="D458">
        <v>5287</v>
      </c>
      <c r="E458" s="5">
        <f t="shared" si="29"/>
        <v>713</v>
      </c>
      <c r="F458" s="5">
        <f t="shared" si="30"/>
        <v>508369</v>
      </c>
      <c r="G458" s="6">
        <f>SQRT(SUM($F$2:F458)/A458)</f>
        <v>1190.9965964598696</v>
      </c>
      <c r="H458" s="5">
        <f t="shared" si="31"/>
        <v>1</v>
      </c>
      <c r="I458" s="5">
        <f t="shared" si="32"/>
        <v>0</v>
      </c>
    </row>
    <row r="459" spans="1:9">
      <c r="A459">
        <v>458</v>
      </c>
      <c r="B459">
        <v>11</v>
      </c>
      <c r="C459">
        <v>6000</v>
      </c>
      <c r="D459">
        <v>6445</v>
      </c>
      <c r="E459" s="5">
        <f t="shared" si="29"/>
        <v>445</v>
      </c>
      <c r="F459" s="5">
        <f t="shared" si="30"/>
        <v>198025</v>
      </c>
      <c r="G459" s="6">
        <f>SQRT(SUM($F$2:F459)/A459)</f>
        <v>1189.8773715760151</v>
      </c>
      <c r="H459" s="5">
        <f t="shared" si="31"/>
        <v>1</v>
      </c>
      <c r="I459" s="5">
        <f t="shared" si="32"/>
        <v>1</v>
      </c>
    </row>
    <row r="460" spans="1:9">
      <c r="A460">
        <v>459</v>
      </c>
      <c r="B460">
        <v>9</v>
      </c>
      <c r="C460">
        <v>6000</v>
      </c>
      <c r="D460">
        <v>5234</v>
      </c>
      <c r="E460" s="5">
        <f t="shared" si="29"/>
        <v>766</v>
      </c>
      <c r="F460" s="5">
        <f t="shared" si="30"/>
        <v>586756</v>
      </c>
      <c r="G460" s="6">
        <f>SQRT(SUM($F$2:F460)/A460)</f>
        <v>1189.118137753255</v>
      </c>
      <c r="H460" s="5">
        <f t="shared" si="31"/>
        <v>1</v>
      </c>
      <c r="I460" s="5">
        <f t="shared" si="32"/>
        <v>0</v>
      </c>
    </row>
    <row r="461" spans="1:9">
      <c r="A461">
        <v>460</v>
      </c>
      <c r="B461">
        <v>11</v>
      </c>
      <c r="C461">
        <v>6000</v>
      </c>
      <c r="D461">
        <v>6769</v>
      </c>
      <c r="E461" s="5">
        <f t="shared" si="29"/>
        <v>769</v>
      </c>
      <c r="F461" s="5">
        <f t="shared" si="30"/>
        <v>591361</v>
      </c>
      <c r="G461" s="6">
        <f>SQRT(SUM($F$2:F461)/A461)</f>
        <v>1188.3659350773119</v>
      </c>
      <c r="H461" s="5">
        <f t="shared" si="31"/>
        <v>1</v>
      </c>
      <c r="I461" s="5">
        <f t="shared" si="32"/>
        <v>0</v>
      </c>
    </row>
    <row r="462" spans="1:9">
      <c r="A462">
        <v>461</v>
      </c>
      <c r="B462">
        <v>9</v>
      </c>
      <c r="C462">
        <v>6000</v>
      </c>
      <c r="D462">
        <v>5736</v>
      </c>
      <c r="E462" s="5">
        <f t="shared" si="29"/>
        <v>264</v>
      </c>
      <c r="F462" s="5">
        <f t="shared" si="30"/>
        <v>69696</v>
      </c>
      <c r="G462" s="6">
        <f>SQRT(SUM($F$2:F462)/A462)</f>
        <v>1187.1400127947452</v>
      </c>
      <c r="H462" s="5">
        <f t="shared" si="31"/>
        <v>1</v>
      </c>
      <c r="I462" s="5">
        <f t="shared" si="32"/>
        <v>1</v>
      </c>
    </row>
    <row r="463" spans="1:9">
      <c r="A463">
        <v>462</v>
      </c>
      <c r="B463">
        <v>10</v>
      </c>
      <c r="C463">
        <v>6000</v>
      </c>
      <c r="D463">
        <v>6426</v>
      </c>
      <c r="E463" s="5">
        <f t="shared" si="29"/>
        <v>426</v>
      </c>
      <c r="F463" s="5">
        <f t="shared" si="30"/>
        <v>181476</v>
      </c>
      <c r="G463" s="6">
        <f>SQRT(SUM($F$2:F463)/A463)</f>
        <v>1186.020142839395</v>
      </c>
      <c r="H463" s="5">
        <f t="shared" si="31"/>
        <v>1</v>
      </c>
      <c r="I463" s="5">
        <f t="shared" si="32"/>
        <v>1</v>
      </c>
    </row>
    <row r="464" spans="1:9">
      <c r="A464">
        <v>463</v>
      </c>
      <c r="B464">
        <v>9</v>
      </c>
      <c r="C464">
        <v>6000</v>
      </c>
      <c r="D464">
        <v>5552</v>
      </c>
      <c r="E464" s="5">
        <f t="shared" si="29"/>
        <v>448</v>
      </c>
      <c r="F464" s="5">
        <f t="shared" si="30"/>
        <v>200704</v>
      </c>
      <c r="G464" s="6">
        <f>SQRT(SUM($F$2:F464)/A464)</f>
        <v>1184.9215829190498</v>
      </c>
      <c r="H464" s="5">
        <f t="shared" si="31"/>
        <v>1</v>
      </c>
      <c r="I464" s="5">
        <f t="shared" si="32"/>
        <v>1</v>
      </c>
    </row>
    <row r="465" spans="1:9">
      <c r="A465">
        <v>464</v>
      </c>
      <c r="B465">
        <v>10</v>
      </c>
      <c r="C465">
        <v>6000</v>
      </c>
      <c r="D465">
        <v>5960</v>
      </c>
      <c r="E465" s="5">
        <f t="shared" si="29"/>
        <v>40</v>
      </c>
      <c r="F465" s="5">
        <f t="shared" si="30"/>
        <v>1600</v>
      </c>
      <c r="G465" s="6">
        <f>SQRT(SUM($F$2:F465)/A465)</f>
        <v>1183.6454956965615</v>
      </c>
      <c r="H465" s="5">
        <f t="shared" si="31"/>
        <v>1</v>
      </c>
      <c r="I465" s="5">
        <f t="shared" si="32"/>
        <v>1</v>
      </c>
    </row>
    <row r="466" spans="1:9">
      <c r="A466">
        <v>465</v>
      </c>
      <c r="B466">
        <v>10</v>
      </c>
      <c r="C466">
        <v>6000</v>
      </c>
      <c r="D466">
        <v>5881</v>
      </c>
      <c r="E466" s="5">
        <f t="shared" si="29"/>
        <v>119</v>
      </c>
      <c r="F466" s="5">
        <f t="shared" si="30"/>
        <v>14161</v>
      </c>
      <c r="G466" s="6">
        <f>SQRT(SUM($F$2:F466)/A466)</f>
        <v>1182.3849517790509</v>
      </c>
      <c r="H466" s="5">
        <f t="shared" si="31"/>
        <v>1</v>
      </c>
      <c r="I466" s="5">
        <f t="shared" si="32"/>
        <v>1</v>
      </c>
    </row>
    <row r="467" spans="1:9">
      <c r="A467">
        <v>466</v>
      </c>
      <c r="B467">
        <v>10</v>
      </c>
      <c r="C467">
        <v>6000</v>
      </c>
      <c r="D467">
        <v>6104</v>
      </c>
      <c r="E467" s="5">
        <f t="shared" si="29"/>
        <v>104</v>
      </c>
      <c r="F467" s="5">
        <f t="shared" si="30"/>
        <v>10816</v>
      </c>
      <c r="G467" s="6">
        <f>SQRT(SUM($F$2:F467)/A467)</f>
        <v>1181.1254426007417</v>
      </c>
      <c r="H467" s="5">
        <f t="shared" si="31"/>
        <v>1</v>
      </c>
      <c r="I467" s="5">
        <f t="shared" si="32"/>
        <v>1</v>
      </c>
    </row>
    <row r="468" spans="1:9">
      <c r="A468">
        <v>467</v>
      </c>
      <c r="B468">
        <v>10</v>
      </c>
      <c r="C468">
        <v>6000</v>
      </c>
      <c r="D468">
        <v>5868</v>
      </c>
      <c r="E468" s="5">
        <f t="shared" si="29"/>
        <v>132</v>
      </c>
      <c r="F468" s="5">
        <f t="shared" si="30"/>
        <v>17424</v>
      </c>
      <c r="G468" s="6">
        <f>SQRT(SUM($F$2:F468)/A468)</f>
        <v>1179.875987930543</v>
      </c>
      <c r="H468" s="5">
        <f t="shared" si="31"/>
        <v>1</v>
      </c>
      <c r="I468" s="5">
        <f t="shared" si="32"/>
        <v>1</v>
      </c>
    </row>
    <row r="469" spans="1:9">
      <c r="A469">
        <v>468</v>
      </c>
      <c r="B469">
        <v>10</v>
      </c>
      <c r="C469">
        <v>6000</v>
      </c>
      <c r="D469">
        <v>6039</v>
      </c>
      <c r="E469" s="5">
        <f t="shared" si="29"/>
        <v>39</v>
      </c>
      <c r="F469" s="5">
        <f t="shared" si="30"/>
        <v>1521</v>
      </c>
      <c r="G469" s="6">
        <f>SQRT(SUM($F$2:F469)/A469)</f>
        <v>1178.6161413059845</v>
      </c>
      <c r="H469" s="5">
        <f t="shared" si="31"/>
        <v>1</v>
      </c>
      <c r="I469" s="5">
        <f t="shared" si="32"/>
        <v>1</v>
      </c>
    </row>
    <row r="470" spans="1:9">
      <c r="A470">
        <v>469</v>
      </c>
      <c r="B470">
        <v>10</v>
      </c>
      <c r="C470">
        <v>6000</v>
      </c>
      <c r="D470">
        <v>6069</v>
      </c>
      <c r="E470" s="5">
        <f t="shared" si="29"/>
        <v>69</v>
      </c>
      <c r="F470" s="5">
        <f t="shared" si="30"/>
        <v>4761</v>
      </c>
      <c r="G470" s="6">
        <f>SQRT(SUM($F$2:F470)/A470)</f>
        <v>1177.3632614732596</v>
      </c>
      <c r="H470" s="5">
        <f t="shared" si="31"/>
        <v>1</v>
      </c>
      <c r="I470" s="5">
        <f t="shared" si="32"/>
        <v>1</v>
      </c>
    </row>
    <row r="471" spans="1:9">
      <c r="A471">
        <v>470</v>
      </c>
      <c r="B471">
        <v>10</v>
      </c>
      <c r="C471">
        <v>6000</v>
      </c>
      <c r="D471">
        <v>6139</v>
      </c>
      <c r="E471" s="5">
        <f t="shared" si="29"/>
        <v>139</v>
      </c>
      <c r="F471" s="5">
        <f t="shared" si="30"/>
        <v>19321</v>
      </c>
      <c r="G471" s="6">
        <f>SQRT(SUM($F$2:F471)/A471)</f>
        <v>1176.1275567672217</v>
      </c>
      <c r="H471" s="5">
        <f t="shared" si="31"/>
        <v>1</v>
      </c>
      <c r="I471" s="5">
        <f t="shared" si="32"/>
        <v>1</v>
      </c>
    </row>
    <row r="472" spans="1:9">
      <c r="A472">
        <v>471</v>
      </c>
      <c r="B472">
        <v>10</v>
      </c>
      <c r="C472">
        <v>6000</v>
      </c>
      <c r="D472">
        <v>6672</v>
      </c>
      <c r="E472" s="5">
        <f t="shared" si="29"/>
        <v>672</v>
      </c>
      <c r="F472" s="5">
        <f t="shared" si="30"/>
        <v>451584</v>
      </c>
      <c r="G472" s="6">
        <f>SQRT(SUM($F$2:F472)/A472)</f>
        <v>1175.2863119573503</v>
      </c>
      <c r="H472" s="5">
        <f t="shared" si="31"/>
        <v>1</v>
      </c>
      <c r="I472" s="5">
        <f t="shared" si="32"/>
        <v>0</v>
      </c>
    </row>
    <row r="473" spans="1:9">
      <c r="A473">
        <v>472</v>
      </c>
      <c r="B473">
        <v>9</v>
      </c>
      <c r="C473">
        <v>6000</v>
      </c>
      <c r="D473">
        <v>5903</v>
      </c>
      <c r="E473" s="5">
        <f t="shared" si="29"/>
        <v>97</v>
      </c>
      <c r="F473" s="5">
        <f t="shared" si="30"/>
        <v>9409</v>
      </c>
      <c r="G473" s="6">
        <f>SQRT(SUM($F$2:F473)/A473)</f>
        <v>1174.0491347310435</v>
      </c>
      <c r="H473" s="5">
        <f t="shared" si="31"/>
        <v>1</v>
      </c>
      <c r="I473" s="5">
        <f t="shared" si="32"/>
        <v>1</v>
      </c>
    </row>
    <row r="474" spans="1:9">
      <c r="A474">
        <v>473</v>
      </c>
      <c r="B474">
        <v>10</v>
      </c>
      <c r="C474">
        <v>6000</v>
      </c>
      <c r="D474">
        <v>6483</v>
      </c>
      <c r="E474" s="5">
        <f t="shared" si="29"/>
        <v>483</v>
      </c>
      <c r="F474" s="5">
        <f t="shared" si="30"/>
        <v>233289</v>
      </c>
      <c r="G474" s="6">
        <f>SQRT(SUM($F$2:F474)/A474)</f>
        <v>1173.017662065653</v>
      </c>
      <c r="H474" s="5">
        <f t="shared" si="31"/>
        <v>1</v>
      </c>
      <c r="I474" s="5">
        <f t="shared" si="32"/>
        <v>1</v>
      </c>
    </row>
    <row r="475" spans="1:9">
      <c r="A475">
        <v>474</v>
      </c>
      <c r="B475">
        <v>9</v>
      </c>
      <c r="C475">
        <v>6000</v>
      </c>
      <c r="D475">
        <v>5203</v>
      </c>
      <c r="E475" s="5">
        <f t="shared" si="29"/>
        <v>797</v>
      </c>
      <c r="F475" s="5">
        <f t="shared" si="30"/>
        <v>635209</v>
      </c>
      <c r="G475" s="6">
        <f>SQRT(SUM($F$2:F475)/A475)</f>
        <v>1172.3513328688312</v>
      </c>
      <c r="H475" s="5">
        <f t="shared" si="31"/>
        <v>1</v>
      </c>
      <c r="I475" s="5">
        <f t="shared" si="32"/>
        <v>0</v>
      </c>
    </row>
    <row r="476" spans="1:9">
      <c r="A476">
        <v>475</v>
      </c>
      <c r="B476">
        <v>10</v>
      </c>
      <c r="C476">
        <v>6000</v>
      </c>
      <c r="D476">
        <v>5869</v>
      </c>
      <c r="E476" s="5">
        <f t="shared" si="29"/>
        <v>131</v>
      </c>
      <c r="F476" s="5">
        <f t="shared" si="30"/>
        <v>17161</v>
      </c>
      <c r="G476" s="6">
        <f>SQRT(SUM($F$2:F476)/A476)</f>
        <v>1171.1320533209691</v>
      </c>
      <c r="H476" s="5">
        <f t="shared" si="31"/>
        <v>1</v>
      </c>
      <c r="I476" s="5">
        <f t="shared" si="32"/>
        <v>1</v>
      </c>
    </row>
    <row r="477" spans="1:9">
      <c r="A477">
        <v>476</v>
      </c>
      <c r="B477">
        <v>10</v>
      </c>
      <c r="C477">
        <v>6000</v>
      </c>
      <c r="D477">
        <v>6550</v>
      </c>
      <c r="E477" s="5">
        <f t="shared" si="29"/>
        <v>550</v>
      </c>
      <c r="F477" s="5">
        <f t="shared" si="30"/>
        <v>302500</v>
      </c>
      <c r="G477" s="6">
        <f>SQRT(SUM($F$2:F477)/A477)</f>
        <v>1170.1728002106959</v>
      </c>
      <c r="H477" s="5">
        <f t="shared" si="31"/>
        <v>1</v>
      </c>
      <c r="I477" s="5">
        <f t="shared" si="32"/>
        <v>1</v>
      </c>
    </row>
    <row r="478" spans="1:9">
      <c r="A478">
        <v>477</v>
      </c>
      <c r="B478">
        <v>9</v>
      </c>
      <c r="C478">
        <v>6000</v>
      </c>
      <c r="D478">
        <v>5684</v>
      </c>
      <c r="E478" s="5">
        <f t="shared" si="29"/>
        <v>316</v>
      </c>
      <c r="F478" s="5">
        <f t="shared" si="30"/>
        <v>99856</v>
      </c>
      <c r="G478" s="6">
        <f>SQRT(SUM($F$2:F478)/A478)</f>
        <v>1169.0350999818261</v>
      </c>
      <c r="H478" s="5">
        <f t="shared" si="31"/>
        <v>1</v>
      </c>
      <c r="I478" s="5">
        <f t="shared" si="32"/>
        <v>1</v>
      </c>
    </row>
    <row r="479" spans="1:9">
      <c r="A479">
        <v>478</v>
      </c>
      <c r="B479">
        <v>10</v>
      </c>
      <c r="C479">
        <v>6000</v>
      </c>
      <c r="D479">
        <v>6673</v>
      </c>
      <c r="E479" s="5">
        <f t="shared" si="29"/>
        <v>673</v>
      </c>
      <c r="F479" s="5">
        <f t="shared" si="30"/>
        <v>452929</v>
      </c>
      <c r="G479" s="6">
        <f>SQRT(SUM($F$2:F479)/A479)</f>
        <v>1168.2172440469722</v>
      </c>
      <c r="H479" s="5">
        <f t="shared" si="31"/>
        <v>1</v>
      </c>
      <c r="I479" s="5">
        <f t="shared" si="32"/>
        <v>0</v>
      </c>
    </row>
    <row r="480" spans="1:9">
      <c r="A480">
        <v>479</v>
      </c>
      <c r="B480">
        <v>9</v>
      </c>
      <c r="C480">
        <v>6000</v>
      </c>
      <c r="D480">
        <v>5123</v>
      </c>
      <c r="E480" s="5">
        <f t="shared" si="29"/>
        <v>877</v>
      </c>
      <c r="F480" s="5">
        <f t="shared" si="30"/>
        <v>769129</v>
      </c>
      <c r="G480" s="6">
        <f>SQRT(SUM($F$2:F480)/A480)</f>
        <v>1167.6849319096175</v>
      </c>
      <c r="H480" s="5">
        <f t="shared" si="31"/>
        <v>1</v>
      </c>
      <c r="I480" s="5">
        <f t="shared" si="32"/>
        <v>0</v>
      </c>
    </row>
    <row r="481" spans="1:9">
      <c r="A481">
        <v>480</v>
      </c>
      <c r="B481">
        <v>11</v>
      </c>
      <c r="C481">
        <v>6000</v>
      </c>
      <c r="D481">
        <v>5400</v>
      </c>
      <c r="E481" s="5">
        <f t="shared" si="29"/>
        <v>600</v>
      </c>
      <c r="F481" s="5">
        <f t="shared" si="30"/>
        <v>360000</v>
      </c>
      <c r="G481" s="6">
        <f>SQRT(SUM($F$2:F481)/A481)</f>
        <v>1166.7893983063095</v>
      </c>
      <c r="H481" s="5">
        <f t="shared" si="31"/>
        <v>1</v>
      </c>
      <c r="I481" s="5">
        <f t="shared" si="32"/>
        <v>1</v>
      </c>
    </row>
    <row r="482" spans="1:9">
      <c r="A482">
        <v>481</v>
      </c>
      <c r="B482">
        <v>11</v>
      </c>
      <c r="C482">
        <v>6000</v>
      </c>
      <c r="D482">
        <v>1791</v>
      </c>
      <c r="E482" s="5">
        <f t="shared" si="29"/>
        <v>4209</v>
      </c>
      <c r="F482" s="5">
        <f t="shared" si="30"/>
        <v>17715681</v>
      </c>
      <c r="G482" s="6">
        <f>SQRT(SUM($F$2:F482)/A482)</f>
        <v>1181.2696937605269</v>
      </c>
      <c r="H482" s="5">
        <f t="shared" si="31"/>
        <v>0</v>
      </c>
      <c r="I482" s="5">
        <f t="shared" si="32"/>
        <v>0</v>
      </c>
    </row>
    <row r="483" spans="1:9">
      <c r="A483">
        <v>482</v>
      </c>
      <c r="B483">
        <v>15</v>
      </c>
      <c r="C483">
        <v>6000</v>
      </c>
      <c r="D483">
        <v>4803</v>
      </c>
      <c r="E483" s="5">
        <f t="shared" si="29"/>
        <v>1197</v>
      </c>
      <c r="F483" s="5">
        <f t="shared" si="30"/>
        <v>1432809</v>
      </c>
      <c r="G483" s="6">
        <f>SQRT(SUM($F$2:F483)/A483)</f>
        <v>1181.3025460880845</v>
      </c>
      <c r="H483" s="5">
        <f t="shared" si="31"/>
        <v>1</v>
      </c>
      <c r="I483" s="5">
        <f t="shared" si="32"/>
        <v>0</v>
      </c>
    </row>
    <row r="484" spans="1:9">
      <c r="A484">
        <v>483</v>
      </c>
      <c r="B484">
        <v>13</v>
      </c>
      <c r="C484">
        <v>6000</v>
      </c>
      <c r="D484">
        <v>6945</v>
      </c>
      <c r="E484" s="5">
        <f t="shared" si="29"/>
        <v>945</v>
      </c>
      <c r="F484" s="5">
        <f t="shared" si="30"/>
        <v>893025</v>
      </c>
      <c r="G484" s="6">
        <f>SQRT(SUM($F$2:F484)/A484)</f>
        <v>1180.8621574013662</v>
      </c>
      <c r="H484" s="5">
        <f t="shared" si="31"/>
        <v>1</v>
      </c>
      <c r="I484" s="5">
        <f t="shared" si="32"/>
        <v>0</v>
      </c>
    </row>
    <row r="485" spans="1:9">
      <c r="A485">
        <v>484</v>
      </c>
      <c r="B485">
        <v>10</v>
      </c>
      <c r="C485">
        <v>6000</v>
      </c>
      <c r="D485">
        <v>6157</v>
      </c>
      <c r="E485" s="5">
        <f t="shared" si="29"/>
        <v>157</v>
      </c>
      <c r="F485" s="5">
        <f t="shared" si="30"/>
        <v>24649</v>
      </c>
      <c r="G485" s="6">
        <f>SQRT(SUM($F$2:F485)/A485)</f>
        <v>1179.6632135998229</v>
      </c>
      <c r="H485" s="5">
        <f t="shared" si="31"/>
        <v>1</v>
      </c>
      <c r="I485" s="5">
        <f t="shared" si="32"/>
        <v>1</v>
      </c>
    </row>
    <row r="486" spans="1:9">
      <c r="A486">
        <v>485</v>
      </c>
      <c r="B486">
        <v>11</v>
      </c>
      <c r="C486">
        <v>6000</v>
      </c>
      <c r="D486">
        <v>6395</v>
      </c>
      <c r="E486" s="5">
        <f t="shared" si="29"/>
        <v>395</v>
      </c>
      <c r="F486" s="5">
        <f t="shared" si="30"/>
        <v>156025</v>
      </c>
      <c r="G486" s="6">
        <f>SQRT(SUM($F$2:F486)/A486)</f>
        <v>1178.5829242265265</v>
      </c>
      <c r="H486" s="5">
        <f t="shared" si="31"/>
        <v>1</v>
      </c>
      <c r="I486" s="5">
        <f t="shared" si="32"/>
        <v>1</v>
      </c>
    </row>
    <row r="487" spans="1:9">
      <c r="A487">
        <v>486</v>
      </c>
      <c r="B487">
        <v>11</v>
      </c>
      <c r="C487">
        <v>6000</v>
      </c>
      <c r="D487">
        <v>7039</v>
      </c>
      <c r="E487" s="5">
        <f t="shared" si="29"/>
        <v>1039</v>
      </c>
      <c r="F487" s="5">
        <f t="shared" si="30"/>
        <v>1079521</v>
      </c>
      <c r="G487" s="6">
        <f>SQRT(SUM($F$2:F487)/A487)</f>
        <v>1178.3126929933055</v>
      </c>
      <c r="H487" s="5">
        <f t="shared" si="31"/>
        <v>1</v>
      </c>
      <c r="I487" s="5">
        <f t="shared" si="32"/>
        <v>0</v>
      </c>
    </row>
    <row r="488" spans="1:9">
      <c r="A488">
        <v>487</v>
      </c>
      <c r="B488">
        <v>10</v>
      </c>
      <c r="C488">
        <v>6000</v>
      </c>
      <c r="D488">
        <v>6276</v>
      </c>
      <c r="E488" s="5">
        <f t="shared" si="29"/>
        <v>276</v>
      </c>
      <c r="F488" s="5">
        <f t="shared" si="30"/>
        <v>76176</v>
      </c>
      <c r="G488" s="6">
        <f>SQRT(SUM($F$2:F488)/A488)</f>
        <v>1177.1687451763758</v>
      </c>
      <c r="H488" s="5">
        <f t="shared" si="31"/>
        <v>1</v>
      </c>
      <c r="I488" s="5">
        <f t="shared" si="32"/>
        <v>1</v>
      </c>
    </row>
    <row r="489" spans="1:9">
      <c r="A489">
        <v>488</v>
      </c>
      <c r="B489">
        <v>10</v>
      </c>
      <c r="C489">
        <v>6000</v>
      </c>
      <c r="D489">
        <v>6203</v>
      </c>
      <c r="E489" s="5">
        <f t="shared" si="29"/>
        <v>203</v>
      </c>
      <c r="F489" s="5">
        <f t="shared" si="30"/>
        <v>41209</v>
      </c>
      <c r="G489" s="6">
        <f>SQRT(SUM($F$2:F489)/A489)</f>
        <v>1175.9979150965682</v>
      </c>
      <c r="H489" s="5">
        <f t="shared" si="31"/>
        <v>1</v>
      </c>
      <c r="I489" s="5">
        <f t="shared" si="32"/>
        <v>1</v>
      </c>
    </row>
    <row r="490" spans="1:9">
      <c r="A490">
        <v>489</v>
      </c>
      <c r="B490">
        <v>10</v>
      </c>
      <c r="C490">
        <v>6000</v>
      </c>
      <c r="D490">
        <v>5681</v>
      </c>
      <c r="E490" s="5">
        <f t="shared" si="29"/>
        <v>319</v>
      </c>
      <c r="F490" s="5">
        <f t="shared" si="30"/>
        <v>101761</v>
      </c>
      <c r="G490" s="6">
        <f>SQRT(SUM($F$2:F490)/A490)</f>
        <v>1174.8834132648337</v>
      </c>
      <c r="H490" s="5">
        <f t="shared" si="31"/>
        <v>1</v>
      </c>
      <c r="I490" s="5">
        <f t="shared" si="32"/>
        <v>1</v>
      </c>
    </row>
    <row r="491" spans="1:9">
      <c r="A491">
        <v>490</v>
      </c>
      <c r="B491">
        <v>11</v>
      </c>
      <c r="C491">
        <v>6000</v>
      </c>
      <c r="D491">
        <v>6515</v>
      </c>
      <c r="E491" s="5">
        <f t="shared" si="29"/>
        <v>515</v>
      </c>
      <c r="F491" s="5">
        <f t="shared" si="30"/>
        <v>265225</v>
      </c>
      <c r="G491" s="6">
        <f>SQRT(SUM($F$2:F491)/A491)</f>
        <v>1173.9145059785822</v>
      </c>
      <c r="H491" s="5">
        <f t="shared" si="31"/>
        <v>1</v>
      </c>
      <c r="I491" s="5">
        <f t="shared" si="32"/>
        <v>1</v>
      </c>
    </row>
    <row r="492" spans="1:9">
      <c r="A492">
        <v>491</v>
      </c>
      <c r="B492">
        <v>10</v>
      </c>
      <c r="C492">
        <v>6000</v>
      </c>
      <c r="D492">
        <v>6202</v>
      </c>
      <c r="E492" s="5">
        <f t="shared" si="29"/>
        <v>202</v>
      </c>
      <c r="F492" s="5">
        <f t="shared" si="30"/>
        <v>40804</v>
      </c>
      <c r="G492" s="6">
        <f>SQRT(SUM($F$2:F492)/A492)</f>
        <v>1172.7538960118607</v>
      </c>
      <c r="H492" s="5">
        <f t="shared" si="31"/>
        <v>1</v>
      </c>
      <c r="I492" s="5">
        <f t="shared" si="32"/>
        <v>1</v>
      </c>
    </row>
    <row r="493" spans="1:9">
      <c r="A493">
        <v>492</v>
      </c>
      <c r="B493">
        <v>10</v>
      </c>
      <c r="C493">
        <v>6000</v>
      </c>
      <c r="D493">
        <v>5932</v>
      </c>
      <c r="E493" s="5">
        <f t="shared" si="29"/>
        <v>68</v>
      </c>
      <c r="F493" s="5">
        <f t="shared" si="30"/>
        <v>4624</v>
      </c>
      <c r="G493" s="6">
        <f>SQRT(SUM($F$2:F493)/A493)</f>
        <v>1171.5654777686082</v>
      </c>
      <c r="H493" s="5">
        <f t="shared" si="31"/>
        <v>1</v>
      </c>
      <c r="I493" s="5">
        <f t="shared" si="32"/>
        <v>1</v>
      </c>
    </row>
    <row r="494" spans="1:9">
      <c r="A494">
        <v>493</v>
      </c>
      <c r="B494">
        <v>11</v>
      </c>
      <c r="C494">
        <v>6000</v>
      </c>
      <c r="D494">
        <v>6805</v>
      </c>
      <c r="E494" s="5">
        <f t="shared" si="29"/>
        <v>805</v>
      </c>
      <c r="F494" s="5">
        <f t="shared" si="30"/>
        <v>648025</v>
      </c>
      <c r="G494" s="6">
        <f>SQRT(SUM($F$2:F494)/A494)</f>
        <v>1170.9380906650811</v>
      </c>
      <c r="H494" s="5">
        <f t="shared" si="31"/>
        <v>1</v>
      </c>
      <c r="I494" s="5">
        <f t="shared" si="32"/>
        <v>0</v>
      </c>
    </row>
    <row r="495" spans="1:9">
      <c r="A495">
        <v>494</v>
      </c>
      <c r="B495">
        <v>10</v>
      </c>
      <c r="C495">
        <v>6000</v>
      </c>
      <c r="D495">
        <v>5861</v>
      </c>
      <c r="E495" s="5">
        <f t="shared" si="29"/>
        <v>139</v>
      </c>
      <c r="F495" s="5">
        <f t="shared" si="30"/>
        <v>19321</v>
      </c>
      <c r="G495" s="6">
        <f>SQRT(SUM($F$2:F495)/A495)</f>
        <v>1169.7690479347077</v>
      </c>
      <c r="H495" s="5">
        <f t="shared" si="31"/>
        <v>1</v>
      </c>
      <c r="I495" s="5">
        <f t="shared" si="32"/>
        <v>1</v>
      </c>
    </row>
    <row r="496" spans="1:9">
      <c r="A496">
        <v>495</v>
      </c>
      <c r="B496">
        <v>10</v>
      </c>
      <c r="C496">
        <v>6000</v>
      </c>
      <c r="D496">
        <v>6334</v>
      </c>
      <c r="E496" s="5">
        <f t="shared" si="29"/>
        <v>334</v>
      </c>
      <c r="F496" s="5">
        <f t="shared" si="30"/>
        <v>111556</v>
      </c>
      <c r="G496" s="6">
        <f>SQRT(SUM($F$2:F496)/A496)</f>
        <v>1168.6832882705341</v>
      </c>
      <c r="H496" s="5">
        <f t="shared" si="31"/>
        <v>1</v>
      </c>
      <c r="I496" s="5">
        <f t="shared" si="32"/>
        <v>1</v>
      </c>
    </row>
    <row r="497" spans="1:9">
      <c r="A497">
        <v>496</v>
      </c>
      <c r="B497">
        <v>10</v>
      </c>
      <c r="C497">
        <v>6000</v>
      </c>
      <c r="D497">
        <v>6360</v>
      </c>
      <c r="E497" s="5">
        <f t="shared" si="29"/>
        <v>360</v>
      </c>
      <c r="F497" s="5">
        <f t="shared" si="30"/>
        <v>129600</v>
      </c>
      <c r="G497" s="6">
        <f>SQRT(SUM($F$2:F497)/A497)</f>
        <v>1167.6164815485738</v>
      </c>
      <c r="H497" s="5">
        <f t="shared" si="31"/>
        <v>1</v>
      </c>
      <c r="I497" s="5">
        <f t="shared" si="32"/>
        <v>1</v>
      </c>
    </row>
    <row r="498" spans="1:9">
      <c r="A498">
        <v>497</v>
      </c>
      <c r="B498">
        <v>10</v>
      </c>
      <c r="C498">
        <v>6000</v>
      </c>
      <c r="D498">
        <v>5925</v>
      </c>
      <c r="E498" s="5">
        <f t="shared" si="29"/>
        <v>75</v>
      </c>
      <c r="F498" s="5">
        <f t="shared" si="30"/>
        <v>5625</v>
      </c>
      <c r="G498" s="6">
        <f>SQRT(SUM($F$2:F498)/A498)</f>
        <v>1166.4460770666706</v>
      </c>
      <c r="H498" s="5">
        <f t="shared" si="31"/>
        <v>1</v>
      </c>
      <c r="I498" s="5">
        <f t="shared" si="32"/>
        <v>1</v>
      </c>
    </row>
    <row r="499" spans="1:9">
      <c r="A499">
        <v>498</v>
      </c>
      <c r="B499">
        <v>10</v>
      </c>
      <c r="C499">
        <v>6000</v>
      </c>
      <c r="D499">
        <v>6932</v>
      </c>
      <c r="E499" s="5">
        <f t="shared" si="29"/>
        <v>932</v>
      </c>
      <c r="F499" s="5">
        <f t="shared" si="30"/>
        <v>868624</v>
      </c>
      <c r="G499" s="6">
        <f>SQRT(SUM($F$2:F499)/A499)</f>
        <v>1166.022535895798</v>
      </c>
      <c r="H499" s="5">
        <f t="shared" si="31"/>
        <v>1</v>
      </c>
      <c r="I499" s="5">
        <f t="shared" si="32"/>
        <v>0</v>
      </c>
    </row>
    <row r="500" spans="1:9">
      <c r="A500">
        <v>499</v>
      </c>
      <c r="B500">
        <v>9</v>
      </c>
      <c r="C500">
        <v>6000</v>
      </c>
      <c r="D500">
        <v>5206</v>
      </c>
      <c r="E500" s="5">
        <f t="shared" si="29"/>
        <v>794</v>
      </c>
      <c r="F500" s="5">
        <f t="shared" si="30"/>
        <v>630436</v>
      </c>
      <c r="G500" s="6">
        <f>SQRT(SUM($F$2:F500)/A500)</f>
        <v>1165.3957639244902</v>
      </c>
      <c r="H500" s="5">
        <f t="shared" si="31"/>
        <v>1</v>
      </c>
      <c r="I500" s="5">
        <f t="shared" si="32"/>
        <v>0</v>
      </c>
    </row>
    <row r="501" spans="1:9">
      <c r="A501">
        <v>500</v>
      </c>
      <c r="B501">
        <v>11</v>
      </c>
      <c r="C501">
        <v>6000</v>
      </c>
      <c r="D501">
        <v>6745</v>
      </c>
      <c r="E501" s="5">
        <f t="shared" si="29"/>
        <v>745</v>
      </c>
      <c r="F501" s="5">
        <f t="shared" si="30"/>
        <v>555025</v>
      </c>
      <c r="G501" s="6">
        <f>SQRT(SUM($F$2:F501)/A501)</f>
        <v>1164.7064188026097</v>
      </c>
      <c r="H501" s="5">
        <f t="shared" si="31"/>
        <v>1</v>
      </c>
      <c r="I501" s="5">
        <f t="shared" si="32"/>
        <v>0</v>
      </c>
    </row>
    <row r="502" spans="1:9">
      <c r="A502">
        <v>501</v>
      </c>
      <c r="B502">
        <v>9</v>
      </c>
      <c r="C502">
        <v>9000</v>
      </c>
      <c r="D502">
        <v>5197</v>
      </c>
      <c r="E502" s="5">
        <f t="shared" si="29"/>
        <v>3803</v>
      </c>
      <c r="F502" s="5">
        <f t="shared" si="30"/>
        <v>14462809</v>
      </c>
      <c r="G502" s="6">
        <f>SQRT(SUM($F$2:F502)/A502)</f>
        <v>1175.8831819041507</v>
      </c>
      <c r="H502" s="5">
        <f t="shared" si="31"/>
        <v>0</v>
      </c>
      <c r="I502" s="5">
        <f t="shared" si="32"/>
        <v>0</v>
      </c>
    </row>
    <row r="503" spans="1:9">
      <c r="A503">
        <v>502</v>
      </c>
      <c r="B503">
        <v>14</v>
      </c>
      <c r="C503">
        <v>9000</v>
      </c>
      <c r="D503">
        <v>7985</v>
      </c>
      <c r="E503" s="5">
        <f t="shared" si="29"/>
        <v>1015</v>
      </c>
      <c r="F503" s="5">
        <f t="shared" si="30"/>
        <v>1030225</v>
      </c>
      <c r="G503" s="6">
        <f>SQRT(SUM($F$2:F503)/A503)</f>
        <v>1175.5845837479396</v>
      </c>
      <c r="H503" s="5">
        <f t="shared" si="31"/>
        <v>1</v>
      </c>
      <c r="I503" s="5">
        <f t="shared" si="32"/>
        <v>0</v>
      </c>
    </row>
    <row r="504" spans="1:9">
      <c r="A504">
        <v>503</v>
      </c>
      <c r="B504">
        <v>12</v>
      </c>
      <c r="C504">
        <v>9000</v>
      </c>
      <c r="D504">
        <v>7876</v>
      </c>
      <c r="E504" s="5">
        <f t="shared" si="29"/>
        <v>1124</v>
      </c>
      <c r="F504" s="5">
        <f t="shared" si="30"/>
        <v>1263376</v>
      </c>
      <c r="G504" s="6">
        <f>SQRT(SUM($F$2:F504)/A504)</f>
        <v>1175.4842756524492</v>
      </c>
      <c r="H504" s="5">
        <f t="shared" si="31"/>
        <v>1</v>
      </c>
      <c r="I504" s="5">
        <f t="shared" si="32"/>
        <v>0</v>
      </c>
    </row>
    <row r="505" spans="1:9">
      <c r="A505">
        <v>504</v>
      </c>
      <c r="B505">
        <v>13</v>
      </c>
      <c r="C505">
        <v>9000</v>
      </c>
      <c r="D505">
        <v>7654</v>
      </c>
      <c r="E505" s="5">
        <f t="shared" si="29"/>
        <v>1346</v>
      </c>
      <c r="F505" s="5">
        <f t="shared" si="30"/>
        <v>1811716</v>
      </c>
      <c r="G505" s="6">
        <f>SQRT(SUM($F$2:F505)/A505)</f>
        <v>1175.8470832107541</v>
      </c>
      <c r="H505" s="5">
        <f t="shared" si="31"/>
        <v>1</v>
      </c>
      <c r="I505" s="5">
        <f t="shared" si="32"/>
        <v>0</v>
      </c>
    </row>
    <row r="506" spans="1:9">
      <c r="A506">
        <v>505</v>
      </c>
      <c r="B506">
        <v>13</v>
      </c>
      <c r="C506">
        <v>9000</v>
      </c>
      <c r="D506">
        <v>8343</v>
      </c>
      <c r="E506" s="5">
        <f t="shared" si="29"/>
        <v>657</v>
      </c>
      <c r="F506" s="5">
        <f t="shared" si="30"/>
        <v>431649</v>
      </c>
      <c r="G506" s="6">
        <f>SQRT(SUM($F$2:F506)/A506)</f>
        <v>1175.0460669292675</v>
      </c>
      <c r="H506" s="5">
        <f t="shared" si="31"/>
        <v>1</v>
      </c>
      <c r="I506" s="5">
        <f t="shared" si="32"/>
        <v>1</v>
      </c>
    </row>
    <row r="507" spans="1:9">
      <c r="A507">
        <v>506</v>
      </c>
      <c r="B507">
        <v>13</v>
      </c>
      <c r="C507">
        <v>9000</v>
      </c>
      <c r="D507">
        <v>7732</v>
      </c>
      <c r="E507" s="5">
        <f t="shared" si="29"/>
        <v>1268</v>
      </c>
      <c r="F507" s="5">
        <f t="shared" si="30"/>
        <v>1607824</v>
      </c>
      <c r="G507" s="6">
        <f>SQRT(SUM($F$2:F507)/A507)</f>
        <v>1175.2370209178948</v>
      </c>
      <c r="H507" s="5">
        <f t="shared" si="31"/>
        <v>1</v>
      </c>
      <c r="I507" s="5">
        <f t="shared" si="32"/>
        <v>0</v>
      </c>
    </row>
    <row r="508" spans="1:9">
      <c r="A508">
        <v>507</v>
      </c>
      <c r="B508">
        <v>14</v>
      </c>
      <c r="C508">
        <v>9000</v>
      </c>
      <c r="D508">
        <v>8510</v>
      </c>
      <c r="E508" s="5">
        <f t="shared" si="29"/>
        <v>490</v>
      </c>
      <c r="F508" s="5">
        <f t="shared" si="30"/>
        <v>240100</v>
      </c>
      <c r="G508" s="6">
        <f>SQRT(SUM($F$2:F508)/A508)</f>
        <v>1174.2790981680962</v>
      </c>
      <c r="H508" s="5">
        <f t="shared" si="31"/>
        <v>1</v>
      </c>
      <c r="I508" s="5">
        <f t="shared" si="32"/>
        <v>1</v>
      </c>
    </row>
    <row r="509" spans="1:9">
      <c r="A509">
        <v>508</v>
      </c>
      <c r="B509">
        <v>13</v>
      </c>
      <c r="C509">
        <v>9000</v>
      </c>
      <c r="D509">
        <v>8256</v>
      </c>
      <c r="E509" s="5">
        <f t="shared" si="29"/>
        <v>744</v>
      </c>
      <c r="F509" s="5">
        <f t="shared" si="30"/>
        <v>553536</v>
      </c>
      <c r="G509" s="6">
        <f>SQRT(SUM($F$2:F509)/A509)</f>
        <v>1173.5870680521375</v>
      </c>
      <c r="H509" s="5">
        <f t="shared" si="31"/>
        <v>1</v>
      </c>
      <c r="I509" s="5">
        <f t="shared" si="32"/>
        <v>1</v>
      </c>
    </row>
    <row r="510" spans="1:9">
      <c r="A510">
        <v>509</v>
      </c>
      <c r="B510">
        <v>14</v>
      </c>
      <c r="C510">
        <v>9000</v>
      </c>
      <c r="D510">
        <v>8563</v>
      </c>
      <c r="E510" s="5">
        <f t="shared" si="29"/>
        <v>437</v>
      </c>
      <c r="F510" s="5">
        <f t="shared" si="30"/>
        <v>190969</v>
      </c>
      <c r="G510" s="6">
        <f>SQRT(SUM($F$2:F510)/A510)</f>
        <v>1172.5936568506772</v>
      </c>
      <c r="H510" s="5">
        <f t="shared" si="31"/>
        <v>1</v>
      </c>
      <c r="I510" s="5">
        <f t="shared" si="32"/>
        <v>1</v>
      </c>
    </row>
    <row r="511" spans="1:9">
      <c r="A511">
        <v>510</v>
      </c>
      <c r="B511">
        <v>13</v>
      </c>
      <c r="C511">
        <v>9000</v>
      </c>
      <c r="D511">
        <v>7859</v>
      </c>
      <c r="E511" s="5">
        <f t="shared" si="29"/>
        <v>1141</v>
      </c>
      <c r="F511" s="5">
        <f t="shared" si="30"/>
        <v>1301881</v>
      </c>
      <c r="G511" s="6">
        <f>SQRT(SUM($F$2:F511)/A511)</f>
        <v>1172.5325414607109</v>
      </c>
      <c r="H511" s="5">
        <f t="shared" si="31"/>
        <v>1</v>
      </c>
      <c r="I511" s="5">
        <f t="shared" si="32"/>
        <v>0</v>
      </c>
    </row>
    <row r="512" spans="1:9">
      <c r="A512">
        <v>511</v>
      </c>
      <c r="B512">
        <v>14</v>
      </c>
      <c r="C512">
        <v>9000</v>
      </c>
      <c r="D512">
        <v>8597</v>
      </c>
      <c r="E512" s="5">
        <f t="shared" si="29"/>
        <v>403</v>
      </c>
      <c r="F512" s="5">
        <f t="shared" si="30"/>
        <v>162409</v>
      </c>
      <c r="G512" s="6">
        <f>SQRT(SUM($F$2:F512)/A512)</f>
        <v>1171.5203420928626</v>
      </c>
      <c r="H512" s="5">
        <f t="shared" si="31"/>
        <v>1</v>
      </c>
      <c r="I512" s="5">
        <f t="shared" si="32"/>
        <v>1</v>
      </c>
    </row>
    <row r="513" spans="1:9">
      <c r="A513">
        <v>512</v>
      </c>
      <c r="B513">
        <v>14</v>
      </c>
      <c r="C513">
        <v>9000</v>
      </c>
      <c r="D513">
        <v>8640</v>
      </c>
      <c r="E513" s="5">
        <f t="shared" si="29"/>
        <v>360</v>
      </c>
      <c r="F513" s="5">
        <f t="shared" si="30"/>
        <v>129600</v>
      </c>
      <c r="G513" s="6">
        <f>SQRT(SUM($F$2:F513)/A513)</f>
        <v>1170.4838534434703</v>
      </c>
      <c r="H513" s="5">
        <f t="shared" si="31"/>
        <v>1</v>
      </c>
      <c r="I513" s="5">
        <f t="shared" si="32"/>
        <v>1</v>
      </c>
    </row>
    <row r="514" spans="1:9">
      <c r="A514">
        <v>513</v>
      </c>
      <c r="B514">
        <v>14</v>
      </c>
      <c r="C514">
        <v>9000</v>
      </c>
      <c r="D514">
        <v>9064</v>
      </c>
      <c r="E514" s="5">
        <f t="shared" si="29"/>
        <v>64</v>
      </c>
      <c r="F514" s="5">
        <f t="shared" si="30"/>
        <v>4096</v>
      </c>
      <c r="G514" s="6">
        <f>SQRT(SUM($F$2:F514)/A514)</f>
        <v>1169.3458885280882</v>
      </c>
      <c r="H514" s="5">
        <f t="shared" si="31"/>
        <v>1</v>
      </c>
      <c r="I514" s="5">
        <f t="shared" si="32"/>
        <v>1</v>
      </c>
    </row>
    <row r="515" spans="1:9">
      <c r="A515">
        <v>514</v>
      </c>
      <c r="B515">
        <v>13</v>
      </c>
      <c r="C515">
        <v>9000</v>
      </c>
      <c r="D515">
        <v>8525</v>
      </c>
      <c r="E515" s="5">
        <f t="shared" ref="E515:E578" si="33">ABS(C515-D515)</f>
        <v>475</v>
      </c>
      <c r="F515" s="5">
        <f t="shared" ref="F515:F578" si="34">POWER(E515,2)</f>
        <v>225625</v>
      </c>
      <c r="G515" s="6">
        <f>SQRT(SUM($F$2:F515)/A515)</f>
        <v>1168.3957007874847</v>
      </c>
      <c r="H515" s="5">
        <f t="shared" ref="H515:H578" si="35">IF(ABS(E515)/C515&gt;0.2,0,1)</f>
        <v>1</v>
      </c>
      <c r="I515" s="5">
        <f t="shared" ref="I515:I578" si="36">IF(ABS(E515)/C515&gt;0.1,0,1)</f>
        <v>1</v>
      </c>
    </row>
    <row r="516" spans="1:9">
      <c r="A516">
        <v>515</v>
      </c>
      <c r="B516">
        <v>14</v>
      </c>
      <c r="C516">
        <v>9000</v>
      </c>
      <c r="D516">
        <v>8517</v>
      </c>
      <c r="E516" s="5">
        <f t="shared" si="33"/>
        <v>483</v>
      </c>
      <c r="F516" s="5">
        <f t="shared" si="34"/>
        <v>233289</v>
      </c>
      <c r="G516" s="6">
        <f>SQRT(SUM($F$2:F516)/A516)</f>
        <v>1167.454807757174</v>
      </c>
      <c r="H516" s="5">
        <f t="shared" si="35"/>
        <v>1</v>
      </c>
      <c r="I516" s="5">
        <f t="shared" si="36"/>
        <v>1</v>
      </c>
    </row>
    <row r="517" spans="1:9">
      <c r="A517">
        <v>516</v>
      </c>
      <c r="B517">
        <v>14</v>
      </c>
      <c r="C517">
        <v>9000</v>
      </c>
      <c r="D517">
        <v>8851</v>
      </c>
      <c r="E517" s="5">
        <f t="shared" si="33"/>
        <v>149</v>
      </c>
      <c r="F517" s="5">
        <f t="shared" si="34"/>
        <v>22201</v>
      </c>
      <c r="G517" s="6">
        <f>SQRT(SUM($F$2:F517)/A517)</f>
        <v>1166.3414491344258</v>
      </c>
      <c r="H517" s="5">
        <f t="shared" si="35"/>
        <v>1</v>
      </c>
      <c r="I517" s="5">
        <f t="shared" si="36"/>
        <v>1</v>
      </c>
    </row>
    <row r="518" spans="1:9">
      <c r="A518">
        <v>517</v>
      </c>
      <c r="B518">
        <v>14</v>
      </c>
      <c r="C518">
        <v>9000</v>
      </c>
      <c r="D518">
        <v>7985</v>
      </c>
      <c r="E518" s="5">
        <f t="shared" si="33"/>
        <v>1015</v>
      </c>
      <c r="F518" s="5">
        <f t="shared" si="34"/>
        <v>1030225</v>
      </c>
      <c r="G518" s="6">
        <f>SQRT(SUM($F$2:F518)/A518)</f>
        <v>1166.0676788769467</v>
      </c>
      <c r="H518" s="5">
        <f t="shared" si="35"/>
        <v>1</v>
      </c>
      <c r="I518" s="5">
        <f t="shared" si="36"/>
        <v>0</v>
      </c>
    </row>
    <row r="519" spans="1:9">
      <c r="A519">
        <v>518</v>
      </c>
      <c r="B519">
        <v>15</v>
      </c>
      <c r="C519">
        <v>9000</v>
      </c>
      <c r="D519">
        <v>9622</v>
      </c>
      <c r="E519" s="5">
        <f t="shared" si="33"/>
        <v>622</v>
      </c>
      <c r="F519" s="5">
        <f t="shared" si="34"/>
        <v>386884</v>
      </c>
      <c r="G519" s="6">
        <f>SQRT(SUM($F$2:F519)/A519)</f>
        <v>1165.2621086490722</v>
      </c>
      <c r="H519" s="5">
        <f t="shared" si="35"/>
        <v>1</v>
      </c>
      <c r="I519" s="5">
        <f t="shared" si="36"/>
        <v>1</v>
      </c>
    </row>
    <row r="520" spans="1:9">
      <c r="A520">
        <v>519</v>
      </c>
      <c r="B520">
        <v>13</v>
      </c>
      <c r="C520">
        <v>9000</v>
      </c>
      <c r="D520">
        <v>7852</v>
      </c>
      <c r="E520" s="5">
        <f t="shared" si="33"/>
        <v>1148</v>
      </c>
      <c r="F520" s="5">
        <f t="shared" si="34"/>
        <v>1317904</v>
      </c>
      <c r="G520" s="6">
        <f>SQRT(SUM($F$2:F520)/A520)</f>
        <v>1165.2290942144612</v>
      </c>
      <c r="H520" s="5">
        <f t="shared" si="35"/>
        <v>1</v>
      </c>
      <c r="I520" s="5">
        <f t="shared" si="36"/>
        <v>0</v>
      </c>
    </row>
    <row r="521" spans="1:9">
      <c r="A521">
        <v>520</v>
      </c>
      <c r="B521">
        <v>15</v>
      </c>
      <c r="C521">
        <v>9000</v>
      </c>
      <c r="D521">
        <v>9083</v>
      </c>
      <c r="E521" s="5">
        <f t="shared" si="33"/>
        <v>83</v>
      </c>
      <c r="F521" s="5">
        <f t="shared" si="34"/>
        <v>6889</v>
      </c>
      <c r="G521" s="6">
        <f>SQRT(SUM($F$2:F521)/A521)</f>
        <v>1164.1138326575349</v>
      </c>
      <c r="H521" s="5">
        <f t="shared" si="35"/>
        <v>1</v>
      </c>
      <c r="I521" s="5">
        <f t="shared" si="36"/>
        <v>1</v>
      </c>
    </row>
    <row r="522" spans="1:9">
      <c r="A522">
        <v>521</v>
      </c>
      <c r="B522">
        <v>14</v>
      </c>
      <c r="C522">
        <v>9000</v>
      </c>
      <c r="D522">
        <v>8824</v>
      </c>
      <c r="E522" s="5">
        <f t="shared" si="33"/>
        <v>176</v>
      </c>
      <c r="F522" s="5">
        <f t="shared" si="34"/>
        <v>30976</v>
      </c>
      <c r="G522" s="6">
        <f>SQRT(SUM($F$2:F522)/A522)</f>
        <v>1163.0216650923096</v>
      </c>
      <c r="H522" s="5">
        <f t="shared" si="35"/>
        <v>1</v>
      </c>
      <c r="I522" s="5">
        <f t="shared" si="36"/>
        <v>1</v>
      </c>
    </row>
    <row r="523" spans="1:9">
      <c r="A523">
        <v>522</v>
      </c>
      <c r="B523">
        <v>14</v>
      </c>
      <c r="C523">
        <v>9000</v>
      </c>
      <c r="D523">
        <v>9606</v>
      </c>
      <c r="E523" s="5">
        <f t="shared" si="33"/>
        <v>606</v>
      </c>
      <c r="F523" s="5">
        <f t="shared" si="34"/>
        <v>367236</v>
      </c>
      <c r="G523" s="6">
        <f>SQRT(SUM($F$2:F523)/A523)</f>
        <v>1162.2098286556327</v>
      </c>
      <c r="H523" s="5">
        <f t="shared" si="35"/>
        <v>1</v>
      </c>
      <c r="I523" s="5">
        <f t="shared" si="36"/>
        <v>1</v>
      </c>
    </row>
    <row r="524" spans="1:9">
      <c r="A524">
        <v>523</v>
      </c>
      <c r="B524">
        <v>14</v>
      </c>
      <c r="C524">
        <v>9000</v>
      </c>
      <c r="D524">
        <v>8879</v>
      </c>
      <c r="E524" s="5">
        <f t="shared" si="33"/>
        <v>121</v>
      </c>
      <c r="F524" s="5">
        <f t="shared" si="34"/>
        <v>14641</v>
      </c>
      <c r="G524" s="6">
        <f>SQRT(SUM($F$2:F524)/A524)</f>
        <v>1161.110252784144</v>
      </c>
      <c r="H524" s="5">
        <f t="shared" si="35"/>
        <v>1</v>
      </c>
      <c r="I524" s="5">
        <f t="shared" si="36"/>
        <v>1</v>
      </c>
    </row>
    <row r="525" spans="1:9">
      <c r="A525">
        <v>524</v>
      </c>
      <c r="B525">
        <v>14</v>
      </c>
      <c r="C525">
        <v>9000</v>
      </c>
      <c r="D525">
        <v>8524</v>
      </c>
      <c r="E525" s="5">
        <f t="shared" si="33"/>
        <v>476</v>
      </c>
      <c r="F525" s="5">
        <f t="shared" si="34"/>
        <v>226576</v>
      </c>
      <c r="G525" s="6">
        <f>SQRT(SUM($F$2:F525)/A525)</f>
        <v>1160.1881567919513</v>
      </c>
      <c r="H525" s="5">
        <f t="shared" si="35"/>
        <v>1</v>
      </c>
      <c r="I525" s="5">
        <f t="shared" si="36"/>
        <v>1</v>
      </c>
    </row>
    <row r="526" spans="1:9">
      <c r="A526">
        <v>525</v>
      </c>
      <c r="B526">
        <v>15</v>
      </c>
      <c r="C526">
        <v>9000</v>
      </c>
      <c r="D526">
        <v>9013</v>
      </c>
      <c r="E526" s="5">
        <f t="shared" si="33"/>
        <v>13</v>
      </c>
      <c r="F526" s="5">
        <f t="shared" si="34"/>
        <v>169</v>
      </c>
      <c r="G526" s="6">
        <f>SQRT(SUM($F$2:F526)/A526)</f>
        <v>1159.0828278879651</v>
      </c>
      <c r="H526" s="5">
        <f t="shared" si="35"/>
        <v>1</v>
      </c>
      <c r="I526" s="5">
        <f t="shared" si="36"/>
        <v>1</v>
      </c>
    </row>
    <row r="527" spans="1:9">
      <c r="A527">
        <v>526</v>
      </c>
      <c r="B527">
        <v>14</v>
      </c>
      <c r="C527">
        <v>9000</v>
      </c>
      <c r="D527">
        <v>8584</v>
      </c>
      <c r="E527" s="5">
        <f t="shared" si="33"/>
        <v>416</v>
      </c>
      <c r="F527" s="5">
        <f t="shared" si="34"/>
        <v>173056</v>
      </c>
      <c r="G527" s="6">
        <f>SQRT(SUM($F$2:F527)/A527)</f>
        <v>1158.1225645520922</v>
      </c>
      <c r="H527" s="5">
        <f t="shared" si="35"/>
        <v>1</v>
      </c>
      <c r="I527" s="5">
        <f t="shared" si="36"/>
        <v>1</v>
      </c>
    </row>
    <row r="528" spans="1:9">
      <c r="A528">
        <v>527</v>
      </c>
      <c r="B528">
        <v>15</v>
      </c>
      <c r="C528">
        <v>9000</v>
      </c>
      <c r="D528">
        <v>9021</v>
      </c>
      <c r="E528" s="5">
        <f t="shared" si="33"/>
        <v>21</v>
      </c>
      <c r="F528" s="5">
        <f t="shared" si="34"/>
        <v>441</v>
      </c>
      <c r="G528" s="6">
        <f>SQRT(SUM($F$2:F528)/A528)</f>
        <v>1157.0236164211847</v>
      </c>
      <c r="H528" s="5">
        <f t="shared" si="35"/>
        <v>1</v>
      </c>
      <c r="I528" s="5">
        <f t="shared" si="36"/>
        <v>1</v>
      </c>
    </row>
    <row r="529" spans="1:9">
      <c r="A529">
        <v>528</v>
      </c>
      <c r="B529">
        <v>14</v>
      </c>
      <c r="C529">
        <v>9000</v>
      </c>
      <c r="D529">
        <v>8529</v>
      </c>
      <c r="E529" s="5">
        <f t="shared" si="33"/>
        <v>471</v>
      </c>
      <c r="F529" s="5">
        <f t="shared" si="34"/>
        <v>221841</v>
      </c>
      <c r="G529" s="6">
        <f>SQRT(SUM($F$2:F529)/A529)</f>
        <v>1156.1091552218929</v>
      </c>
      <c r="H529" s="5">
        <f t="shared" si="35"/>
        <v>1</v>
      </c>
      <c r="I529" s="5">
        <f t="shared" si="36"/>
        <v>1</v>
      </c>
    </row>
    <row r="530" spans="1:9">
      <c r="A530">
        <v>529</v>
      </c>
      <c r="B530">
        <v>15</v>
      </c>
      <c r="C530">
        <v>9000</v>
      </c>
      <c r="D530">
        <v>9308</v>
      </c>
      <c r="E530" s="5">
        <f t="shared" si="33"/>
        <v>308</v>
      </c>
      <c r="F530" s="5">
        <f t="shared" si="34"/>
        <v>94864</v>
      </c>
      <c r="G530" s="6">
        <f>SQRT(SUM($F$2:F530)/A530)</f>
        <v>1155.0935346213341</v>
      </c>
      <c r="H530" s="5">
        <f t="shared" si="35"/>
        <v>1</v>
      </c>
      <c r="I530" s="5">
        <f t="shared" si="36"/>
        <v>1</v>
      </c>
    </row>
    <row r="531" spans="1:9">
      <c r="A531">
        <v>530</v>
      </c>
      <c r="B531">
        <v>14</v>
      </c>
      <c r="C531">
        <v>9000</v>
      </c>
      <c r="D531">
        <v>9050</v>
      </c>
      <c r="E531" s="5">
        <f t="shared" si="33"/>
        <v>50</v>
      </c>
      <c r="F531" s="5">
        <f t="shared" si="34"/>
        <v>2500</v>
      </c>
      <c r="G531" s="6">
        <f>SQRT(SUM($F$2:F531)/A531)</f>
        <v>1154.0053529845436</v>
      </c>
      <c r="H531" s="5">
        <f t="shared" si="35"/>
        <v>1</v>
      </c>
      <c r="I531" s="5">
        <f t="shared" si="36"/>
        <v>1</v>
      </c>
    </row>
    <row r="532" spans="1:9">
      <c r="A532">
        <v>531</v>
      </c>
      <c r="B532">
        <v>14</v>
      </c>
      <c r="C532">
        <v>9000</v>
      </c>
      <c r="D532">
        <v>8161</v>
      </c>
      <c r="E532" s="5">
        <f t="shared" si="33"/>
        <v>839</v>
      </c>
      <c r="F532" s="5">
        <f t="shared" si="34"/>
        <v>703921</v>
      </c>
      <c r="G532" s="6">
        <f>SQRT(SUM($F$2:F532)/A532)</f>
        <v>1153.4929749740572</v>
      </c>
      <c r="H532" s="5">
        <f t="shared" si="35"/>
        <v>1</v>
      </c>
      <c r="I532" s="5">
        <f t="shared" si="36"/>
        <v>1</v>
      </c>
    </row>
    <row r="533" spans="1:9">
      <c r="A533">
        <v>532</v>
      </c>
      <c r="B533">
        <v>15</v>
      </c>
      <c r="C533">
        <v>9000</v>
      </c>
      <c r="D533">
        <v>8905</v>
      </c>
      <c r="E533" s="5">
        <f t="shared" si="33"/>
        <v>95</v>
      </c>
      <c r="F533" s="5">
        <f t="shared" si="34"/>
        <v>9025</v>
      </c>
      <c r="G533" s="6">
        <f>SQRT(SUM($F$2:F533)/A533)</f>
        <v>1152.4157154443042</v>
      </c>
      <c r="H533" s="5">
        <f t="shared" si="35"/>
        <v>1</v>
      </c>
      <c r="I533" s="5">
        <f t="shared" si="36"/>
        <v>1</v>
      </c>
    </row>
    <row r="534" spans="1:9">
      <c r="A534">
        <v>533</v>
      </c>
      <c r="B534">
        <v>15</v>
      </c>
      <c r="C534">
        <v>9000</v>
      </c>
      <c r="D534">
        <v>9739</v>
      </c>
      <c r="E534" s="5">
        <f t="shared" si="33"/>
        <v>739</v>
      </c>
      <c r="F534" s="5">
        <f t="shared" si="34"/>
        <v>546121</v>
      </c>
      <c r="G534" s="6">
        <f>SQRT(SUM($F$2:F534)/A534)</f>
        <v>1151.7790260953252</v>
      </c>
      <c r="H534" s="5">
        <f t="shared" si="35"/>
        <v>1</v>
      </c>
      <c r="I534" s="5">
        <f t="shared" si="36"/>
        <v>1</v>
      </c>
    </row>
    <row r="535" spans="1:9">
      <c r="A535">
        <v>534</v>
      </c>
      <c r="B535">
        <v>14</v>
      </c>
      <c r="C535">
        <v>9000</v>
      </c>
      <c r="D535">
        <v>8357</v>
      </c>
      <c r="E535" s="5">
        <f t="shared" si="33"/>
        <v>643</v>
      </c>
      <c r="F535" s="5">
        <f t="shared" si="34"/>
        <v>413449</v>
      </c>
      <c r="G535" s="6">
        <f>SQRT(SUM($F$2:F535)/A535)</f>
        <v>1151.0364520108292</v>
      </c>
      <c r="H535" s="5">
        <f t="shared" si="35"/>
        <v>1</v>
      </c>
      <c r="I535" s="5">
        <f t="shared" si="36"/>
        <v>1</v>
      </c>
    </row>
    <row r="536" spans="1:9">
      <c r="A536">
        <v>535</v>
      </c>
      <c r="B536">
        <v>15</v>
      </c>
      <c r="C536">
        <v>9000</v>
      </c>
      <c r="D536">
        <v>9271</v>
      </c>
      <c r="E536" s="5">
        <f t="shared" si="33"/>
        <v>271</v>
      </c>
      <c r="F536" s="5">
        <f t="shared" si="34"/>
        <v>73441</v>
      </c>
      <c r="G536" s="6">
        <f>SQRT(SUM($F$2:F536)/A536)</f>
        <v>1150.0198982431305</v>
      </c>
      <c r="H536" s="5">
        <f t="shared" si="35"/>
        <v>1</v>
      </c>
      <c r="I536" s="5">
        <f t="shared" si="36"/>
        <v>1</v>
      </c>
    </row>
    <row r="537" spans="1:9">
      <c r="A537">
        <v>536</v>
      </c>
      <c r="B537">
        <v>14</v>
      </c>
      <c r="C537">
        <v>9000</v>
      </c>
      <c r="D537">
        <v>7986</v>
      </c>
      <c r="E537" s="5">
        <f t="shared" si="33"/>
        <v>1014</v>
      </c>
      <c r="F537" s="5">
        <f t="shared" si="34"/>
        <v>1028196</v>
      </c>
      <c r="G537" s="6">
        <f>SQRT(SUM($F$2:F537)/A537)</f>
        <v>1149.7811123615154</v>
      </c>
      <c r="H537" s="5">
        <f t="shared" si="35"/>
        <v>1</v>
      </c>
      <c r="I537" s="5">
        <f t="shared" si="36"/>
        <v>0</v>
      </c>
    </row>
    <row r="538" spans="1:9">
      <c r="A538">
        <v>537</v>
      </c>
      <c r="B538">
        <v>16</v>
      </c>
      <c r="C538">
        <v>9000</v>
      </c>
      <c r="D538">
        <v>9324</v>
      </c>
      <c r="E538" s="5">
        <f t="shared" si="33"/>
        <v>324</v>
      </c>
      <c r="F538" s="5">
        <f t="shared" si="34"/>
        <v>104976</v>
      </c>
      <c r="G538" s="6">
        <f>SQRT(SUM($F$2:F538)/A538)</f>
        <v>1148.7951400241109</v>
      </c>
      <c r="H538" s="5">
        <f t="shared" si="35"/>
        <v>1</v>
      </c>
      <c r="I538" s="5">
        <f t="shared" si="36"/>
        <v>1</v>
      </c>
    </row>
    <row r="539" spans="1:9">
      <c r="A539">
        <v>538</v>
      </c>
      <c r="B539">
        <v>14</v>
      </c>
      <c r="C539">
        <v>9000</v>
      </c>
      <c r="D539">
        <v>8201</v>
      </c>
      <c r="E539" s="5">
        <f t="shared" si="33"/>
        <v>799</v>
      </c>
      <c r="F539" s="5">
        <f t="shared" si="34"/>
        <v>638401</v>
      </c>
      <c r="G539" s="6">
        <f>SQRT(SUM($F$2:F539)/A539)</f>
        <v>1148.2438166406696</v>
      </c>
      <c r="H539" s="5">
        <f t="shared" si="35"/>
        <v>1</v>
      </c>
      <c r="I539" s="5">
        <f t="shared" si="36"/>
        <v>1</v>
      </c>
    </row>
    <row r="540" spans="1:9">
      <c r="A540">
        <v>539</v>
      </c>
      <c r="B540">
        <v>16</v>
      </c>
      <c r="C540">
        <v>9000</v>
      </c>
      <c r="D540">
        <v>8563</v>
      </c>
      <c r="E540" s="5">
        <f t="shared" si="33"/>
        <v>437</v>
      </c>
      <c r="F540" s="5">
        <f t="shared" si="34"/>
        <v>190969</v>
      </c>
      <c r="G540" s="6">
        <f>SQRT(SUM($F$2:F540)/A540)</f>
        <v>1147.3325739516263</v>
      </c>
      <c r="H540" s="5">
        <f t="shared" si="35"/>
        <v>1</v>
      </c>
      <c r="I540" s="5">
        <f t="shared" si="36"/>
        <v>1</v>
      </c>
    </row>
    <row r="541" spans="1:9">
      <c r="A541">
        <v>540</v>
      </c>
      <c r="B541">
        <v>15</v>
      </c>
      <c r="C541">
        <v>9000</v>
      </c>
      <c r="D541">
        <v>7031</v>
      </c>
      <c r="E541" s="5">
        <f t="shared" si="33"/>
        <v>1969</v>
      </c>
      <c r="F541" s="5">
        <f t="shared" si="34"/>
        <v>3876961</v>
      </c>
      <c r="G541" s="6">
        <f>SQRT(SUM($F$2:F541)/A541)</f>
        <v>1149.3971753343867</v>
      </c>
      <c r="H541" s="5">
        <f t="shared" si="35"/>
        <v>0</v>
      </c>
      <c r="I541" s="5">
        <f t="shared" si="36"/>
        <v>0</v>
      </c>
    </row>
    <row r="542" spans="1:9">
      <c r="A542">
        <v>541</v>
      </c>
      <c r="B542">
        <v>17</v>
      </c>
      <c r="C542">
        <v>9000</v>
      </c>
      <c r="D542">
        <v>4020</v>
      </c>
      <c r="E542" s="5">
        <f t="shared" si="33"/>
        <v>4980</v>
      </c>
      <c r="F542" s="5">
        <f t="shared" si="34"/>
        <v>24800400</v>
      </c>
      <c r="G542" s="6">
        <f>SQRT(SUM($F$2:F542)/A542)</f>
        <v>1168.1239900764972</v>
      </c>
      <c r="H542" s="5">
        <f t="shared" si="35"/>
        <v>0</v>
      </c>
      <c r="I542" s="5">
        <f t="shared" si="36"/>
        <v>0</v>
      </c>
    </row>
    <row r="543" spans="1:9">
      <c r="A543">
        <v>542</v>
      </c>
      <c r="B543">
        <v>21</v>
      </c>
      <c r="C543">
        <v>9000</v>
      </c>
      <c r="D543">
        <v>9358</v>
      </c>
      <c r="E543" s="5">
        <f t="shared" si="33"/>
        <v>358</v>
      </c>
      <c r="F543" s="5">
        <f t="shared" si="34"/>
        <v>128164</v>
      </c>
      <c r="G543" s="6">
        <f>SQRT(SUM($F$2:F543)/A543)</f>
        <v>1167.1471922022872</v>
      </c>
      <c r="H543" s="5">
        <f t="shared" si="35"/>
        <v>1</v>
      </c>
      <c r="I543" s="5">
        <f t="shared" si="36"/>
        <v>1</v>
      </c>
    </row>
    <row r="544" spans="1:9">
      <c r="A544">
        <v>543</v>
      </c>
      <c r="B544">
        <v>17</v>
      </c>
      <c r="C544">
        <v>9000</v>
      </c>
      <c r="D544">
        <v>9832</v>
      </c>
      <c r="E544" s="5">
        <f t="shared" si="33"/>
        <v>832</v>
      </c>
      <c r="F544" s="5">
        <f t="shared" si="34"/>
        <v>692224</v>
      </c>
      <c r="G544" s="6">
        <f>SQRT(SUM($F$2:F544)/A544)</f>
        <v>1166.6184751951544</v>
      </c>
      <c r="H544" s="5">
        <f t="shared" si="35"/>
        <v>1</v>
      </c>
      <c r="I544" s="5">
        <f t="shared" si="36"/>
        <v>1</v>
      </c>
    </row>
    <row r="545" spans="1:9">
      <c r="A545">
        <v>544</v>
      </c>
      <c r="B545">
        <v>16</v>
      </c>
      <c r="C545">
        <v>9000</v>
      </c>
      <c r="D545">
        <v>7969</v>
      </c>
      <c r="E545" s="5">
        <f t="shared" si="33"/>
        <v>1031</v>
      </c>
      <c r="F545" s="5">
        <f t="shared" si="34"/>
        <v>1062961</v>
      </c>
      <c r="G545" s="6">
        <f>SQRT(SUM($F$2:F545)/A545)</f>
        <v>1166.3836432790129</v>
      </c>
      <c r="H545" s="5">
        <f t="shared" si="35"/>
        <v>1</v>
      </c>
      <c r="I545" s="5">
        <f t="shared" si="36"/>
        <v>0</v>
      </c>
    </row>
    <row r="546" spans="1:9">
      <c r="A546">
        <v>545</v>
      </c>
      <c r="B546">
        <v>18</v>
      </c>
      <c r="C546">
        <v>9000</v>
      </c>
      <c r="D546">
        <v>9945</v>
      </c>
      <c r="E546" s="5">
        <f t="shared" si="33"/>
        <v>945</v>
      </c>
      <c r="F546" s="5">
        <f t="shared" si="34"/>
        <v>893025</v>
      </c>
      <c r="G546" s="6">
        <f>SQRT(SUM($F$2:F546)/A546)</f>
        <v>1166.0159266855678</v>
      </c>
      <c r="H546" s="5">
        <f t="shared" si="35"/>
        <v>1</v>
      </c>
      <c r="I546" s="5">
        <f t="shared" si="36"/>
        <v>0</v>
      </c>
    </row>
    <row r="547" spans="1:9">
      <c r="A547">
        <v>546</v>
      </c>
      <c r="B547">
        <v>16</v>
      </c>
      <c r="C547">
        <v>9000</v>
      </c>
      <c r="D547">
        <v>9233</v>
      </c>
      <c r="E547" s="5">
        <f t="shared" si="33"/>
        <v>233</v>
      </c>
      <c r="F547" s="5">
        <f t="shared" si="34"/>
        <v>54289</v>
      </c>
      <c r="G547" s="6">
        <f>SQRT(SUM($F$2:F547)/A547)</f>
        <v>1164.9903323027938</v>
      </c>
      <c r="H547" s="5">
        <f t="shared" si="35"/>
        <v>1</v>
      </c>
      <c r="I547" s="5">
        <f t="shared" si="36"/>
        <v>1</v>
      </c>
    </row>
    <row r="548" spans="1:9">
      <c r="A548">
        <v>547</v>
      </c>
      <c r="B548">
        <v>16</v>
      </c>
      <c r="C548">
        <v>9000</v>
      </c>
      <c r="D548">
        <v>9653</v>
      </c>
      <c r="E548" s="5">
        <f t="shared" si="33"/>
        <v>653</v>
      </c>
      <c r="F548" s="5">
        <f t="shared" si="34"/>
        <v>426409</v>
      </c>
      <c r="G548" s="6">
        <f>SQRT(SUM($F$2:F548)/A548)</f>
        <v>1164.2597824156944</v>
      </c>
      <c r="H548" s="5">
        <f t="shared" si="35"/>
        <v>1</v>
      </c>
      <c r="I548" s="5">
        <f t="shared" si="36"/>
        <v>1</v>
      </c>
    </row>
    <row r="549" spans="1:9">
      <c r="A549">
        <v>548</v>
      </c>
      <c r="B549">
        <v>16</v>
      </c>
      <c r="C549">
        <v>9000</v>
      </c>
      <c r="D549">
        <v>8656</v>
      </c>
      <c r="E549" s="5">
        <f t="shared" si="33"/>
        <v>344</v>
      </c>
      <c r="F549" s="5">
        <f t="shared" si="34"/>
        <v>118336</v>
      </c>
      <c r="G549" s="6">
        <f>SQRT(SUM($F$2:F549)/A549)</f>
        <v>1163.2898352843595</v>
      </c>
      <c r="H549" s="5">
        <f t="shared" si="35"/>
        <v>1</v>
      </c>
      <c r="I549" s="5">
        <f t="shared" si="36"/>
        <v>1</v>
      </c>
    </row>
    <row r="550" spans="1:9">
      <c r="A550">
        <v>549</v>
      </c>
      <c r="B550">
        <v>17</v>
      </c>
      <c r="C550">
        <v>9000</v>
      </c>
      <c r="D550">
        <v>10003</v>
      </c>
      <c r="E550" s="5">
        <f t="shared" si="33"/>
        <v>1003</v>
      </c>
      <c r="F550" s="5">
        <f t="shared" si="34"/>
        <v>1006009</v>
      </c>
      <c r="G550" s="6">
        <f>SQRT(SUM($F$2:F550)/A550)</f>
        <v>1163.0179516756627</v>
      </c>
      <c r="H550" s="5">
        <f t="shared" si="35"/>
        <v>1</v>
      </c>
      <c r="I550" s="5">
        <f t="shared" si="36"/>
        <v>0</v>
      </c>
    </row>
    <row r="551" spans="1:9">
      <c r="A551">
        <v>550</v>
      </c>
      <c r="B551">
        <v>15</v>
      </c>
      <c r="C551">
        <v>9000</v>
      </c>
      <c r="D551">
        <v>9218</v>
      </c>
      <c r="E551" s="5">
        <f t="shared" si="33"/>
        <v>218</v>
      </c>
      <c r="F551" s="5">
        <f t="shared" si="34"/>
        <v>47524</v>
      </c>
      <c r="G551" s="6">
        <f>SQRT(SUM($F$2:F551)/A551)</f>
        <v>1161.9973626945505</v>
      </c>
      <c r="H551" s="5">
        <f t="shared" si="35"/>
        <v>1</v>
      </c>
      <c r="I551" s="5">
        <f t="shared" si="36"/>
        <v>1</v>
      </c>
    </row>
    <row r="552" spans="1:9">
      <c r="A552">
        <v>551</v>
      </c>
      <c r="B552">
        <v>16</v>
      </c>
      <c r="C552">
        <v>9000</v>
      </c>
      <c r="D552">
        <v>10145</v>
      </c>
      <c r="E552" s="5">
        <f t="shared" si="33"/>
        <v>1145</v>
      </c>
      <c r="F552" s="5">
        <f t="shared" si="34"/>
        <v>1311025</v>
      </c>
      <c r="G552" s="6">
        <f>SQRT(SUM($F$2:F552)/A552)</f>
        <v>1161.9667397022295</v>
      </c>
      <c r="H552" s="5">
        <f t="shared" si="35"/>
        <v>1</v>
      </c>
      <c r="I552" s="5">
        <f t="shared" si="36"/>
        <v>0</v>
      </c>
    </row>
    <row r="553" spans="1:9">
      <c r="A553">
        <v>552</v>
      </c>
      <c r="B553">
        <v>15</v>
      </c>
      <c r="C553">
        <v>9000</v>
      </c>
      <c r="D553">
        <v>8748</v>
      </c>
      <c r="E553" s="5">
        <f t="shared" si="33"/>
        <v>252</v>
      </c>
      <c r="F553" s="5">
        <f t="shared" si="34"/>
        <v>63504</v>
      </c>
      <c r="G553" s="6">
        <f>SQRT(SUM($F$2:F553)/A553)</f>
        <v>1160.9633041049408</v>
      </c>
      <c r="H553" s="5">
        <f t="shared" si="35"/>
        <v>1</v>
      </c>
      <c r="I553" s="5">
        <f t="shared" si="36"/>
        <v>1</v>
      </c>
    </row>
    <row r="554" spans="1:9">
      <c r="A554">
        <v>553</v>
      </c>
      <c r="B554">
        <v>16</v>
      </c>
      <c r="C554">
        <v>9000</v>
      </c>
      <c r="D554">
        <v>9533</v>
      </c>
      <c r="E554" s="5">
        <f t="shared" si="33"/>
        <v>533</v>
      </c>
      <c r="F554" s="5">
        <f t="shared" si="34"/>
        <v>284089</v>
      </c>
      <c r="G554" s="6">
        <f>SQRT(SUM($F$2:F554)/A554)</f>
        <v>1160.1345614726454</v>
      </c>
      <c r="H554" s="5">
        <f t="shared" si="35"/>
        <v>1</v>
      </c>
      <c r="I554" s="5">
        <f t="shared" si="36"/>
        <v>1</v>
      </c>
    </row>
    <row r="555" spans="1:9">
      <c r="A555">
        <v>554</v>
      </c>
      <c r="B555">
        <v>15</v>
      </c>
      <c r="C555">
        <v>9000</v>
      </c>
      <c r="D555">
        <v>9850</v>
      </c>
      <c r="E555" s="5">
        <f t="shared" si="33"/>
        <v>850</v>
      </c>
      <c r="F555" s="5">
        <f t="shared" si="34"/>
        <v>722500</v>
      </c>
      <c r="G555" s="6">
        <f>SQRT(SUM($F$2:F555)/A555)</f>
        <v>1159.6494763256001</v>
      </c>
      <c r="H555" s="5">
        <f t="shared" si="35"/>
        <v>1</v>
      </c>
      <c r="I555" s="5">
        <f t="shared" si="36"/>
        <v>1</v>
      </c>
    </row>
    <row r="556" spans="1:9">
      <c r="A556">
        <v>555</v>
      </c>
      <c r="B556">
        <v>15</v>
      </c>
      <c r="C556">
        <v>9000</v>
      </c>
      <c r="D556">
        <v>9870</v>
      </c>
      <c r="E556" s="5">
        <f t="shared" si="33"/>
        <v>870</v>
      </c>
      <c r="F556" s="5">
        <f t="shared" si="34"/>
        <v>756900</v>
      </c>
      <c r="G556" s="6">
        <f>SQRT(SUM($F$2:F556)/A556)</f>
        <v>1159.1926726184272</v>
      </c>
      <c r="H556" s="5">
        <f t="shared" si="35"/>
        <v>1</v>
      </c>
      <c r="I556" s="5">
        <f t="shared" si="36"/>
        <v>1</v>
      </c>
    </row>
    <row r="557" spans="1:9">
      <c r="A557">
        <v>556</v>
      </c>
      <c r="B557">
        <v>15</v>
      </c>
      <c r="C557">
        <v>9000</v>
      </c>
      <c r="D557">
        <v>9219</v>
      </c>
      <c r="E557" s="5">
        <f t="shared" si="33"/>
        <v>219</v>
      </c>
      <c r="F557" s="5">
        <f t="shared" si="34"/>
        <v>47961</v>
      </c>
      <c r="G557" s="6">
        <f>SQRT(SUM($F$2:F557)/A557)</f>
        <v>1158.1870041969248</v>
      </c>
      <c r="H557" s="5">
        <f t="shared" si="35"/>
        <v>1</v>
      </c>
      <c r="I557" s="5">
        <f t="shared" si="36"/>
        <v>1</v>
      </c>
    </row>
    <row r="558" spans="1:9">
      <c r="A558">
        <v>557</v>
      </c>
      <c r="B558">
        <v>15</v>
      </c>
      <c r="C558">
        <v>9000</v>
      </c>
      <c r="D558">
        <v>9582</v>
      </c>
      <c r="E558" s="5">
        <f t="shared" si="33"/>
        <v>582</v>
      </c>
      <c r="F558" s="5">
        <f t="shared" si="34"/>
        <v>338724</v>
      </c>
      <c r="G558" s="6">
        <f>SQRT(SUM($F$2:F558)/A558)</f>
        <v>1157.4096100283582</v>
      </c>
      <c r="H558" s="5">
        <f t="shared" si="35"/>
        <v>1</v>
      </c>
      <c r="I558" s="5">
        <f t="shared" si="36"/>
        <v>1</v>
      </c>
    </row>
    <row r="559" spans="1:9">
      <c r="A559">
        <v>558</v>
      </c>
      <c r="B559">
        <v>15</v>
      </c>
      <c r="C559">
        <v>9000</v>
      </c>
      <c r="D559">
        <v>8443</v>
      </c>
      <c r="E559" s="5">
        <f t="shared" si="33"/>
        <v>557</v>
      </c>
      <c r="F559" s="5">
        <f t="shared" si="34"/>
        <v>310249</v>
      </c>
      <c r="G559" s="6">
        <f>SQRT(SUM($F$2:F559)/A559)</f>
        <v>1156.6124224211517</v>
      </c>
      <c r="H559" s="5">
        <f t="shared" si="35"/>
        <v>1</v>
      </c>
      <c r="I559" s="5">
        <f t="shared" si="36"/>
        <v>1</v>
      </c>
    </row>
    <row r="560" spans="1:9">
      <c r="A560">
        <v>559</v>
      </c>
      <c r="B560">
        <v>16</v>
      </c>
      <c r="C560">
        <v>9000</v>
      </c>
      <c r="D560">
        <v>9527</v>
      </c>
      <c r="E560" s="5">
        <f t="shared" si="33"/>
        <v>527</v>
      </c>
      <c r="F560" s="5">
        <f t="shared" si="34"/>
        <v>277729</v>
      </c>
      <c r="G560" s="6">
        <f>SQRT(SUM($F$2:F560)/A560)</f>
        <v>1155.7923735400977</v>
      </c>
      <c r="H560" s="5">
        <f t="shared" si="35"/>
        <v>1</v>
      </c>
      <c r="I560" s="5">
        <f t="shared" si="36"/>
        <v>1</v>
      </c>
    </row>
    <row r="561" spans="1:9">
      <c r="A561">
        <v>560</v>
      </c>
      <c r="B561">
        <v>15</v>
      </c>
      <c r="C561">
        <v>9000</v>
      </c>
      <c r="D561">
        <v>9381</v>
      </c>
      <c r="E561" s="5">
        <f t="shared" si="33"/>
        <v>381</v>
      </c>
      <c r="F561" s="5">
        <f t="shared" si="34"/>
        <v>145161</v>
      </c>
      <c r="G561" s="6">
        <f>SQRT(SUM($F$2:F561)/A561)</f>
        <v>1154.8721875787196</v>
      </c>
      <c r="H561" s="5">
        <f t="shared" si="35"/>
        <v>1</v>
      </c>
      <c r="I561" s="5">
        <f t="shared" si="36"/>
        <v>1</v>
      </c>
    </row>
    <row r="562" spans="1:9">
      <c r="A562">
        <v>561</v>
      </c>
      <c r="B562">
        <v>15</v>
      </c>
      <c r="C562">
        <v>9000</v>
      </c>
      <c r="D562">
        <v>9167</v>
      </c>
      <c r="E562" s="5">
        <f t="shared" si="33"/>
        <v>167</v>
      </c>
      <c r="F562" s="5">
        <f t="shared" si="34"/>
        <v>27889</v>
      </c>
      <c r="G562" s="6">
        <f>SQRT(SUM($F$2:F562)/A562)</f>
        <v>1153.8639728045007</v>
      </c>
      <c r="H562" s="5">
        <f t="shared" si="35"/>
        <v>1</v>
      </c>
      <c r="I562" s="5">
        <f t="shared" si="36"/>
        <v>1</v>
      </c>
    </row>
    <row r="563" spans="1:9">
      <c r="A563">
        <v>562</v>
      </c>
      <c r="B563">
        <v>15</v>
      </c>
      <c r="C563">
        <v>9000</v>
      </c>
      <c r="D563">
        <v>8871</v>
      </c>
      <c r="E563" s="5">
        <f t="shared" si="33"/>
        <v>129</v>
      </c>
      <c r="F563" s="5">
        <f t="shared" si="34"/>
        <v>16641</v>
      </c>
      <c r="G563" s="6">
        <f>SQRT(SUM($F$2:F563)/A563)</f>
        <v>1152.8497886677678</v>
      </c>
      <c r="H563" s="5">
        <f t="shared" si="35"/>
        <v>1</v>
      </c>
      <c r="I563" s="5">
        <f t="shared" si="36"/>
        <v>1</v>
      </c>
    </row>
    <row r="564" spans="1:9">
      <c r="A564">
        <v>563</v>
      </c>
      <c r="B564">
        <v>15</v>
      </c>
      <c r="C564">
        <v>9000</v>
      </c>
      <c r="D564">
        <v>9615</v>
      </c>
      <c r="E564" s="5">
        <f t="shared" si="33"/>
        <v>615</v>
      </c>
      <c r="F564" s="5">
        <f t="shared" si="34"/>
        <v>378225</v>
      </c>
      <c r="G564" s="6">
        <f>SQRT(SUM($F$2:F564)/A564)</f>
        <v>1152.1170767057249</v>
      </c>
      <c r="H564" s="5">
        <f t="shared" si="35"/>
        <v>1</v>
      </c>
      <c r="I564" s="5">
        <f t="shared" si="36"/>
        <v>1</v>
      </c>
    </row>
    <row r="565" spans="1:9">
      <c r="A565">
        <v>564</v>
      </c>
      <c r="B565">
        <v>14</v>
      </c>
      <c r="C565">
        <v>9000</v>
      </c>
      <c r="D565">
        <v>8133</v>
      </c>
      <c r="E565" s="5">
        <f t="shared" si="33"/>
        <v>867</v>
      </c>
      <c r="F565" s="5">
        <f t="shared" si="34"/>
        <v>751689</v>
      </c>
      <c r="G565" s="6">
        <f>SQRT(SUM($F$2:F565)/A565)</f>
        <v>1151.6740167165976</v>
      </c>
      <c r="H565" s="5">
        <f t="shared" si="35"/>
        <v>1</v>
      </c>
      <c r="I565" s="5">
        <f t="shared" si="36"/>
        <v>1</v>
      </c>
    </row>
    <row r="566" spans="1:9">
      <c r="A566">
        <v>565</v>
      </c>
      <c r="B566">
        <v>16</v>
      </c>
      <c r="C566">
        <v>9000</v>
      </c>
      <c r="D566">
        <v>9892</v>
      </c>
      <c r="E566" s="5">
        <f t="shared" si="33"/>
        <v>892</v>
      </c>
      <c r="F566" s="5">
        <f t="shared" si="34"/>
        <v>795664</v>
      </c>
      <c r="G566" s="6">
        <f>SQRT(SUM($F$2:F566)/A566)</f>
        <v>1151.2661586885949</v>
      </c>
      <c r="H566" s="5">
        <f t="shared" si="35"/>
        <v>1</v>
      </c>
      <c r="I566" s="5">
        <f t="shared" si="36"/>
        <v>1</v>
      </c>
    </row>
    <row r="567" spans="1:9">
      <c r="A567">
        <v>566</v>
      </c>
      <c r="B567">
        <v>14</v>
      </c>
      <c r="C567">
        <v>9000</v>
      </c>
      <c r="D567">
        <v>9121</v>
      </c>
      <c r="E567" s="5">
        <f t="shared" si="33"/>
        <v>121</v>
      </c>
      <c r="F567" s="5">
        <f t="shared" si="34"/>
        <v>14641</v>
      </c>
      <c r="G567" s="6">
        <f>SQRT(SUM($F$2:F567)/A567)</f>
        <v>1150.2599337516483</v>
      </c>
      <c r="H567" s="5">
        <f t="shared" si="35"/>
        <v>1</v>
      </c>
      <c r="I567" s="5">
        <f t="shared" si="36"/>
        <v>1</v>
      </c>
    </row>
    <row r="568" spans="1:9">
      <c r="A568">
        <v>567</v>
      </c>
      <c r="B568">
        <v>15</v>
      </c>
      <c r="C568">
        <v>9000</v>
      </c>
      <c r="D568">
        <v>8739</v>
      </c>
      <c r="E568" s="5">
        <f t="shared" si="33"/>
        <v>261</v>
      </c>
      <c r="F568" s="5">
        <f t="shared" si="34"/>
        <v>68121</v>
      </c>
      <c r="G568" s="6">
        <f>SQRT(SUM($F$2:F568)/A568)</f>
        <v>1149.2974166977922</v>
      </c>
      <c r="H568" s="5">
        <f t="shared" si="35"/>
        <v>1</v>
      </c>
      <c r="I568" s="5">
        <f t="shared" si="36"/>
        <v>1</v>
      </c>
    </row>
    <row r="569" spans="1:9">
      <c r="A569">
        <v>568</v>
      </c>
      <c r="B569">
        <v>15</v>
      </c>
      <c r="C569">
        <v>9000</v>
      </c>
      <c r="D569">
        <v>8926</v>
      </c>
      <c r="E569" s="5">
        <f t="shared" si="33"/>
        <v>74</v>
      </c>
      <c r="F569" s="5">
        <f t="shared" si="34"/>
        <v>5476</v>
      </c>
      <c r="G569" s="6">
        <f>SQRT(SUM($F$2:F569)/A569)</f>
        <v>1148.2894634635504</v>
      </c>
      <c r="H569" s="5">
        <f t="shared" si="35"/>
        <v>1</v>
      </c>
      <c r="I569" s="5">
        <f t="shared" si="36"/>
        <v>1</v>
      </c>
    </row>
    <row r="570" spans="1:9">
      <c r="A570">
        <v>569</v>
      </c>
      <c r="B570">
        <v>15</v>
      </c>
      <c r="C570">
        <v>9000</v>
      </c>
      <c r="D570">
        <v>8702</v>
      </c>
      <c r="E570" s="5">
        <f t="shared" si="33"/>
        <v>298</v>
      </c>
      <c r="F570" s="5">
        <f t="shared" si="34"/>
        <v>88804</v>
      </c>
      <c r="G570" s="6">
        <f>SQRT(SUM($F$2:F570)/A570)</f>
        <v>1147.3479935388741</v>
      </c>
      <c r="H570" s="5">
        <f t="shared" si="35"/>
        <v>1</v>
      </c>
      <c r="I570" s="5">
        <f t="shared" si="36"/>
        <v>1</v>
      </c>
    </row>
    <row r="571" spans="1:9">
      <c r="A571">
        <v>570</v>
      </c>
      <c r="B571">
        <v>15</v>
      </c>
      <c r="C571">
        <v>9000</v>
      </c>
      <c r="D571">
        <v>9324</v>
      </c>
      <c r="E571" s="5">
        <f t="shared" si="33"/>
        <v>324</v>
      </c>
      <c r="F571" s="5">
        <f t="shared" si="34"/>
        <v>104976</v>
      </c>
      <c r="G571" s="6">
        <f>SQRT(SUM($F$2:F571)/A571)</f>
        <v>1146.4214321095014</v>
      </c>
      <c r="H571" s="5">
        <f t="shared" si="35"/>
        <v>1</v>
      </c>
      <c r="I571" s="5">
        <f t="shared" si="36"/>
        <v>1</v>
      </c>
    </row>
    <row r="572" spans="1:9">
      <c r="A572">
        <v>571</v>
      </c>
      <c r="B572">
        <v>15</v>
      </c>
      <c r="C572">
        <v>9000</v>
      </c>
      <c r="D572">
        <v>8474</v>
      </c>
      <c r="E572" s="5">
        <f t="shared" si="33"/>
        <v>526</v>
      </c>
      <c r="F572" s="5">
        <f t="shared" si="34"/>
        <v>276676</v>
      </c>
      <c r="G572" s="6">
        <f>SQRT(SUM($F$2:F572)/A572)</f>
        <v>1145.6286162822721</v>
      </c>
      <c r="H572" s="5">
        <f t="shared" si="35"/>
        <v>1</v>
      </c>
      <c r="I572" s="5">
        <f t="shared" si="36"/>
        <v>1</v>
      </c>
    </row>
    <row r="573" spans="1:9">
      <c r="A573">
        <v>572</v>
      </c>
      <c r="B573">
        <v>15</v>
      </c>
      <c r="C573">
        <v>9000</v>
      </c>
      <c r="D573">
        <v>8991</v>
      </c>
      <c r="E573" s="5">
        <f t="shared" si="33"/>
        <v>9</v>
      </c>
      <c r="F573" s="5">
        <f t="shared" si="34"/>
        <v>81</v>
      </c>
      <c r="G573" s="6">
        <f>SQRT(SUM($F$2:F573)/A573)</f>
        <v>1144.6268164563719</v>
      </c>
      <c r="H573" s="5">
        <f t="shared" si="35"/>
        <v>1</v>
      </c>
      <c r="I573" s="5">
        <f t="shared" si="36"/>
        <v>1</v>
      </c>
    </row>
    <row r="574" spans="1:9">
      <c r="A574">
        <v>573</v>
      </c>
      <c r="B574">
        <v>15</v>
      </c>
      <c r="C574">
        <v>9000</v>
      </c>
      <c r="D574">
        <v>9250</v>
      </c>
      <c r="E574" s="5">
        <f t="shared" si="33"/>
        <v>250</v>
      </c>
      <c r="F574" s="5">
        <f t="shared" si="34"/>
        <v>62500</v>
      </c>
      <c r="G574" s="6">
        <f>SQRT(SUM($F$2:F574)/A574)</f>
        <v>1143.6752657280149</v>
      </c>
      <c r="H574" s="5">
        <f t="shared" si="35"/>
        <v>1</v>
      </c>
      <c r="I574" s="5">
        <f t="shared" si="36"/>
        <v>1</v>
      </c>
    </row>
    <row r="575" spans="1:9">
      <c r="A575">
        <v>574</v>
      </c>
      <c r="B575">
        <v>15</v>
      </c>
      <c r="C575">
        <v>9000</v>
      </c>
      <c r="D575">
        <v>8600</v>
      </c>
      <c r="E575" s="5">
        <f t="shared" si="33"/>
        <v>400</v>
      </c>
      <c r="F575" s="5">
        <f t="shared" si="34"/>
        <v>160000</v>
      </c>
      <c r="G575" s="6">
        <f>SQRT(SUM($F$2:F575)/A575)</f>
        <v>1142.8005624060306</v>
      </c>
      <c r="H575" s="5">
        <f t="shared" si="35"/>
        <v>1</v>
      </c>
      <c r="I575" s="5">
        <f t="shared" si="36"/>
        <v>1</v>
      </c>
    </row>
    <row r="576" spans="1:9">
      <c r="A576">
        <v>575</v>
      </c>
      <c r="B576">
        <v>15</v>
      </c>
      <c r="C576">
        <v>9000</v>
      </c>
      <c r="D576">
        <v>8865</v>
      </c>
      <c r="E576" s="5">
        <f t="shared" si="33"/>
        <v>135</v>
      </c>
      <c r="F576" s="5">
        <f t="shared" si="34"/>
        <v>18225</v>
      </c>
      <c r="G576" s="6">
        <f>SQRT(SUM($F$2:F576)/A576)</f>
        <v>1141.8202698742268</v>
      </c>
      <c r="H576" s="5">
        <f t="shared" si="35"/>
        <v>1</v>
      </c>
      <c r="I576" s="5">
        <f t="shared" si="36"/>
        <v>1</v>
      </c>
    </row>
    <row r="577" spans="1:9">
      <c r="A577">
        <v>576</v>
      </c>
      <c r="B577">
        <v>15</v>
      </c>
      <c r="C577">
        <v>9000</v>
      </c>
      <c r="D577">
        <v>8477</v>
      </c>
      <c r="E577" s="5">
        <f t="shared" si="33"/>
        <v>523</v>
      </c>
      <c r="F577" s="5">
        <f t="shared" si="34"/>
        <v>273529</v>
      </c>
      <c r="G577" s="6">
        <f>SQRT(SUM($F$2:F577)/A577)</f>
        <v>1141.0367848778778</v>
      </c>
      <c r="H577" s="5">
        <f t="shared" si="35"/>
        <v>1</v>
      </c>
      <c r="I577" s="5">
        <f t="shared" si="36"/>
        <v>1</v>
      </c>
    </row>
    <row r="578" spans="1:9">
      <c r="A578">
        <v>577</v>
      </c>
      <c r="B578">
        <v>16</v>
      </c>
      <c r="C578">
        <v>9000</v>
      </c>
      <c r="D578">
        <v>9764</v>
      </c>
      <c r="E578" s="5">
        <f t="shared" si="33"/>
        <v>764</v>
      </c>
      <c r="F578" s="5">
        <f t="shared" si="34"/>
        <v>583696</v>
      </c>
      <c r="G578" s="6">
        <f>SQRT(SUM($F$2:F578)/A578)</f>
        <v>1140.491170907756</v>
      </c>
      <c r="H578" s="5">
        <f t="shared" si="35"/>
        <v>1</v>
      </c>
      <c r="I578" s="5">
        <f t="shared" si="36"/>
        <v>1</v>
      </c>
    </row>
    <row r="579" spans="1:9">
      <c r="A579">
        <v>578</v>
      </c>
      <c r="B579">
        <v>14</v>
      </c>
      <c r="C579">
        <v>9000</v>
      </c>
      <c r="D579">
        <v>8404</v>
      </c>
      <c r="E579" s="5">
        <f t="shared" ref="E579:E642" si="37">ABS(C579-D579)</f>
        <v>596</v>
      </c>
      <c r="F579" s="5">
        <f t="shared" ref="F579:F642" si="38">POWER(E579,2)</f>
        <v>355216</v>
      </c>
      <c r="G579" s="6">
        <f>SQRT(SUM($F$2:F579)/A579)</f>
        <v>1139.7737892483049</v>
      </c>
      <c r="H579" s="5">
        <f t="shared" ref="H579:H642" si="39">IF(ABS(E579)/C579&gt;0.2,0,1)</f>
        <v>1</v>
      </c>
      <c r="I579" s="5">
        <f t="shared" ref="I579:I642" si="40">IF(ABS(E579)/C579&gt;0.1,0,1)</f>
        <v>1</v>
      </c>
    </row>
    <row r="580" spans="1:9">
      <c r="A580">
        <v>579</v>
      </c>
      <c r="B580">
        <v>16</v>
      </c>
      <c r="C580">
        <v>9000</v>
      </c>
      <c r="D580">
        <v>10230</v>
      </c>
      <c r="E580" s="5">
        <f t="shared" si="37"/>
        <v>1230</v>
      </c>
      <c r="F580" s="5">
        <f t="shared" si="38"/>
        <v>1512900</v>
      </c>
      <c r="G580" s="6">
        <f>SQRT(SUM($F$2:F580)/A580)</f>
        <v>1139.9357767565389</v>
      </c>
      <c r="H580" s="5">
        <f t="shared" si="39"/>
        <v>1</v>
      </c>
      <c r="I580" s="5">
        <f t="shared" si="40"/>
        <v>0</v>
      </c>
    </row>
    <row r="581" spans="1:9">
      <c r="A581">
        <v>580</v>
      </c>
      <c r="B581">
        <v>14</v>
      </c>
      <c r="C581">
        <v>9000</v>
      </c>
      <c r="D581">
        <v>8332</v>
      </c>
      <c r="E581" s="5">
        <f t="shared" si="37"/>
        <v>668</v>
      </c>
      <c r="F581" s="5">
        <f t="shared" si="38"/>
        <v>446224</v>
      </c>
      <c r="G581" s="6">
        <f>SQRT(SUM($F$2:F581)/A581)</f>
        <v>1139.290344756407</v>
      </c>
      <c r="H581" s="5">
        <f t="shared" si="39"/>
        <v>1</v>
      </c>
      <c r="I581" s="5">
        <f t="shared" si="40"/>
        <v>1</v>
      </c>
    </row>
    <row r="582" spans="1:9">
      <c r="A582">
        <v>581</v>
      </c>
      <c r="B582">
        <v>16</v>
      </c>
      <c r="C582">
        <v>9000</v>
      </c>
      <c r="D582">
        <v>8826</v>
      </c>
      <c r="E582" s="5">
        <f t="shared" si="37"/>
        <v>174</v>
      </c>
      <c r="F582" s="5">
        <f t="shared" si="38"/>
        <v>30276</v>
      </c>
      <c r="G582" s="6">
        <f>SQRT(SUM($F$2:F582)/A582)</f>
        <v>1138.3323551470048</v>
      </c>
      <c r="H582" s="5">
        <f t="shared" si="39"/>
        <v>1</v>
      </c>
      <c r="I582" s="5">
        <f t="shared" si="40"/>
        <v>1</v>
      </c>
    </row>
    <row r="583" spans="1:9">
      <c r="A583">
        <v>582</v>
      </c>
      <c r="B583">
        <v>15</v>
      </c>
      <c r="C583">
        <v>9000</v>
      </c>
      <c r="D583">
        <v>9005</v>
      </c>
      <c r="E583" s="5">
        <f t="shared" si="37"/>
        <v>5</v>
      </c>
      <c r="F583" s="5">
        <f t="shared" si="38"/>
        <v>25</v>
      </c>
      <c r="G583" s="6">
        <f>SQRT(SUM($F$2:F583)/A583)</f>
        <v>1137.3540048298091</v>
      </c>
      <c r="H583" s="5">
        <f t="shared" si="39"/>
        <v>1</v>
      </c>
      <c r="I583" s="5">
        <f t="shared" si="40"/>
        <v>1</v>
      </c>
    </row>
    <row r="584" spans="1:9">
      <c r="A584">
        <v>583</v>
      </c>
      <c r="B584">
        <v>15</v>
      </c>
      <c r="C584">
        <v>9000</v>
      </c>
      <c r="D584">
        <v>9046</v>
      </c>
      <c r="E584" s="5">
        <f t="shared" si="37"/>
        <v>46</v>
      </c>
      <c r="F584" s="5">
        <f t="shared" si="38"/>
        <v>2116</v>
      </c>
      <c r="G584" s="6">
        <f>SQRT(SUM($F$2:F584)/A584)</f>
        <v>1136.3797508977484</v>
      </c>
      <c r="H584" s="5">
        <f t="shared" si="39"/>
        <v>1</v>
      </c>
      <c r="I584" s="5">
        <f t="shared" si="40"/>
        <v>1</v>
      </c>
    </row>
    <row r="585" spans="1:9">
      <c r="A585">
        <v>584</v>
      </c>
      <c r="B585">
        <v>15</v>
      </c>
      <c r="C585">
        <v>9000</v>
      </c>
      <c r="D585">
        <v>8589</v>
      </c>
      <c r="E585" s="5">
        <f t="shared" si="37"/>
        <v>411</v>
      </c>
      <c r="F585" s="5">
        <f t="shared" si="38"/>
        <v>168921</v>
      </c>
      <c r="G585" s="6">
        <f>SQRT(SUM($F$2:F585)/A585)</f>
        <v>1135.533775578451</v>
      </c>
      <c r="H585" s="5">
        <f t="shared" si="39"/>
        <v>1</v>
      </c>
      <c r="I585" s="5">
        <f t="shared" si="40"/>
        <v>1</v>
      </c>
    </row>
    <row r="586" spans="1:9">
      <c r="A586">
        <v>585</v>
      </c>
      <c r="B586">
        <v>16</v>
      </c>
      <c r="C586">
        <v>9000</v>
      </c>
      <c r="D586">
        <v>9074</v>
      </c>
      <c r="E586" s="5">
        <f t="shared" si="37"/>
        <v>74</v>
      </c>
      <c r="F586" s="5">
        <f t="shared" si="38"/>
        <v>5476</v>
      </c>
      <c r="G586" s="6">
        <f>SQRT(SUM($F$2:F586)/A586)</f>
        <v>1134.5669440043414</v>
      </c>
      <c r="H586" s="5">
        <f t="shared" si="39"/>
        <v>1</v>
      </c>
      <c r="I586" s="5">
        <f t="shared" si="40"/>
        <v>1</v>
      </c>
    </row>
    <row r="587" spans="1:9">
      <c r="A587">
        <v>586</v>
      </c>
      <c r="B587">
        <v>15</v>
      </c>
      <c r="C587">
        <v>9000</v>
      </c>
      <c r="D587">
        <v>8818</v>
      </c>
      <c r="E587" s="5">
        <f t="shared" si="37"/>
        <v>182</v>
      </c>
      <c r="F587" s="5">
        <f t="shared" si="38"/>
        <v>33124</v>
      </c>
      <c r="G587" s="6">
        <f>SQRT(SUM($F$2:F587)/A587)</f>
        <v>1133.6234017807001</v>
      </c>
      <c r="H587" s="5">
        <f t="shared" si="39"/>
        <v>1</v>
      </c>
      <c r="I587" s="5">
        <f t="shared" si="40"/>
        <v>1</v>
      </c>
    </row>
    <row r="588" spans="1:9">
      <c r="A588">
        <v>587</v>
      </c>
      <c r="B588">
        <v>15</v>
      </c>
      <c r="C588">
        <v>9000</v>
      </c>
      <c r="D588">
        <v>9104</v>
      </c>
      <c r="E588" s="5">
        <f t="shared" si="37"/>
        <v>104</v>
      </c>
      <c r="F588" s="5">
        <f t="shared" si="38"/>
        <v>10816</v>
      </c>
      <c r="G588" s="6">
        <f>SQRT(SUM($F$2:F588)/A588)</f>
        <v>1132.6655164086742</v>
      </c>
      <c r="H588" s="5">
        <f t="shared" si="39"/>
        <v>1</v>
      </c>
      <c r="I588" s="5">
        <f t="shared" si="40"/>
        <v>1</v>
      </c>
    </row>
    <row r="589" spans="1:9">
      <c r="A589">
        <v>588</v>
      </c>
      <c r="B589">
        <v>15</v>
      </c>
      <c r="C589">
        <v>9000</v>
      </c>
      <c r="D589">
        <v>8907</v>
      </c>
      <c r="E589" s="5">
        <f t="shared" si="37"/>
        <v>93</v>
      </c>
      <c r="F589" s="5">
        <f t="shared" si="38"/>
        <v>8649</v>
      </c>
      <c r="G589" s="6">
        <f>SQRT(SUM($F$2:F589)/A589)</f>
        <v>1131.7084542894447</v>
      </c>
      <c r="H589" s="5">
        <f t="shared" si="39"/>
        <v>1</v>
      </c>
      <c r="I589" s="5">
        <f t="shared" si="40"/>
        <v>1</v>
      </c>
    </row>
    <row r="590" spans="1:9">
      <c r="A590">
        <v>589</v>
      </c>
      <c r="B590">
        <v>15</v>
      </c>
      <c r="C590">
        <v>9000</v>
      </c>
      <c r="D590">
        <v>8530</v>
      </c>
      <c r="E590" s="5">
        <f t="shared" si="37"/>
        <v>470</v>
      </c>
      <c r="F590" s="5">
        <f t="shared" si="38"/>
        <v>220900</v>
      </c>
      <c r="G590" s="6">
        <f>SQRT(SUM($F$2:F590)/A590)</f>
        <v>1130.9131690476052</v>
      </c>
      <c r="H590" s="5">
        <f t="shared" si="39"/>
        <v>1</v>
      </c>
      <c r="I590" s="5">
        <f t="shared" si="40"/>
        <v>1</v>
      </c>
    </row>
    <row r="591" spans="1:9">
      <c r="A591">
        <v>590</v>
      </c>
      <c r="B591">
        <v>16</v>
      </c>
      <c r="C591">
        <v>9000</v>
      </c>
      <c r="D591">
        <v>9374</v>
      </c>
      <c r="E591" s="5">
        <f t="shared" si="37"/>
        <v>374</v>
      </c>
      <c r="F591" s="5">
        <f t="shared" si="38"/>
        <v>139876</v>
      </c>
      <c r="G591" s="6">
        <f>SQRT(SUM($F$2:F591)/A591)</f>
        <v>1130.0592627327717</v>
      </c>
      <c r="H591" s="5">
        <f t="shared" si="39"/>
        <v>1</v>
      </c>
      <c r="I591" s="5">
        <f t="shared" si="40"/>
        <v>1</v>
      </c>
    </row>
    <row r="592" spans="1:9">
      <c r="A592">
        <v>591</v>
      </c>
      <c r="B592">
        <v>15</v>
      </c>
      <c r="C592">
        <v>9000</v>
      </c>
      <c r="D592">
        <v>8873</v>
      </c>
      <c r="E592" s="5">
        <f t="shared" si="37"/>
        <v>127</v>
      </c>
      <c r="F592" s="5">
        <f t="shared" si="38"/>
        <v>16129</v>
      </c>
      <c r="G592" s="6">
        <f>SQRT(SUM($F$2:F592)/A592)</f>
        <v>1129.1148862697451</v>
      </c>
      <c r="H592" s="5">
        <f t="shared" si="39"/>
        <v>1</v>
      </c>
      <c r="I592" s="5">
        <f t="shared" si="40"/>
        <v>1</v>
      </c>
    </row>
    <row r="593" spans="1:9">
      <c r="A593">
        <v>592</v>
      </c>
      <c r="B593">
        <v>15</v>
      </c>
      <c r="C593">
        <v>9000</v>
      </c>
      <c r="D593">
        <v>8888</v>
      </c>
      <c r="E593" s="5">
        <f t="shared" si="37"/>
        <v>112</v>
      </c>
      <c r="F593" s="5">
        <f t="shared" si="38"/>
        <v>12544</v>
      </c>
      <c r="G593" s="6">
        <f>SQRT(SUM($F$2:F593)/A593)</f>
        <v>1128.1702298711696</v>
      </c>
      <c r="H593" s="5">
        <f t="shared" si="39"/>
        <v>1</v>
      </c>
      <c r="I593" s="5">
        <f t="shared" si="40"/>
        <v>1</v>
      </c>
    </row>
    <row r="594" spans="1:9">
      <c r="A594">
        <v>593</v>
      </c>
      <c r="B594">
        <v>15</v>
      </c>
      <c r="C594">
        <v>9000</v>
      </c>
      <c r="D594">
        <v>9309</v>
      </c>
      <c r="E594" s="5">
        <f t="shared" si="37"/>
        <v>309</v>
      </c>
      <c r="F594" s="5">
        <f t="shared" si="38"/>
        <v>95481</v>
      </c>
      <c r="G594" s="6">
        <f>SQRT(SUM($F$2:F594)/A594)</f>
        <v>1127.2900072916591</v>
      </c>
      <c r="H594" s="5">
        <f t="shared" si="39"/>
        <v>1</v>
      </c>
      <c r="I594" s="5">
        <f t="shared" si="40"/>
        <v>1</v>
      </c>
    </row>
    <row r="595" spans="1:9">
      <c r="A595">
        <v>594</v>
      </c>
      <c r="B595">
        <v>15</v>
      </c>
      <c r="C595">
        <v>9000</v>
      </c>
      <c r="D595">
        <v>9136</v>
      </c>
      <c r="E595" s="5">
        <f t="shared" si="37"/>
        <v>136</v>
      </c>
      <c r="F595" s="5">
        <f t="shared" si="38"/>
        <v>18496</v>
      </c>
      <c r="G595" s="6">
        <f>SQRT(SUM($F$2:F595)/A595)</f>
        <v>1126.3545328492417</v>
      </c>
      <c r="H595" s="5">
        <f t="shared" si="39"/>
        <v>1</v>
      </c>
      <c r="I595" s="5">
        <f t="shared" si="40"/>
        <v>1</v>
      </c>
    </row>
    <row r="596" spans="1:9">
      <c r="A596">
        <v>595</v>
      </c>
      <c r="B596">
        <v>15</v>
      </c>
      <c r="C596">
        <v>9000</v>
      </c>
      <c r="D596">
        <v>9231</v>
      </c>
      <c r="E596" s="5">
        <f t="shared" si="37"/>
        <v>231</v>
      </c>
      <c r="F596" s="5">
        <f t="shared" si="38"/>
        <v>53361</v>
      </c>
      <c r="G596" s="6">
        <f>SQRT(SUM($F$2:F596)/A596)</f>
        <v>1125.4474620860658</v>
      </c>
      <c r="H596" s="5">
        <f t="shared" si="39"/>
        <v>1</v>
      </c>
      <c r="I596" s="5">
        <f t="shared" si="40"/>
        <v>1</v>
      </c>
    </row>
    <row r="597" spans="1:9">
      <c r="A597">
        <v>596</v>
      </c>
      <c r="B597">
        <v>15</v>
      </c>
      <c r="C597">
        <v>9000</v>
      </c>
      <c r="D597">
        <v>8957</v>
      </c>
      <c r="E597" s="5">
        <f t="shared" si="37"/>
        <v>43</v>
      </c>
      <c r="F597" s="5">
        <f t="shared" si="38"/>
        <v>1849</v>
      </c>
      <c r="G597" s="6">
        <f>SQRT(SUM($F$2:F597)/A597)</f>
        <v>1124.5042778066118</v>
      </c>
      <c r="H597" s="5">
        <f t="shared" si="39"/>
        <v>1</v>
      </c>
      <c r="I597" s="5">
        <f t="shared" si="40"/>
        <v>1</v>
      </c>
    </row>
    <row r="598" spans="1:9">
      <c r="A598">
        <v>597</v>
      </c>
      <c r="B598">
        <v>15</v>
      </c>
      <c r="C598">
        <v>9000</v>
      </c>
      <c r="D598">
        <v>8503</v>
      </c>
      <c r="E598" s="5">
        <f t="shared" si="37"/>
        <v>497</v>
      </c>
      <c r="F598" s="5">
        <f t="shared" si="38"/>
        <v>247009</v>
      </c>
      <c r="G598" s="6">
        <f>SQRT(SUM($F$2:F598)/A598)</f>
        <v>1123.7461965398843</v>
      </c>
      <c r="H598" s="5">
        <f t="shared" si="39"/>
        <v>1</v>
      </c>
      <c r="I598" s="5">
        <f t="shared" si="40"/>
        <v>1</v>
      </c>
    </row>
    <row r="599" spans="1:9">
      <c r="A599">
        <v>598</v>
      </c>
      <c r="B599">
        <v>16</v>
      </c>
      <c r="C599">
        <v>9000</v>
      </c>
      <c r="D599">
        <v>9398</v>
      </c>
      <c r="E599" s="5">
        <f t="shared" si="37"/>
        <v>398</v>
      </c>
      <c r="F599" s="5">
        <f t="shared" si="38"/>
        <v>158404</v>
      </c>
      <c r="G599" s="6">
        <f>SQRT(SUM($F$2:F599)/A599)</f>
        <v>1122.9241688392012</v>
      </c>
      <c r="H599" s="5">
        <f t="shared" si="39"/>
        <v>1</v>
      </c>
      <c r="I599" s="5">
        <f t="shared" si="40"/>
        <v>1</v>
      </c>
    </row>
    <row r="600" spans="1:9">
      <c r="A600">
        <v>599</v>
      </c>
      <c r="B600">
        <v>15</v>
      </c>
      <c r="C600">
        <v>9000</v>
      </c>
      <c r="D600">
        <v>7435</v>
      </c>
      <c r="E600" s="5">
        <f t="shared" si="37"/>
        <v>1565</v>
      </c>
      <c r="F600" s="5">
        <f t="shared" si="38"/>
        <v>2449225</v>
      </c>
      <c r="G600" s="6">
        <f>SQRT(SUM($F$2:F600)/A600)</f>
        <v>1123.807118265901</v>
      </c>
      <c r="H600" s="5">
        <f t="shared" si="39"/>
        <v>1</v>
      </c>
      <c r="I600" s="5">
        <f t="shared" si="40"/>
        <v>0</v>
      </c>
    </row>
    <row r="601" spans="1:9">
      <c r="A601">
        <v>600</v>
      </c>
      <c r="B601">
        <v>17</v>
      </c>
      <c r="C601">
        <v>9000</v>
      </c>
      <c r="D601">
        <v>9370</v>
      </c>
      <c r="E601" s="5">
        <f t="shared" si="37"/>
        <v>370</v>
      </c>
      <c r="F601" s="5">
        <f t="shared" si="38"/>
        <v>136900</v>
      </c>
      <c r="G601" s="6">
        <f>SQRT(SUM($F$2:F601)/A601)</f>
        <v>1122.9718169511943</v>
      </c>
      <c r="H601" s="5">
        <f t="shared" si="39"/>
        <v>1</v>
      </c>
      <c r="I601" s="5">
        <f t="shared" si="40"/>
        <v>1</v>
      </c>
    </row>
    <row r="602" spans="1:9">
      <c r="A602">
        <v>601</v>
      </c>
      <c r="B602">
        <v>1</v>
      </c>
      <c r="C602">
        <v>5000</v>
      </c>
      <c r="D602">
        <v>1030</v>
      </c>
      <c r="E602" s="5">
        <f t="shared" si="37"/>
        <v>3970</v>
      </c>
      <c r="F602" s="5">
        <f t="shared" si="38"/>
        <v>15760900</v>
      </c>
      <c r="G602" s="6">
        <f>SQRT(SUM($F$2:F602)/A602)</f>
        <v>1133.6630371779618</v>
      </c>
      <c r="H602" s="5">
        <f t="shared" si="39"/>
        <v>0</v>
      </c>
      <c r="I602" s="5">
        <f t="shared" si="40"/>
        <v>0</v>
      </c>
    </row>
    <row r="603" spans="1:9">
      <c r="A603">
        <v>602</v>
      </c>
      <c r="B603">
        <v>5</v>
      </c>
      <c r="C603">
        <v>5000</v>
      </c>
      <c r="D603">
        <v>4207</v>
      </c>
      <c r="E603" s="5">
        <f t="shared" si="37"/>
        <v>793</v>
      </c>
      <c r="F603" s="5">
        <f t="shared" si="38"/>
        <v>628849</v>
      </c>
      <c r="G603" s="6">
        <f>SQRT(SUM($F$2:F603)/A603)</f>
        <v>1133.1820733208237</v>
      </c>
      <c r="H603" s="5">
        <f t="shared" si="39"/>
        <v>1</v>
      </c>
      <c r="I603" s="5">
        <f t="shared" si="40"/>
        <v>0</v>
      </c>
    </row>
    <row r="604" spans="1:9">
      <c r="A604">
        <v>603</v>
      </c>
      <c r="B604">
        <v>2</v>
      </c>
      <c r="C604">
        <v>5000</v>
      </c>
      <c r="D604">
        <v>1590</v>
      </c>
      <c r="E604" s="5">
        <f t="shared" si="37"/>
        <v>3410</v>
      </c>
      <c r="F604" s="5">
        <f t="shared" si="38"/>
        <v>11628100</v>
      </c>
      <c r="G604" s="6">
        <f>SQRT(SUM($F$2:F604)/A604)</f>
        <v>1140.726013326281</v>
      </c>
      <c r="H604" s="5">
        <f t="shared" si="39"/>
        <v>0</v>
      </c>
      <c r="I604" s="5">
        <f t="shared" si="40"/>
        <v>0</v>
      </c>
    </row>
    <row r="605" spans="1:9">
      <c r="A605">
        <v>604</v>
      </c>
      <c r="B605">
        <v>5</v>
      </c>
      <c r="C605">
        <v>5000</v>
      </c>
      <c r="D605">
        <v>3732</v>
      </c>
      <c r="E605" s="5">
        <f t="shared" si="37"/>
        <v>1268</v>
      </c>
      <c r="F605" s="5">
        <f t="shared" si="38"/>
        <v>1607824</v>
      </c>
      <c r="G605" s="6">
        <f>SQRT(SUM($F$2:F605)/A605)</f>
        <v>1140.9484653840645</v>
      </c>
      <c r="H605" s="5">
        <f t="shared" si="39"/>
        <v>0</v>
      </c>
      <c r="I605" s="5">
        <f t="shared" si="40"/>
        <v>0</v>
      </c>
    </row>
    <row r="606" spans="1:9">
      <c r="A606">
        <v>605</v>
      </c>
      <c r="B606">
        <v>4</v>
      </c>
      <c r="C606">
        <v>5000</v>
      </c>
      <c r="D606">
        <v>3076</v>
      </c>
      <c r="E606" s="5">
        <f t="shared" si="37"/>
        <v>1924</v>
      </c>
      <c r="F606" s="5">
        <f t="shared" si="38"/>
        <v>3701776</v>
      </c>
      <c r="G606" s="6">
        <f>SQRT(SUM($F$2:F606)/A606)</f>
        <v>1142.6855926440849</v>
      </c>
      <c r="H606" s="5">
        <f t="shared" si="39"/>
        <v>0</v>
      </c>
      <c r="I606" s="5">
        <f t="shared" si="40"/>
        <v>0</v>
      </c>
    </row>
    <row r="607" spans="1:9">
      <c r="A607">
        <v>606</v>
      </c>
      <c r="B607">
        <v>5</v>
      </c>
      <c r="C607">
        <v>5000</v>
      </c>
      <c r="D607">
        <v>3229</v>
      </c>
      <c r="E607" s="5">
        <f t="shared" si="37"/>
        <v>1771</v>
      </c>
      <c r="F607" s="5">
        <f t="shared" si="38"/>
        <v>3136441</v>
      </c>
      <c r="G607" s="6">
        <f>SQRT(SUM($F$2:F607)/A607)</f>
        <v>1144.0067037757376</v>
      </c>
      <c r="H607" s="5">
        <f t="shared" si="39"/>
        <v>0</v>
      </c>
      <c r="I607" s="5">
        <f t="shared" si="40"/>
        <v>0</v>
      </c>
    </row>
    <row r="608" spans="1:9">
      <c r="A608">
        <v>607</v>
      </c>
      <c r="B608">
        <v>5</v>
      </c>
      <c r="C608">
        <v>5000</v>
      </c>
      <c r="D608">
        <v>4524</v>
      </c>
      <c r="E608" s="5">
        <f t="shared" si="37"/>
        <v>476</v>
      </c>
      <c r="F608" s="5">
        <f t="shared" si="38"/>
        <v>226576</v>
      </c>
      <c r="G608" s="6">
        <f>SQRT(SUM($F$2:F608)/A608)</f>
        <v>1143.2272356604562</v>
      </c>
      <c r="H608" s="5">
        <f t="shared" si="39"/>
        <v>1</v>
      </c>
      <c r="I608" s="5">
        <f t="shared" si="40"/>
        <v>1</v>
      </c>
    </row>
    <row r="609" spans="1:9">
      <c r="A609">
        <v>608</v>
      </c>
      <c r="B609">
        <v>4</v>
      </c>
      <c r="C609">
        <v>5000</v>
      </c>
      <c r="D609">
        <v>2936</v>
      </c>
      <c r="E609" s="5">
        <f t="shared" si="37"/>
        <v>2064</v>
      </c>
      <c r="F609" s="5">
        <f t="shared" si="38"/>
        <v>4260096</v>
      </c>
      <c r="G609" s="6">
        <f>SQRT(SUM($F$2:F609)/A609)</f>
        <v>1145.3495666975259</v>
      </c>
      <c r="H609" s="5">
        <f t="shared" si="39"/>
        <v>0</v>
      </c>
      <c r="I609" s="5">
        <f t="shared" si="40"/>
        <v>0</v>
      </c>
    </row>
    <row r="610" spans="1:9">
      <c r="A610">
        <v>609</v>
      </c>
      <c r="B610">
        <v>6</v>
      </c>
      <c r="C610">
        <v>5000</v>
      </c>
      <c r="D610">
        <v>4495</v>
      </c>
      <c r="E610" s="5">
        <f t="shared" si="37"/>
        <v>505</v>
      </c>
      <c r="F610" s="5">
        <f t="shared" si="38"/>
        <v>255025</v>
      </c>
      <c r="G610" s="6">
        <f>SQRT(SUM($F$2:F610)/A610)</f>
        <v>1144.5917722590673</v>
      </c>
      <c r="H610" s="5">
        <f t="shared" si="39"/>
        <v>1</v>
      </c>
      <c r="I610" s="5">
        <f t="shared" si="40"/>
        <v>0</v>
      </c>
    </row>
    <row r="611" spans="1:9">
      <c r="A611">
        <v>610</v>
      </c>
      <c r="B611">
        <v>5</v>
      </c>
      <c r="C611">
        <v>5000</v>
      </c>
      <c r="D611">
        <v>4228</v>
      </c>
      <c r="E611" s="5">
        <f t="shared" si="37"/>
        <v>772</v>
      </c>
      <c r="F611" s="5">
        <f t="shared" si="38"/>
        <v>595984</v>
      </c>
      <c r="G611" s="6">
        <f>SQRT(SUM($F$2:F611)/A611)</f>
        <v>1144.0802677331662</v>
      </c>
      <c r="H611" s="5">
        <f t="shared" si="39"/>
        <v>1</v>
      </c>
      <c r="I611" s="5">
        <f t="shared" si="40"/>
        <v>0</v>
      </c>
    </row>
    <row r="612" spans="1:9">
      <c r="A612">
        <v>611</v>
      </c>
      <c r="B612">
        <v>5</v>
      </c>
      <c r="C612">
        <v>5000</v>
      </c>
      <c r="D612">
        <v>3678</v>
      </c>
      <c r="E612" s="5">
        <f t="shared" si="37"/>
        <v>1322</v>
      </c>
      <c r="F612" s="5">
        <f t="shared" si="38"/>
        <v>1747684</v>
      </c>
      <c r="G612" s="6">
        <f>SQRT(SUM($F$2:F612)/A612)</f>
        <v>1144.394061324205</v>
      </c>
      <c r="H612" s="5">
        <f t="shared" si="39"/>
        <v>0</v>
      </c>
      <c r="I612" s="5">
        <f t="shared" si="40"/>
        <v>0</v>
      </c>
    </row>
    <row r="613" spans="1:9">
      <c r="A613">
        <v>612</v>
      </c>
      <c r="B613">
        <v>6</v>
      </c>
      <c r="C613">
        <v>5000</v>
      </c>
      <c r="D613">
        <v>4660</v>
      </c>
      <c r="E613" s="5">
        <f t="shared" si="37"/>
        <v>340</v>
      </c>
      <c r="F613" s="5">
        <f t="shared" si="38"/>
        <v>115600</v>
      </c>
      <c r="G613" s="6">
        <f>SQRT(SUM($F$2:F613)/A613)</f>
        <v>1143.5413090440572</v>
      </c>
      <c r="H613" s="5">
        <f t="shared" si="39"/>
        <v>1</v>
      </c>
      <c r="I613" s="5">
        <f t="shared" si="40"/>
        <v>1</v>
      </c>
    </row>
    <row r="614" spans="1:9">
      <c r="A614">
        <v>613</v>
      </c>
      <c r="B614">
        <v>5</v>
      </c>
      <c r="C614">
        <v>5000</v>
      </c>
      <c r="D614">
        <v>3296</v>
      </c>
      <c r="E614" s="5">
        <f t="shared" si="37"/>
        <v>1704</v>
      </c>
      <c r="F614" s="5">
        <f t="shared" si="38"/>
        <v>2903616</v>
      </c>
      <c r="G614" s="6">
        <f>SQRT(SUM($F$2:F614)/A614)</f>
        <v>1144.6790812368361</v>
      </c>
      <c r="H614" s="5">
        <f t="shared" si="39"/>
        <v>0</v>
      </c>
      <c r="I614" s="5">
        <f t="shared" si="40"/>
        <v>0</v>
      </c>
    </row>
    <row r="615" spans="1:9">
      <c r="A615">
        <v>614</v>
      </c>
      <c r="B615">
        <v>7</v>
      </c>
      <c r="C615">
        <v>5000</v>
      </c>
      <c r="D615">
        <v>4789</v>
      </c>
      <c r="E615" s="5">
        <f t="shared" si="37"/>
        <v>211</v>
      </c>
      <c r="F615" s="5">
        <f t="shared" si="38"/>
        <v>44521</v>
      </c>
      <c r="G615" s="6">
        <f>SQRT(SUM($F$2:F615)/A615)</f>
        <v>1143.7782502162527</v>
      </c>
      <c r="H615" s="5">
        <f t="shared" si="39"/>
        <v>1</v>
      </c>
      <c r="I615" s="5">
        <f t="shared" si="40"/>
        <v>1</v>
      </c>
    </row>
    <row r="616" spans="1:9">
      <c r="A616">
        <v>615</v>
      </c>
      <c r="B616">
        <v>6</v>
      </c>
      <c r="C616">
        <v>5000</v>
      </c>
      <c r="D616">
        <v>4489</v>
      </c>
      <c r="E616" s="5">
        <f t="shared" si="37"/>
        <v>511</v>
      </c>
      <c r="F616" s="5">
        <f t="shared" si="38"/>
        <v>261121</v>
      </c>
      <c r="G616" s="6">
        <f>SQRT(SUM($F$2:F616)/A616)</f>
        <v>1143.0337140892718</v>
      </c>
      <c r="H616" s="5">
        <f t="shared" si="39"/>
        <v>1</v>
      </c>
      <c r="I616" s="5">
        <f t="shared" si="40"/>
        <v>0</v>
      </c>
    </row>
    <row r="617" spans="1:9">
      <c r="A617">
        <v>616</v>
      </c>
      <c r="B617">
        <v>6</v>
      </c>
      <c r="C617">
        <v>5000</v>
      </c>
      <c r="D617">
        <v>4205</v>
      </c>
      <c r="E617" s="5">
        <f t="shared" si="37"/>
        <v>795</v>
      </c>
      <c r="F617" s="5">
        <f t="shared" si="38"/>
        <v>632025</v>
      </c>
      <c r="G617" s="6">
        <f>SQRT(SUM($F$2:F617)/A617)</f>
        <v>1142.5546386377885</v>
      </c>
      <c r="H617" s="5">
        <f t="shared" si="39"/>
        <v>1</v>
      </c>
      <c r="I617" s="5">
        <f t="shared" si="40"/>
        <v>0</v>
      </c>
    </row>
    <row r="618" spans="1:9">
      <c r="A618">
        <v>617</v>
      </c>
      <c r="B618">
        <v>7</v>
      </c>
      <c r="C618">
        <v>5000</v>
      </c>
      <c r="D618">
        <v>5339</v>
      </c>
      <c r="E618" s="5">
        <f t="shared" si="37"/>
        <v>339</v>
      </c>
      <c r="F618" s="5">
        <f t="shared" si="38"/>
        <v>114921</v>
      </c>
      <c r="G618" s="6">
        <f>SQRT(SUM($F$2:F618)/A618)</f>
        <v>1141.7099405412182</v>
      </c>
      <c r="H618" s="5">
        <f t="shared" si="39"/>
        <v>1</v>
      </c>
      <c r="I618" s="5">
        <f t="shared" si="40"/>
        <v>1</v>
      </c>
    </row>
    <row r="619" spans="1:9">
      <c r="A619">
        <v>618</v>
      </c>
      <c r="B619">
        <v>5</v>
      </c>
      <c r="C619">
        <v>5000</v>
      </c>
      <c r="D619">
        <v>4090</v>
      </c>
      <c r="E619" s="5">
        <f t="shared" si="37"/>
        <v>910</v>
      </c>
      <c r="F619" s="5">
        <f t="shared" si="38"/>
        <v>828100</v>
      </c>
      <c r="G619" s="6">
        <f>SQRT(SUM($F$2:F619)/A619)</f>
        <v>1141.3730021763645</v>
      </c>
      <c r="H619" s="5">
        <f t="shared" si="39"/>
        <v>1</v>
      </c>
      <c r="I619" s="5">
        <f t="shared" si="40"/>
        <v>0</v>
      </c>
    </row>
    <row r="620" spans="1:9">
      <c r="A620">
        <v>619</v>
      </c>
      <c r="B620">
        <v>7</v>
      </c>
      <c r="C620">
        <v>5000</v>
      </c>
      <c r="D620">
        <v>5183</v>
      </c>
      <c r="E620" s="5">
        <f t="shared" si="37"/>
        <v>183</v>
      </c>
      <c r="F620" s="5">
        <f t="shared" si="38"/>
        <v>33489</v>
      </c>
      <c r="G620" s="6">
        <f>SQRT(SUM($F$2:F620)/A620)</f>
        <v>1140.474399633639</v>
      </c>
      <c r="H620" s="5">
        <f t="shared" si="39"/>
        <v>1</v>
      </c>
      <c r="I620" s="5">
        <f t="shared" si="40"/>
        <v>1</v>
      </c>
    </row>
    <row r="621" spans="1:9">
      <c r="A621">
        <v>620</v>
      </c>
      <c r="B621">
        <v>6</v>
      </c>
      <c r="C621">
        <v>5000</v>
      </c>
      <c r="D621">
        <v>4288</v>
      </c>
      <c r="E621" s="5">
        <f t="shared" si="37"/>
        <v>712</v>
      </c>
      <c r="F621" s="5">
        <f t="shared" si="38"/>
        <v>506944</v>
      </c>
      <c r="G621" s="6">
        <f>SQRT(SUM($F$2:F621)/A621)</f>
        <v>1139.9129939916324</v>
      </c>
      <c r="H621" s="5">
        <f t="shared" si="39"/>
        <v>1</v>
      </c>
      <c r="I621" s="5">
        <f t="shared" si="40"/>
        <v>0</v>
      </c>
    </row>
    <row r="622" spans="1:9">
      <c r="A622">
        <v>621</v>
      </c>
      <c r="B622">
        <v>7</v>
      </c>
      <c r="C622">
        <v>5000</v>
      </c>
      <c r="D622">
        <v>4639</v>
      </c>
      <c r="E622" s="5">
        <f t="shared" si="37"/>
        <v>361</v>
      </c>
      <c r="F622" s="5">
        <f t="shared" si="38"/>
        <v>130321</v>
      </c>
      <c r="G622" s="6">
        <f>SQRT(SUM($F$2:F622)/A622)</f>
        <v>1139.0869397726885</v>
      </c>
      <c r="H622" s="5">
        <f t="shared" si="39"/>
        <v>1</v>
      </c>
      <c r="I622" s="5">
        <f t="shared" si="40"/>
        <v>1</v>
      </c>
    </row>
    <row r="623" spans="1:9">
      <c r="A623">
        <v>622</v>
      </c>
      <c r="B623">
        <v>7</v>
      </c>
      <c r="C623">
        <v>5000</v>
      </c>
      <c r="D623">
        <v>5585</v>
      </c>
      <c r="E623" s="5">
        <f t="shared" si="37"/>
        <v>585</v>
      </c>
      <c r="F623" s="5">
        <f t="shared" si="38"/>
        <v>342225</v>
      </c>
      <c r="G623" s="6">
        <f>SQRT(SUM($F$2:F623)/A623)</f>
        <v>1138.4125850614821</v>
      </c>
      <c r="H623" s="5">
        <f t="shared" si="39"/>
        <v>1</v>
      </c>
      <c r="I623" s="5">
        <f t="shared" si="40"/>
        <v>0</v>
      </c>
    </row>
    <row r="624" spans="1:9">
      <c r="A624">
        <v>623</v>
      </c>
      <c r="B624">
        <v>6</v>
      </c>
      <c r="C624">
        <v>5000</v>
      </c>
      <c r="D624">
        <v>4306</v>
      </c>
      <c r="E624" s="5">
        <f t="shared" si="37"/>
        <v>694</v>
      </c>
      <c r="F624" s="5">
        <f t="shared" si="38"/>
        <v>481636</v>
      </c>
      <c r="G624" s="6">
        <f>SQRT(SUM($F$2:F624)/A624)</f>
        <v>1137.8383344928279</v>
      </c>
      <c r="H624" s="5">
        <f t="shared" si="39"/>
        <v>1</v>
      </c>
      <c r="I624" s="5">
        <f t="shared" si="40"/>
        <v>0</v>
      </c>
    </row>
    <row r="625" spans="1:9">
      <c r="A625">
        <v>624</v>
      </c>
      <c r="B625">
        <v>7</v>
      </c>
      <c r="C625">
        <v>5000</v>
      </c>
      <c r="D625">
        <v>4800</v>
      </c>
      <c r="E625" s="5">
        <f t="shared" si="37"/>
        <v>200</v>
      </c>
      <c r="F625" s="5">
        <f t="shared" si="38"/>
        <v>40000</v>
      </c>
      <c r="G625" s="6">
        <f>SQRT(SUM($F$2:F625)/A625)</f>
        <v>1136.9544303104517</v>
      </c>
      <c r="H625" s="5">
        <f t="shared" si="39"/>
        <v>1</v>
      </c>
      <c r="I625" s="5">
        <f t="shared" si="40"/>
        <v>1</v>
      </c>
    </row>
    <row r="626" spans="1:9">
      <c r="A626">
        <v>625</v>
      </c>
      <c r="B626">
        <v>6</v>
      </c>
      <c r="C626">
        <v>5000</v>
      </c>
      <c r="D626">
        <v>3925</v>
      </c>
      <c r="E626" s="5">
        <f t="shared" si="37"/>
        <v>1075</v>
      </c>
      <c r="F626" s="5">
        <f t="shared" si="38"/>
        <v>1155625</v>
      </c>
      <c r="G626" s="6">
        <f>SQRT(SUM($F$2:F626)/A626)</f>
        <v>1136.8579999278713</v>
      </c>
      <c r="H626" s="5">
        <f t="shared" si="39"/>
        <v>0</v>
      </c>
      <c r="I626" s="5">
        <f t="shared" si="40"/>
        <v>0</v>
      </c>
    </row>
    <row r="627" spans="1:9">
      <c r="A627">
        <v>626</v>
      </c>
      <c r="B627">
        <v>8</v>
      </c>
      <c r="C627">
        <v>5000</v>
      </c>
      <c r="D627">
        <v>5176</v>
      </c>
      <c r="E627" s="5">
        <f t="shared" si="37"/>
        <v>176</v>
      </c>
      <c r="F627" s="5">
        <f t="shared" si="38"/>
        <v>30976</v>
      </c>
      <c r="G627" s="6">
        <f>SQRT(SUM($F$2:F627)/A627)</f>
        <v>1135.9713834536321</v>
      </c>
      <c r="H627" s="5">
        <f t="shared" si="39"/>
        <v>1</v>
      </c>
      <c r="I627" s="5">
        <f t="shared" si="40"/>
        <v>1</v>
      </c>
    </row>
    <row r="628" spans="1:9">
      <c r="A628">
        <v>627</v>
      </c>
      <c r="B628">
        <v>6</v>
      </c>
      <c r="C628">
        <v>5000</v>
      </c>
      <c r="D628">
        <v>4298</v>
      </c>
      <c r="E628" s="5">
        <f t="shared" si="37"/>
        <v>702</v>
      </c>
      <c r="F628" s="5">
        <f t="shared" si="38"/>
        <v>492804</v>
      </c>
      <c r="G628" s="6">
        <f>SQRT(SUM($F$2:F628)/A628)</f>
        <v>1135.4113138746861</v>
      </c>
      <c r="H628" s="5">
        <f t="shared" si="39"/>
        <v>1</v>
      </c>
      <c r="I628" s="5">
        <f t="shared" si="40"/>
        <v>0</v>
      </c>
    </row>
    <row r="629" spans="1:9">
      <c r="A629">
        <v>628</v>
      </c>
      <c r="B629">
        <v>7</v>
      </c>
      <c r="C629">
        <v>5000</v>
      </c>
      <c r="D629">
        <v>5424</v>
      </c>
      <c r="E629" s="5">
        <f t="shared" si="37"/>
        <v>424</v>
      </c>
      <c r="F629" s="5">
        <f t="shared" si="38"/>
        <v>179776</v>
      </c>
      <c r="G629" s="6">
        <f>SQRT(SUM($F$2:F629)/A629)</f>
        <v>1134.6331206479642</v>
      </c>
      <c r="H629" s="5">
        <f t="shared" si="39"/>
        <v>1</v>
      </c>
      <c r="I629" s="5">
        <f t="shared" si="40"/>
        <v>1</v>
      </c>
    </row>
    <row r="630" spans="1:9">
      <c r="A630">
        <v>629</v>
      </c>
      <c r="B630">
        <v>6</v>
      </c>
      <c r="C630">
        <v>5000</v>
      </c>
      <c r="D630">
        <v>4075</v>
      </c>
      <c r="E630" s="5">
        <f t="shared" si="37"/>
        <v>925</v>
      </c>
      <c r="F630" s="5">
        <f t="shared" si="38"/>
        <v>855625</v>
      </c>
      <c r="G630" s="6">
        <f>SQRT(SUM($F$2:F630)/A630)</f>
        <v>1134.330588471794</v>
      </c>
      <c r="H630" s="5">
        <f t="shared" si="39"/>
        <v>1</v>
      </c>
      <c r="I630" s="5">
        <f t="shared" si="40"/>
        <v>0</v>
      </c>
    </row>
    <row r="631" spans="1:9">
      <c r="A631">
        <v>630</v>
      </c>
      <c r="B631">
        <v>8</v>
      </c>
      <c r="C631">
        <v>5000</v>
      </c>
      <c r="D631">
        <v>5746</v>
      </c>
      <c r="E631" s="5">
        <f t="shared" si="37"/>
        <v>746</v>
      </c>
      <c r="F631" s="5">
        <f t="shared" si="38"/>
        <v>556516</v>
      </c>
      <c r="G631" s="6">
        <f>SQRT(SUM($F$2:F631)/A631)</f>
        <v>1133.8195854636454</v>
      </c>
      <c r="H631" s="5">
        <f t="shared" si="39"/>
        <v>1</v>
      </c>
      <c r="I631" s="5">
        <f t="shared" si="40"/>
        <v>0</v>
      </c>
    </row>
    <row r="632" spans="1:9">
      <c r="A632">
        <v>631</v>
      </c>
      <c r="B632">
        <v>6</v>
      </c>
      <c r="C632">
        <v>5000</v>
      </c>
      <c r="D632">
        <v>4130</v>
      </c>
      <c r="E632" s="5">
        <f t="shared" si="37"/>
        <v>870</v>
      </c>
      <c r="F632" s="5">
        <f t="shared" si="38"/>
        <v>756900</v>
      </c>
      <c r="G632" s="6">
        <f>SQRT(SUM($F$2:F632)/A632)</f>
        <v>1133.4500695760134</v>
      </c>
      <c r="H632" s="5">
        <f t="shared" si="39"/>
        <v>1</v>
      </c>
      <c r="I632" s="5">
        <f t="shared" si="40"/>
        <v>0</v>
      </c>
    </row>
    <row r="633" spans="1:9">
      <c r="A633">
        <v>632</v>
      </c>
      <c r="B633">
        <v>8</v>
      </c>
      <c r="C633">
        <v>5000</v>
      </c>
      <c r="D633">
        <v>5588</v>
      </c>
      <c r="E633" s="5">
        <f t="shared" si="37"/>
        <v>588</v>
      </c>
      <c r="F633" s="5">
        <f t="shared" si="38"/>
        <v>345744</v>
      </c>
      <c r="G633" s="6">
        <f>SQRT(SUM($F$2:F633)/A633)</f>
        <v>1132.7944897520724</v>
      </c>
      <c r="H633" s="5">
        <f t="shared" si="39"/>
        <v>1</v>
      </c>
      <c r="I633" s="5">
        <f t="shared" si="40"/>
        <v>0</v>
      </c>
    </row>
    <row r="634" spans="1:9">
      <c r="A634">
        <v>633</v>
      </c>
      <c r="B634">
        <v>6</v>
      </c>
      <c r="C634">
        <v>5000</v>
      </c>
      <c r="D634">
        <v>4548</v>
      </c>
      <c r="E634" s="5">
        <f t="shared" si="37"/>
        <v>452</v>
      </c>
      <c r="F634" s="5">
        <f t="shared" si="38"/>
        <v>204304</v>
      </c>
      <c r="G634" s="6">
        <f>SQRT(SUM($F$2:F634)/A634)</f>
        <v>1132.0419170921687</v>
      </c>
      <c r="H634" s="5">
        <f t="shared" si="39"/>
        <v>1</v>
      </c>
      <c r="I634" s="5">
        <f t="shared" si="40"/>
        <v>1</v>
      </c>
    </row>
    <row r="635" spans="1:9">
      <c r="A635">
        <v>634</v>
      </c>
      <c r="B635">
        <v>7</v>
      </c>
      <c r="C635">
        <v>5000</v>
      </c>
      <c r="D635">
        <v>5371</v>
      </c>
      <c r="E635" s="5">
        <f t="shared" si="37"/>
        <v>371</v>
      </c>
      <c r="F635" s="5">
        <f t="shared" si="38"/>
        <v>137641</v>
      </c>
      <c r="G635" s="6">
        <f>SQRT(SUM($F$2:F635)/A635)</f>
        <v>1131.2447472733027</v>
      </c>
      <c r="H635" s="5">
        <f t="shared" si="39"/>
        <v>1</v>
      </c>
      <c r="I635" s="5">
        <f t="shared" si="40"/>
        <v>1</v>
      </c>
    </row>
    <row r="636" spans="1:9">
      <c r="A636">
        <v>635</v>
      </c>
      <c r="B636">
        <v>6</v>
      </c>
      <c r="C636">
        <v>5000</v>
      </c>
      <c r="D636">
        <v>4013</v>
      </c>
      <c r="E636" s="5">
        <f t="shared" si="37"/>
        <v>987</v>
      </c>
      <c r="F636" s="5">
        <f t="shared" si="38"/>
        <v>974169</v>
      </c>
      <c r="G636" s="6">
        <f>SQRT(SUM($F$2:F636)/A636)</f>
        <v>1131.0320525683646</v>
      </c>
      <c r="H636" s="5">
        <f t="shared" si="39"/>
        <v>1</v>
      </c>
      <c r="I636" s="5">
        <f t="shared" si="40"/>
        <v>0</v>
      </c>
    </row>
    <row r="637" spans="1:9">
      <c r="A637">
        <v>636</v>
      </c>
      <c r="B637">
        <v>8</v>
      </c>
      <c r="C637">
        <v>5000</v>
      </c>
      <c r="D637">
        <v>3654</v>
      </c>
      <c r="E637" s="5">
        <f t="shared" si="37"/>
        <v>1346</v>
      </c>
      <c r="F637" s="5">
        <f t="shared" si="38"/>
        <v>1811716</v>
      </c>
      <c r="G637" s="6">
        <f>SQRT(SUM($F$2:F637)/A637)</f>
        <v>1131.4021126752582</v>
      </c>
      <c r="H637" s="5">
        <f t="shared" si="39"/>
        <v>0</v>
      </c>
      <c r="I637" s="5">
        <f t="shared" si="40"/>
        <v>0</v>
      </c>
    </row>
    <row r="638" spans="1:9">
      <c r="A638">
        <v>637</v>
      </c>
      <c r="B638">
        <v>9</v>
      </c>
      <c r="C638">
        <v>5000</v>
      </c>
      <c r="D638">
        <v>3941</v>
      </c>
      <c r="E638" s="5">
        <f t="shared" si="37"/>
        <v>1059</v>
      </c>
      <c r="F638" s="5">
        <f t="shared" si="38"/>
        <v>1121481</v>
      </c>
      <c r="G638" s="6">
        <f>SQRT(SUM($F$2:F638)/A638)</f>
        <v>1131.2920830095395</v>
      </c>
      <c r="H638" s="5">
        <f t="shared" si="39"/>
        <v>0</v>
      </c>
      <c r="I638" s="5">
        <f t="shared" si="40"/>
        <v>0</v>
      </c>
    </row>
    <row r="639" spans="1:9">
      <c r="A639">
        <v>638</v>
      </c>
      <c r="B639">
        <v>9</v>
      </c>
      <c r="C639">
        <v>5000</v>
      </c>
      <c r="D639">
        <v>4189</v>
      </c>
      <c r="E639" s="5">
        <f t="shared" si="37"/>
        <v>811</v>
      </c>
      <c r="F639" s="5">
        <f t="shared" si="38"/>
        <v>657721</v>
      </c>
      <c r="G639" s="6">
        <f>SQRT(SUM($F$2:F639)/A639)</f>
        <v>1130.8610425212123</v>
      </c>
      <c r="H639" s="5">
        <f t="shared" si="39"/>
        <v>1</v>
      </c>
      <c r="I639" s="5">
        <f t="shared" si="40"/>
        <v>0</v>
      </c>
    </row>
    <row r="640" spans="1:9">
      <c r="A640">
        <v>639</v>
      </c>
      <c r="B640">
        <v>9</v>
      </c>
      <c r="C640">
        <v>5000</v>
      </c>
      <c r="D640">
        <v>5176</v>
      </c>
      <c r="E640" s="5">
        <f t="shared" si="37"/>
        <v>176</v>
      </c>
      <c r="F640" s="5">
        <f t="shared" si="38"/>
        <v>30976</v>
      </c>
      <c r="G640" s="6">
        <f>SQRT(SUM($F$2:F640)/A640)</f>
        <v>1129.9972779614618</v>
      </c>
      <c r="H640" s="5">
        <f t="shared" si="39"/>
        <v>1</v>
      </c>
      <c r="I640" s="5">
        <f t="shared" si="40"/>
        <v>1</v>
      </c>
    </row>
    <row r="641" spans="1:9">
      <c r="A641">
        <v>640</v>
      </c>
      <c r="B641">
        <v>8</v>
      </c>
      <c r="C641">
        <v>5000</v>
      </c>
      <c r="D641">
        <v>4820</v>
      </c>
      <c r="E641" s="5">
        <f t="shared" si="37"/>
        <v>180</v>
      </c>
      <c r="F641" s="5">
        <f t="shared" si="38"/>
        <v>32400</v>
      </c>
      <c r="G641" s="6">
        <f>SQRT(SUM($F$2:F641)/A641)</f>
        <v>1129.1365402653923</v>
      </c>
      <c r="H641" s="5">
        <f t="shared" si="39"/>
        <v>1</v>
      </c>
      <c r="I641" s="5">
        <f t="shared" si="40"/>
        <v>1</v>
      </c>
    </row>
    <row r="642" spans="1:9">
      <c r="A642">
        <v>641</v>
      </c>
      <c r="B642">
        <v>8</v>
      </c>
      <c r="C642">
        <v>5000</v>
      </c>
      <c r="D642">
        <v>4713</v>
      </c>
      <c r="E642" s="5">
        <f t="shared" si="37"/>
        <v>287</v>
      </c>
      <c r="F642" s="5">
        <f t="shared" si="38"/>
        <v>82369</v>
      </c>
      <c r="G642" s="6">
        <f>SQRT(SUM($F$2:F642)/A642)</f>
        <v>1128.3123799875075</v>
      </c>
      <c r="H642" s="5">
        <f t="shared" si="39"/>
        <v>1</v>
      </c>
      <c r="I642" s="5">
        <f t="shared" si="40"/>
        <v>1</v>
      </c>
    </row>
    <row r="643" spans="1:9">
      <c r="A643">
        <v>642</v>
      </c>
      <c r="B643">
        <v>8</v>
      </c>
      <c r="C643">
        <v>5000</v>
      </c>
      <c r="D643">
        <v>4485</v>
      </c>
      <c r="E643" s="5">
        <f t="shared" ref="E643:E706" si="41">ABS(C643-D643)</f>
        <v>515</v>
      </c>
      <c r="F643" s="5">
        <f t="shared" ref="F643:F706" si="42">POWER(E643,2)</f>
        <v>265225</v>
      </c>
      <c r="G643" s="6">
        <f>SQRT(SUM($F$2:F643)/A643)</f>
        <v>1127.6164886533302</v>
      </c>
      <c r="H643" s="5">
        <f t="shared" ref="H643:H706" si="43">IF(ABS(E643)/C643&gt;0.2,0,1)</f>
        <v>1</v>
      </c>
      <c r="I643" s="5">
        <f t="shared" ref="I643:I706" si="44">IF(ABS(E643)/C643&gt;0.1,0,1)</f>
        <v>0</v>
      </c>
    </row>
    <row r="644" spans="1:9">
      <c r="A644">
        <v>643</v>
      </c>
      <c r="B644">
        <v>9</v>
      </c>
      <c r="C644">
        <v>5000</v>
      </c>
      <c r="D644">
        <v>5639</v>
      </c>
      <c r="E644" s="5">
        <f t="shared" si="41"/>
        <v>639</v>
      </c>
      <c r="F644" s="5">
        <f t="shared" si="42"/>
        <v>408321</v>
      </c>
      <c r="G644" s="6">
        <f>SQRT(SUM($F$2:F644)/A644)</f>
        <v>1127.02106965502</v>
      </c>
      <c r="H644" s="5">
        <f t="shared" si="43"/>
        <v>1</v>
      </c>
      <c r="I644" s="5">
        <f t="shared" si="44"/>
        <v>0</v>
      </c>
    </row>
    <row r="645" spans="1:9">
      <c r="A645">
        <v>644</v>
      </c>
      <c r="B645">
        <v>7</v>
      </c>
      <c r="C645">
        <v>5000</v>
      </c>
      <c r="D645">
        <v>5486</v>
      </c>
      <c r="E645" s="5">
        <f t="shared" si="41"/>
        <v>486</v>
      </c>
      <c r="F645" s="5">
        <f t="shared" si="42"/>
        <v>236196</v>
      </c>
      <c r="G645" s="6">
        <f>SQRT(SUM($F$2:F645)/A645)</f>
        <v>1126.3085419533222</v>
      </c>
      <c r="H645" s="5">
        <f t="shared" si="43"/>
        <v>1</v>
      </c>
      <c r="I645" s="5">
        <f t="shared" si="44"/>
        <v>1</v>
      </c>
    </row>
    <row r="646" spans="1:9">
      <c r="A646">
        <v>645</v>
      </c>
      <c r="B646">
        <v>7</v>
      </c>
      <c r="C646">
        <v>5000</v>
      </c>
      <c r="D646">
        <v>5116</v>
      </c>
      <c r="E646" s="5">
        <f t="shared" si="41"/>
        <v>116</v>
      </c>
      <c r="F646" s="5">
        <f t="shared" si="42"/>
        <v>13456</v>
      </c>
      <c r="G646" s="6">
        <f>SQRT(SUM($F$2:F646)/A646)</f>
        <v>1125.4443642642952</v>
      </c>
      <c r="H646" s="5">
        <f t="shared" si="43"/>
        <v>1</v>
      </c>
      <c r="I646" s="5">
        <f t="shared" si="44"/>
        <v>1</v>
      </c>
    </row>
    <row r="647" spans="1:9">
      <c r="A647">
        <v>646</v>
      </c>
      <c r="B647">
        <v>8</v>
      </c>
      <c r="C647">
        <v>5000</v>
      </c>
      <c r="D647">
        <v>5810</v>
      </c>
      <c r="E647" s="5">
        <f t="shared" si="41"/>
        <v>810</v>
      </c>
      <c r="F647" s="5">
        <f t="shared" si="42"/>
        <v>656100</v>
      </c>
      <c r="G647" s="6">
        <f>SQRT(SUM($F$2:F647)/A647)</f>
        <v>1125.0244139077804</v>
      </c>
      <c r="H647" s="5">
        <f t="shared" si="43"/>
        <v>1</v>
      </c>
      <c r="I647" s="5">
        <f t="shared" si="44"/>
        <v>0</v>
      </c>
    </row>
    <row r="648" spans="1:9">
      <c r="A648">
        <v>647</v>
      </c>
      <c r="B648">
        <v>7</v>
      </c>
      <c r="C648">
        <v>5000</v>
      </c>
      <c r="D648">
        <v>5089</v>
      </c>
      <c r="E648" s="5">
        <f t="shared" si="41"/>
        <v>89</v>
      </c>
      <c r="F648" s="5">
        <f t="shared" si="42"/>
        <v>7921</v>
      </c>
      <c r="G648" s="6">
        <f>SQRT(SUM($F$2:F648)/A648)</f>
        <v>1124.1601068816547</v>
      </c>
      <c r="H648" s="5">
        <f t="shared" si="43"/>
        <v>1</v>
      </c>
      <c r="I648" s="5">
        <f t="shared" si="44"/>
        <v>1</v>
      </c>
    </row>
    <row r="649" spans="1:9">
      <c r="A649">
        <v>648</v>
      </c>
      <c r="B649">
        <v>7</v>
      </c>
      <c r="C649">
        <v>5000</v>
      </c>
      <c r="D649">
        <v>5254</v>
      </c>
      <c r="E649" s="5">
        <f t="shared" si="41"/>
        <v>254</v>
      </c>
      <c r="F649" s="5">
        <f t="shared" si="42"/>
        <v>64516</v>
      </c>
      <c r="G649" s="6">
        <f>SQRT(SUM($F$2:F649)/A649)</f>
        <v>1123.336680536831</v>
      </c>
      <c r="H649" s="5">
        <f t="shared" si="43"/>
        <v>1</v>
      </c>
      <c r="I649" s="5">
        <f t="shared" si="44"/>
        <v>1</v>
      </c>
    </row>
    <row r="650" spans="1:9">
      <c r="A650">
        <v>649</v>
      </c>
      <c r="B650">
        <v>7</v>
      </c>
      <c r="C650">
        <v>5000</v>
      </c>
      <c r="D650">
        <v>5338</v>
      </c>
      <c r="E650" s="5">
        <f t="shared" si="41"/>
        <v>338</v>
      </c>
      <c r="F650" s="5">
        <f t="shared" si="42"/>
        <v>114244</v>
      </c>
      <c r="G650" s="6">
        <f>SQRT(SUM($F$2:F650)/A650)</f>
        <v>1122.5493197836286</v>
      </c>
      <c r="H650" s="5">
        <f t="shared" si="43"/>
        <v>1</v>
      </c>
      <c r="I650" s="5">
        <f t="shared" si="44"/>
        <v>1</v>
      </c>
    </row>
    <row r="651" spans="1:9">
      <c r="A651">
        <v>650</v>
      </c>
      <c r="B651">
        <v>7</v>
      </c>
      <c r="C651">
        <v>5000</v>
      </c>
      <c r="D651">
        <v>5403</v>
      </c>
      <c r="E651" s="5">
        <f t="shared" si="41"/>
        <v>403</v>
      </c>
      <c r="F651" s="5">
        <f t="shared" si="42"/>
        <v>162409</v>
      </c>
      <c r="G651" s="6">
        <f>SQRT(SUM($F$2:F651)/A651)</f>
        <v>1121.796859438532</v>
      </c>
      <c r="H651" s="5">
        <f t="shared" si="43"/>
        <v>1</v>
      </c>
      <c r="I651" s="5">
        <f t="shared" si="44"/>
        <v>1</v>
      </c>
    </row>
    <row r="652" spans="1:9">
      <c r="A652">
        <v>651</v>
      </c>
      <c r="B652">
        <v>7</v>
      </c>
      <c r="C652">
        <v>5000</v>
      </c>
      <c r="D652">
        <v>5298</v>
      </c>
      <c r="E652" s="5">
        <f t="shared" si="41"/>
        <v>298</v>
      </c>
      <c r="F652" s="5">
        <f t="shared" si="42"/>
        <v>88804</v>
      </c>
      <c r="G652" s="6">
        <f>SQRT(SUM($F$2:F652)/A652)</f>
        <v>1120.995778804858</v>
      </c>
      <c r="H652" s="5">
        <f t="shared" si="43"/>
        <v>1</v>
      </c>
      <c r="I652" s="5">
        <f t="shared" si="44"/>
        <v>1</v>
      </c>
    </row>
    <row r="653" spans="1:9">
      <c r="A653">
        <v>652</v>
      </c>
      <c r="B653">
        <v>7</v>
      </c>
      <c r="C653">
        <v>5000</v>
      </c>
      <c r="D653">
        <v>5209</v>
      </c>
      <c r="E653" s="5">
        <f t="shared" si="41"/>
        <v>209</v>
      </c>
      <c r="F653" s="5">
        <f t="shared" si="42"/>
        <v>43681</v>
      </c>
      <c r="G653" s="6">
        <f>SQRT(SUM($F$2:F653)/A653)</f>
        <v>1120.1656942235543</v>
      </c>
      <c r="H653" s="5">
        <f t="shared" si="43"/>
        <v>1</v>
      </c>
      <c r="I653" s="5">
        <f t="shared" si="44"/>
        <v>1</v>
      </c>
    </row>
    <row r="654" spans="1:9">
      <c r="A654">
        <v>653</v>
      </c>
      <c r="B654">
        <v>7</v>
      </c>
      <c r="C654">
        <v>5000</v>
      </c>
      <c r="D654">
        <v>5255</v>
      </c>
      <c r="E654" s="5">
        <f t="shared" si="41"/>
        <v>255</v>
      </c>
      <c r="F654" s="5">
        <f t="shared" si="42"/>
        <v>65025</v>
      </c>
      <c r="G654" s="6">
        <f>SQRT(SUM($F$2:F654)/A654)</f>
        <v>1119.3521397950271</v>
      </c>
      <c r="H654" s="5">
        <f t="shared" si="43"/>
        <v>1</v>
      </c>
      <c r="I654" s="5">
        <f t="shared" si="44"/>
        <v>1</v>
      </c>
    </row>
    <row r="655" spans="1:9">
      <c r="A655">
        <v>654</v>
      </c>
      <c r="B655">
        <v>7</v>
      </c>
      <c r="C655">
        <v>5000</v>
      </c>
      <c r="D655">
        <v>4325</v>
      </c>
      <c r="E655" s="5">
        <f t="shared" si="41"/>
        <v>675</v>
      </c>
      <c r="F655" s="5">
        <f t="shared" si="42"/>
        <v>455625</v>
      </c>
      <c r="G655" s="6">
        <f>SQRT(SUM($F$2:F655)/A655)</f>
        <v>1118.8074287790243</v>
      </c>
      <c r="H655" s="5">
        <f t="shared" si="43"/>
        <v>1</v>
      </c>
      <c r="I655" s="5">
        <f t="shared" si="44"/>
        <v>0</v>
      </c>
    </row>
    <row r="656" spans="1:9">
      <c r="A656">
        <v>655</v>
      </c>
      <c r="B656">
        <v>8</v>
      </c>
      <c r="C656">
        <v>5000</v>
      </c>
      <c r="D656">
        <v>5342</v>
      </c>
      <c r="E656" s="5">
        <f t="shared" si="41"/>
        <v>342</v>
      </c>
      <c r="F656" s="5">
        <f t="shared" si="42"/>
        <v>116964</v>
      </c>
      <c r="G656" s="6">
        <f>SQRT(SUM($F$2:F656)/A656)</f>
        <v>1118.032913388442</v>
      </c>
      <c r="H656" s="5">
        <f t="shared" si="43"/>
        <v>1</v>
      </c>
      <c r="I656" s="5">
        <f t="shared" si="44"/>
        <v>1</v>
      </c>
    </row>
    <row r="657" spans="1:9">
      <c r="A657">
        <v>656</v>
      </c>
      <c r="B657">
        <v>7</v>
      </c>
      <c r="C657">
        <v>5000</v>
      </c>
      <c r="D657">
        <v>5175</v>
      </c>
      <c r="E657" s="5">
        <f t="shared" si="41"/>
        <v>175</v>
      </c>
      <c r="F657" s="5">
        <f t="shared" si="42"/>
        <v>30625</v>
      </c>
      <c r="G657" s="6">
        <f>SQRT(SUM($F$2:F657)/A657)</f>
        <v>1117.2013228293758</v>
      </c>
      <c r="H657" s="5">
        <f t="shared" si="43"/>
        <v>1</v>
      </c>
      <c r="I657" s="5">
        <f t="shared" si="44"/>
        <v>1</v>
      </c>
    </row>
    <row r="658" spans="1:9">
      <c r="A658">
        <v>657</v>
      </c>
      <c r="B658">
        <v>7</v>
      </c>
      <c r="C658">
        <v>5000</v>
      </c>
      <c r="D658">
        <v>5554</v>
      </c>
      <c r="E658" s="5">
        <f t="shared" si="41"/>
        <v>554</v>
      </c>
      <c r="F658" s="5">
        <f t="shared" si="42"/>
        <v>306916</v>
      </c>
      <c r="G658" s="6">
        <f>SQRT(SUM($F$2:F658)/A658)</f>
        <v>1116.5599799100278</v>
      </c>
      <c r="H658" s="5">
        <f t="shared" si="43"/>
        <v>1</v>
      </c>
      <c r="I658" s="5">
        <f t="shared" si="44"/>
        <v>0</v>
      </c>
    </row>
    <row r="659" spans="1:9">
      <c r="A659">
        <v>658</v>
      </c>
      <c r="B659">
        <v>6</v>
      </c>
      <c r="C659">
        <v>5000</v>
      </c>
      <c r="D659">
        <v>5336</v>
      </c>
      <c r="E659" s="5">
        <f t="shared" si="41"/>
        <v>336</v>
      </c>
      <c r="F659" s="5">
        <f t="shared" si="42"/>
        <v>112896</v>
      </c>
      <c r="G659" s="6">
        <f>SQRT(SUM($F$2:F659)/A659)</f>
        <v>1115.788095002061</v>
      </c>
      <c r="H659" s="5">
        <f t="shared" si="43"/>
        <v>1</v>
      </c>
      <c r="I659" s="5">
        <f t="shared" si="44"/>
        <v>1</v>
      </c>
    </row>
    <row r="660" spans="1:9">
      <c r="A660">
        <v>659</v>
      </c>
      <c r="B660">
        <v>7</v>
      </c>
      <c r="C660">
        <v>5000</v>
      </c>
      <c r="D660">
        <v>5280</v>
      </c>
      <c r="E660" s="5">
        <f t="shared" si="41"/>
        <v>280</v>
      </c>
      <c r="F660" s="5">
        <f t="shared" si="42"/>
        <v>78400</v>
      </c>
      <c r="G660" s="6">
        <f>SQRT(SUM($F$2:F660)/A660)</f>
        <v>1114.9945473712767</v>
      </c>
      <c r="H660" s="5">
        <f t="shared" si="43"/>
        <v>1</v>
      </c>
      <c r="I660" s="5">
        <f t="shared" si="44"/>
        <v>1</v>
      </c>
    </row>
    <row r="661" spans="1:9">
      <c r="A661">
        <v>660</v>
      </c>
      <c r="B661">
        <v>7</v>
      </c>
      <c r="C661">
        <v>5000</v>
      </c>
      <c r="D661">
        <v>5286</v>
      </c>
      <c r="E661" s="5">
        <f t="shared" si="41"/>
        <v>286</v>
      </c>
      <c r="F661" s="5">
        <f t="shared" si="42"/>
        <v>81796</v>
      </c>
      <c r="G661" s="6">
        <f>SQRT(SUM($F$2:F661)/A661)</f>
        <v>1114.2051508505147</v>
      </c>
      <c r="H661" s="5">
        <f t="shared" si="43"/>
        <v>1</v>
      </c>
      <c r="I661" s="5">
        <f t="shared" si="44"/>
        <v>1</v>
      </c>
    </row>
    <row r="662" spans="1:9">
      <c r="A662">
        <v>661</v>
      </c>
      <c r="B662">
        <v>6</v>
      </c>
      <c r="C662">
        <v>5000</v>
      </c>
      <c r="D662">
        <v>4825</v>
      </c>
      <c r="E662" s="5">
        <f t="shared" si="41"/>
        <v>175</v>
      </c>
      <c r="F662" s="5">
        <f t="shared" si="42"/>
        <v>30625</v>
      </c>
      <c r="G662" s="6">
        <f>SQRT(SUM($F$2:F662)/A662)</f>
        <v>1113.382820775307</v>
      </c>
      <c r="H662" s="5">
        <f t="shared" si="43"/>
        <v>1</v>
      </c>
      <c r="I662" s="5">
        <f t="shared" si="44"/>
        <v>1</v>
      </c>
    </row>
    <row r="663" spans="1:9">
      <c r="A663">
        <v>662</v>
      </c>
      <c r="B663">
        <v>7</v>
      </c>
      <c r="C663">
        <v>5000</v>
      </c>
      <c r="D663">
        <v>5169</v>
      </c>
      <c r="E663" s="5">
        <f t="shared" si="41"/>
        <v>169</v>
      </c>
      <c r="F663" s="5">
        <f t="shared" si="42"/>
        <v>28561</v>
      </c>
      <c r="G663" s="6">
        <f>SQRT(SUM($F$2:F663)/A663)</f>
        <v>1112.5609688307238</v>
      </c>
      <c r="H663" s="5">
        <f t="shared" si="43"/>
        <v>1</v>
      </c>
      <c r="I663" s="5">
        <f t="shared" si="44"/>
        <v>1</v>
      </c>
    </row>
    <row r="664" spans="1:9">
      <c r="A664">
        <v>663</v>
      </c>
      <c r="B664">
        <v>7</v>
      </c>
      <c r="C664">
        <v>5000</v>
      </c>
      <c r="D664">
        <v>4745</v>
      </c>
      <c r="E664" s="5">
        <f t="shared" si="41"/>
        <v>255</v>
      </c>
      <c r="F664" s="5">
        <f t="shared" si="42"/>
        <v>65025</v>
      </c>
      <c r="G664" s="6">
        <f>SQRT(SUM($F$2:F664)/A664)</f>
        <v>1111.7657262957482</v>
      </c>
      <c r="H664" s="5">
        <f t="shared" si="43"/>
        <v>1</v>
      </c>
      <c r="I664" s="5">
        <f t="shared" si="44"/>
        <v>1</v>
      </c>
    </row>
    <row r="665" spans="1:9">
      <c r="A665">
        <v>664</v>
      </c>
      <c r="B665">
        <v>7</v>
      </c>
      <c r="C665">
        <v>5000</v>
      </c>
      <c r="D665">
        <v>4761</v>
      </c>
      <c r="E665" s="5">
        <f t="shared" si="41"/>
        <v>239</v>
      </c>
      <c r="F665" s="5">
        <f t="shared" si="42"/>
        <v>57121</v>
      </c>
      <c r="G665" s="6">
        <f>SQRT(SUM($F$2:F665)/A665)</f>
        <v>1110.9669550896665</v>
      </c>
      <c r="H665" s="5">
        <f t="shared" si="43"/>
        <v>1</v>
      </c>
      <c r="I665" s="5">
        <f t="shared" si="44"/>
        <v>1</v>
      </c>
    </row>
    <row r="666" spans="1:9">
      <c r="A666">
        <v>665</v>
      </c>
      <c r="B666">
        <v>7</v>
      </c>
      <c r="C666">
        <v>5000</v>
      </c>
      <c r="D666">
        <v>4824</v>
      </c>
      <c r="E666" s="5">
        <f t="shared" si="41"/>
        <v>176</v>
      </c>
      <c r="F666" s="5">
        <f t="shared" si="42"/>
        <v>30976</v>
      </c>
      <c r="G666" s="6">
        <f>SQRT(SUM($F$2:F666)/A666)</f>
        <v>1110.1523068304198</v>
      </c>
      <c r="H666" s="5">
        <f t="shared" si="43"/>
        <v>1</v>
      </c>
      <c r="I666" s="5">
        <f t="shared" si="44"/>
        <v>1</v>
      </c>
    </row>
    <row r="667" spans="1:9">
      <c r="A667">
        <v>666</v>
      </c>
      <c r="B667">
        <v>7</v>
      </c>
      <c r="C667">
        <v>5000</v>
      </c>
      <c r="D667">
        <v>4476</v>
      </c>
      <c r="E667" s="5">
        <f t="shared" si="41"/>
        <v>524</v>
      </c>
      <c r="F667" s="5">
        <f t="shared" si="42"/>
        <v>274576</v>
      </c>
      <c r="G667" s="6">
        <f>SQRT(SUM($F$2:F667)/A667)</f>
        <v>1109.5043546164716</v>
      </c>
      <c r="H667" s="5">
        <f t="shared" si="43"/>
        <v>1</v>
      </c>
      <c r="I667" s="5">
        <f t="shared" si="44"/>
        <v>0</v>
      </c>
    </row>
    <row r="668" spans="1:9">
      <c r="A668">
        <v>667</v>
      </c>
      <c r="B668">
        <v>8</v>
      </c>
      <c r="C668">
        <v>5000</v>
      </c>
      <c r="D668">
        <v>5890</v>
      </c>
      <c r="E668" s="5">
        <f t="shared" si="41"/>
        <v>890</v>
      </c>
      <c r="F668" s="5">
        <f t="shared" si="42"/>
        <v>792100</v>
      </c>
      <c r="G668" s="6">
        <f>SQRT(SUM($F$2:F668)/A668)</f>
        <v>1109.2077767731223</v>
      </c>
      <c r="H668" s="5">
        <f t="shared" si="43"/>
        <v>1</v>
      </c>
      <c r="I668" s="5">
        <f t="shared" si="44"/>
        <v>0</v>
      </c>
    </row>
    <row r="669" spans="1:9">
      <c r="A669">
        <v>668</v>
      </c>
      <c r="B669">
        <v>6</v>
      </c>
      <c r="C669">
        <v>5000</v>
      </c>
      <c r="D669">
        <v>4605</v>
      </c>
      <c r="E669" s="5">
        <f t="shared" si="41"/>
        <v>395</v>
      </c>
      <c r="F669" s="5">
        <f t="shared" si="42"/>
        <v>156025</v>
      </c>
      <c r="G669" s="6">
        <f>SQRT(SUM($F$2:F669)/A669)</f>
        <v>1108.4825813848106</v>
      </c>
      <c r="H669" s="5">
        <f t="shared" si="43"/>
        <v>1</v>
      </c>
      <c r="I669" s="5">
        <f t="shared" si="44"/>
        <v>1</v>
      </c>
    </row>
    <row r="670" spans="1:9">
      <c r="A670">
        <v>669</v>
      </c>
      <c r="B670">
        <v>7</v>
      </c>
      <c r="C670">
        <v>5000</v>
      </c>
      <c r="D670">
        <v>5065</v>
      </c>
      <c r="E670" s="5">
        <f t="shared" si="41"/>
        <v>65</v>
      </c>
      <c r="F670" s="5">
        <f t="shared" si="42"/>
        <v>4225</v>
      </c>
      <c r="G670" s="6">
        <f>SQRT(SUM($F$2:F670)/A670)</f>
        <v>1107.6566600405279</v>
      </c>
      <c r="H670" s="5">
        <f t="shared" si="43"/>
        <v>1</v>
      </c>
      <c r="I670" s="5">
        <f t="shared" si="44"/>
        <v>1</v>
      </c>
    </row>
    <row r="671" spans="1:9">
      <c r="A671">
        <v>670</v>
      </c>
      <c r="B671">
        <v>7</v>
      </c>
      <c r="C671">
        <v>5000</v>
      </c>
      <c r="D671">
        <v>4210</v>
      </c>
      <c r="E671" s="5">
        <f t="shared" si="41"/>
        <v>790</v>
      </c>
      <c r="F671" s="5">
        <f t="shared" si="42"/>
        <v>624100</v>
      </c>
      <c r="G671" s="6">
        <f>SQRT(SUM($F$2:F671)/A671)</f>
        <v>1107.250455023277</v>
      </c>
      <c r="H671" s="5">
        <f t="shared" si="43"/>
        <v>1</v>
      </c>
      <c r="I671" s="5">
        <f t="shared" si="44"/>
        <v>0</v>
      </c>
    </row>
    <row r="672" spans="1:9">
      <c r="A672">
        <v>671</v>
      </c>
      <c r="B672">
        <v>8</v>
      </c>
      <c r="C672">
        <v>5000</v>
      </c>
      <c r="D672">
        <v>5209</v>
      </c>
      <c r="E672" s="5">
        <f t="shared" si="41"/>
        <v>209</v>
      </c>
      <c r="F672" s="5">
        <f t="shared" si="42"/>
        <v>43681</v>
      </c>
      <c r="G672" s="6">
        <f>SQRT(SUM($F$2:F672)/A672)</f>
        <v>1106.4544904754525</v>
      </c>
      <c r="H672" s="5">
        <f t="shared" si="43"/>
        <v>1</v>
      </c>
      <c r="I672" s="5">
        <f t="shared" si="44"/>
        <v>1</v>
      </c>
    </row>
    <row r="673" spans="1:9">
      <c r="A673">
        <v>672</v>
      </c>
      <c r="B673">
        <v>7</v>
      </c>
      <c r="C673">
        <v>5000</v>
      </c>
      <c r="D673">
        <v>4725</v>
      </c>
      <c r="E673" s="5">
        <f t="shared" si="41"/>
        <v>275</v>
      </c>
      <c r="F673" s="5">
        <f t="shared" si="42"/>
        <v>75625</v>
      </c>
      <c r="G673" s="6">
        <f>SQRT(SUM($F$2:F673)/A673)</f>
        <v>1105.6818207289457</v>
      </c>
      <c r="H673" s="5">
        <f t="shared" si="43"/>
        <v>1</v>
      </c>
      <c r="I673" s="5">
        <f t="shared" si="44"/>
        <v>1</v>
      </c>
    </row>
    <row r="674" spans="1:9">
      <c r="A674">
        <v>673</v>
      </c>
      <c r="B674">
        <v>7</v>
      </c>
      <c r="C674">
        <v>5000</v>
      </c>
      <c r="D674">
        <v>4776</v>
      </c>
      <c r="E674" s="5">
        <f t="shared" si="41"/>
        <v>224</v>
      </c>
      <c r="F674" s="5">
        <f t="shared" si="42"/>
        <v>50176</v>
      </c>
      <c r="G674" s="6">
        <f>SQRT(SUM($F$2:F674)/A674)</f>
        <v>1104.893797213269</v>
      </c>
      <c r="H674" s="5">
        <f t="shared" si="43"/>
        <v>1</v>
      </c>
      <c r="I674" s="5">
        <f t="shared" si="44"/>
        <v>1</v>
      </c>
    </row>
    <row r="675" spans="1:9">
      <c r="A675">
        <v>674</v>
      </c>
      <c r="B675">
        <v>7</v>
      </c>
      <c r="C675">
        <v>5000</v>
      </c>
      <c r="D675">
        <v>5198</v>
      </c>
      <c r="E675" s="5">
        <f t="shared" si="41"/>
        <v>198</v>
      </c>
      <c r="F675" s="5">
        <f t="shared" si="42"/>
        <v>39204</v>
      </c>
      <c r="G675" s="6">
        <f>SQRT(SUM($F$2:F675)/A675)</f>
        <v>1104.1001801082787</v>
      </c>
      <c r="H675" s="5">
        <f t="shared" si="43"/>
        <v>1</v>
      </c>
      <c r="I675" s="5">
        <f t="shared" si="44"/>
        <v>1</v>
      </c>
    </row>
    <row r="676" spans="1:9">
      <c r="A676">
        <v>675</v>
      </c>
      <c r="B676">
        <v>7</v>
      </c>
      <c r="C676">
        <v>5000</v>
      </c>
      <c r="D676">
        <v>4848</v>
      </c>
      <c r="E676" s="5">
        <f t="shared" si="41"/>
        <v>152</v>
      </c>
      <c r="F676" s="5">
        <f t="shared" si="42"/>
        <v>23104</v>
      </c>
      <c r="G676" s="6">
        <f>SQRT(SUM($F$2:F676)/A676)</f>
        <v>1103.2975368479777</v>
      </c>
      <c r="H676" s="5">
        <f t="shared" si="43"/>
        <v>1</v>
      </c>
      <c r="I676" s="5">
        <f t="shared" si="44"/>
        <v>1</v>
      </c>
    </row>
    <row r="677" spans="1:9">
      <c r="A677">
        <v>676</v>
      </c>
      <c r="B677">
        <v>7</v>
      </c>
      <c r="C677">
        <v>5000</v>
      </c>
      <c r="D677">
        <v>5311</v>
      </c>
      <c r="E677" s="5">
        <f t="shared" si="41"/>
        <v>311</v>
      </c>
      <c r="F677" s="5">
        <f t="shared" si="42"/>
        <v>96721</v>
      </c>
      <c r="G677" s="6">
        <f>SQRT(SUM($F$2:F677)/A677)</f>
        <v>1102.5460737196229</v>
      </c>
      <c r="H677" s="5">
        <f t="shared" si="43"/>
        <v>1</v>
      </c>
      <c r="I677" s="5">
        <f t="shared" si="44"/>
        <v>1</v>
      </c>
    </row>
    <row r="678" spans="1:9">
      <c r="A678">
        <v>677</v>
      </c>
      <c r="B678">
        <v>7</v>
      </c>
      <c r="C678">
        <v>5000</v>
      </c>
      <c r="D678">
        <v>5565</v>
      </c>
      <c r="E678" s="5">
        <f t="shared" si="41"/>
        <v>565</v>
      </c>
      <c r="F678" s="5">
        <f t="shared" si="42"/>
        <v>319225</v>
      </c>
      <c r="G678" s="6">
        <f>SQRT(SUM($F$2:F678)/A678)</f>
        <v>1101.9454583623083</v>
      </c>
      <c r="H678" s="5">
        <f t="shared" si="43"/>
        <v>1</v>
      </c>
      <c r="I678" s="5">
        <f t="shared" si="44"/>
        <v>0</v>
      </c>
    </row>
    <row r="679" spans="1:9">
      <c r="A679">
        <v>678</v>
      </c>
      <c r="B679">
        <v>6</v>
      </c>
      <c r="C679">
        <v>5000</v>
      </c>
      <c r="D679">
        <v>5260</v>
      </c>
      <c r="E679" s="5">
        <f t="shared" si="41"/>
        <v>260</v>
      </c>
      <c r="F679" s="5">
        <f t="shared" si="42"/>
        <v>67600</v>
      </c>
      <c r="G679" s="6">
        <f>SQRT(SUM($F$2:F679)/A679)</f>
        <v>1101.177787268723</v>
      </c>
      <c r="H679" s="5">
        <f t="shared" si="43"/>
        <v>1</v>
      </c>
      <c r="I679" s="5">
        <f t="shared" si="44"/>
        <v>1</v>
      </c>
    </row>
    <row r="680" spans="1:9">
      <c r="A680">
        <v>679</v>
      </c>
      <c r="B680">
        <v>7</v>
      </c>
      <c r="C680">
        <v>5000</v>
      </c>
      <c r="D680">
        <v>5655</v>
      </c>
      <c r="E680" s="5">
        <f t="shared" si="41"/>
        <v>655</v>
      </c>
      <c r="F680" s="5">
        <f t="shared" si="42"/>
        <v>429025</v>
      </c>
      <c r="G680" s="6">
        <f>SQRT(SUM($F$2:F680)/A680)</f>
        <v>1100.6536771104122</v>
      </c>
      <c r="H680" s="5">
        <f t="shared" si="43"/>
        <v>1</v>
      </c>
      <c r="I680" s="5">
        <f t="shared" si="44"/>
        <v>0</v>
      </c>
    </row>
    <row r="681" spans="1:9">
      <c r="A681">
        <v>680</v>
      </c>
      <c r="B681">
        <v>6</v>
      </c>
      <c r="C681">
        <v>5000</v>
      </c>
      <c r="D681">
        <v>4672</v>
      </c>
      <c r="E681" s="5">
        <f t="shared" si="41"/>
        <v>328</v>
      </c>
      <c r="F681" s="5">
        <f t="shared" si="42"/>
        <v>107584</v>
      </c>
      <c r="G681" s="6">
        <f>SQRT(SUM($F$2:F681)/A681)</f>
        <v>1099.9159974609827</v>
      </c>
      <c r="H681" s="5">
        <f t="shared" si="43"/>
        <v>1</v>
      </c>
      <c r="I681" s="5">
        <f t="shared" si="44"/>
        <v>1</v>
      </c>
    </row>
    <row r="682" spans="1:9">
      <c r="A682">
        <v>681</v>
      </c>
      <c r="B682">
        <v>7</v>
      </c>
      <c r="C682">
        <v>5000</v>
      </c>
      <c r="D682">
        <v>5108</v>
      </c>
      <c r="E682" s="5">
        <f t="shared" si="41"/>
        <v>108</v>
      </c>
      <c r="F682" s="5">
        <f t="shared" si="42"/>
        <v>11664</v>
      </c>
      <c r="G682" s="6">
        <f>SQRT(SUM($F$2:F682)/A682)</f>
        <v>1099.1159182552651</v>
      </c>
      <c r="H682" s="5">
        <f t="shared" si="43"/>
        <v>1</v>
      </c>
      <c r="I682" s="5">
        <f t="shared" si="44"/>
        <v>1</v>
      </c>
    </row>
    <row r="683" spans="1:9">
      <c r="A683">
        <v>682</v>
      </c>
      <c r="B683">
        <v>7</v>
      </c>
      <c r="C683">
        <v>5000</v>
      </c>
      <c r="D683">
        <v>5512</v>
      </c>
      <c r="E683" s="5">
        <f t="shared" si="41"/>
        <v>512</v>
      </c>
      <c r="F683" s="5">
        <f t="shared" si="42"/>
        <v>262144</v>
      </c>
      <c r="G683" s="6">
        <f>SQRT(SUM($F$2:F683)/A683)</f>
        <v>1098.4847902046029</v>
      </c>
      <c r="H683" s="5">
        <f t="shared" si="43"/>
        <v>1</v>
      </c>
      <c r="I683" s="5">
        <f t="shared" si="44"/>
        <v>0</v>
      </c>
    </row>
    <row r="684" spans="1:9">
      <c r="A684">
        <v>683</v>
      </c>
      <c r="B684">
        <v>6</v>
      </c>
      <c r="C684">
        <v>5000</v>
      </c>
      <c r="D684">
        <v>4893</v>
      </c>
      <c r="E684" s="5">
        <f t="shared" si="41"/>
        <v>107</v>
      </c>
      <c r="F684" s="5">
        <f t="shared" si="42"/>
        <v>11449</v>
      </c>
      <c r="G684" s="6">
        <f>SQRT(SUM($F$2:F684)/A684)</f>
        <v>1097.6879695420307</v>
      </c>
      <c r="H684" s="5">
        <f t="shared" si="43"/>
        <v>1</v>
      </c>
      <c r="I684" s="5">
        <f t="shared" si="44"/>
        <v>1</v>
      </c>
    </row>
    <row r="685" spans="1:9">
      <c r="A685">
        <v>684</v>
      </c>
      <c r="B685">
        <v>7</v>
      </c>
      <c r="C685">
        <v>5000</v>
      </c>
      <c r="D685">
        <v>5195</v>
      </c>
      <c r="E685" s="5">
        <f t="shared" si="41"/>
        <v>195</v>
      </c>
      <c r="F685" s="5">
        <f t="shared" si="42"/>
        <v>38025</v>
      </c>
      <c r="G685" s="6">
        <f>SQRT(SUM($F$2:F685)/A685)</f>
        <v>1096.9106131653816</v>
      </c>
      <c r="H685" s="5">
        <f t="shared" si="43"/>
        <v>1</v>
      </c>
      <c r="I685" s="5">
        <f t="shared" si="44"/>
        <v>1</v>
      </c>
    </row>
    <row r="686" spans="1:9">
      <c r="A686">
        <v>685</v>
      </c>
      <c r="B686">
        <v>6</v>
      </c>
      <c r="C686">
        <v>5000</v>
      </c>
      <c r="D686">
        <v>4952</v>
      </c>
      <c r="E686" s="5">
        <f t="shared" si="41"/>
        <v>48</v>
      </c>
      <c r="F686" s="5">
        <f t="shared" si="42"/>
        <v>2304</v>
      </c>
      <c r="G686" s="6">
        <f>SQRT(SUM($F$2:F686)/A686)</f>
        <v>1096.1111903478768</v>
      </c>
      <c r="H686" s="5">
        <f t="shared" si="43"/>
        <v>1</v>
      </c>
      <c r="I686" s="5">
        <f t="shared" si="44"/>
        <v>1</v>
      </c>
    </row>
    <row r="687" spans="1:9">
      <c r="A687">
        <v>686</v>
      </c>
      <c r="B687">
        <v>7</v>
      </c>
      <c r="C687">
        <v>5000</v>
      </c>
      <c r="D687">
        <v>5019</v>
      </c>
      <c r="E687" s="5">
        <f t="shared" si="41"/>
        <v>19</v>
      </c>
      <c r="F687" s="5">
        <f t="shared" si="42"/>
        <v>361</v>
      </c>
      <c r="G687" s="6">
        <f>SQRT(SUM($F$2:F687)/A687)</f>
        <v>1095.3122243473158</v>
      </c>
      <c r="H687" s="5">
        <f t="shared" si="43"/>
        <v>1</v>
      </c>
      <c r="I687" s="5">
        <f t="shared" si="44"/>
        <v>1</v>
      </c>
    </row>
    <row r="688" spans="1:9">
      <c r="A688">
        <v>687</v>
      </c>
      <c r="B688">
        <v>7</v>
      </c>
      <c r="C688">
        <v>5000</v>
      </c>
      <c r="D688">
        <v>5666</v>
      </c>
      <c r="E688" s="5">
        <f t="shared" si="41"/>
        <v>666</v>
      </c>
      <c r="F688" s="5">
        <f t="shared" si="42"/>
        <v>443556</v>
      </c>
      <c r="G688" s="6">
        <f>SQRT(SUM($F$2:F688)/A688)</f>
        <v>1094.8096682104094</v>
      </c>
      <c r="H688" s="5">
        <f t="shared" si="43"/>
        <v>1</v>
      </c>
      <c r="I688" s="5">
        <f t="shared" si="44"/>
        <v>0</v>
      </c>
    </row>
    <row r="689" spans="1:9">
      <c r="A689">
        <v>688</v>
      </c>
      <c r="B689">
        <v>6</v>
      </c>
      <c r="C689">
        <v>5000</v>
      </c>
      <c r="D689">
        <v>4956</v>
      </c>
      <c r="E689" s="5">
        <f t="shared" si="41"/>
        <v>44</v>
      </c>
      <c r="F689" s="5">
        <f t="shared" si="42"/>
        <v>1936</v>
      </c>
      <c r="G689" s="6">
        <f>SQRT(SUM($F$2:F689)/A689)</f>
        <v>1094.0150183910257</v>
      </c>
      <c r="H689" s="5">
        <f t="shared" si="43"/>
        <v>1</v>
      </c>
      <c r="I689" s="5">
        <f t="shared" si="44"/>
        <v>1</v>
      </c>
    </row>
    <row r="690" spans="1:9">
      <c r="A690">
        <v>689</v>
      </c>
      <c r="B690">
        <v>6</v>
      </c>
      <c r="C690">
        <v>5000</v>
      </c>
      <c r="D690">
        <v>4562</v>
      </c>
      <c r="E690" s="5">
        <f t="shared" si="41"/>
        <v>438</v>
      </c>
      <c r="F690" s="5">
        <f t="shared" si="42"/>
        <v>191844</v>
      </c>
      <c r="G690" s="6">
        <f>SQRT(SUM($F$2:F690)/A690)</f>
        <v>1093.3481552914632</v>
      </c>
      <c r="H690" s="5">
        <f t="shared" si="43"/>
        <v>1</v>
      </c>
      <c r="I690" s="5">
        <f t="shared" si="44"/>
        <v>1</v>
      </c>
    </row>
    <row r="691" spans="1:9">
      <c r="A691">
        <v>690</v>
      </c>
      <c r="B691">
        <v>7</v>
      </c>
      <c r="C691">
        <v>5000</v>
      </c>
      <c r="D691">
        <v>4665</v>
      </c>
      <c r="E691" s="5">
        <f t="shared" si="41"/>
        <v>335</v>
      </c>
      <c r="F691" s="5">
        <f t="shared" si="42"/>
        <v>112225</v>
      </c>
      <c r="G691" s="6">
        <f>SQRT(SUM($F$2:F691)/A691)</f>
        <v>1092.6300174681564</v>
      </c>
      <c r="H691" s="5">
        <f t="shared" si="43"/>
        <v>1</v>
      </c>
      <c r="I691" s="5">
        <f t="shared" si="44"/>
        <v>1</v>
      </c>
    </row>
    <row r="692" spans="1:9">
      <c r="A692">
        <v>691</v>
      </c>
      <c r="B692">
        <v>7</v>
      </c>
      <c r="C692">
        <v>5000</v>
      </c>
      <c r="D692">
        <v>5600</v>
      </c>
      <c r="E692" s="5">
        <f t="shared" si="41"/>
        <v>600</v>
      </c>
      <c r="F692" s="5">
        <f t="shared" si="42"/>
        <v>360000</v>
      </c>
      <c r="G692" s="6">
        <f>SQRT(SUM($F$2:F692)/A692)</f>
        <v>1092.0776710713747</v>
      </c>
      <c r="H692" s="5">
        <f t="shared" si="43"/>
        <v>1</v>
      </c>
      <c r="I692" s="5">
        <f t="shared" si="44"/>
        <v>0</v>
      </c>
    </row>
    <row r="693" spans="1:9">
      <c r="A693">
        <v>692</v>
      </c>
      <c r="B693">
        <v>6</v>
      </c>
      <c r="C693">
        <v>5000</v>
      </c>
      <c r="D693">
        <v>4892</v>
      </c>
      <c r="E693" s="5">
        <f t="shared" si="41"/>
        <v>108</v>
      </c>
      <c r="F693" s="5">
        <f t="shared" si="42"/>
        <v>11664</v>
      </c>
      <c r="G693" s="6">
        <f>SQRT(SUM($F$2:F693)/A693)</f>
        <v>1091.296035055185</v>
      </c>
      <c r="H693" s="5">
        <f t="shared" si="43"/>
        <v>1</v>
      </c>
      <c r="I693" s="5">
        <f t="shared" si="44"/>
        <v>1</v>
      </c>
    </row>
    <row r="694" spans="1:9">
      <c r="A694">
        <v>693</v>
      </c>
      <c r="B694">
        <v>7</v>
      </c>
      <c r="C694">
        <v>5000</v>
      </c>
      <c r="D694">
        <v>5548</v>
      </c>
      <c r="E694" s="5">
        <f t="shared" si="41"/>
        <v>548</v>
      </c>
      <c r="F694" s="5">
        <f t="shared" si="42"/>
        <v>300304</v>
      </c>
      <c r="G694" s="6">
        <f>SQRT(SUM($F$2:F694)/A694)</f>
        <v>1090.7070485702684</v>
      </c>
      <c r="H694" s="5">
        <f t="shared" si="43"/>
        <v>1</v>
      </c>
      <c r="I694" s="5">
        <f t="shared" si="44"/>
        <v>0</v>
      </c>
    </row>
    <row r="695" spans="1:9">
      <c r="A695">
        <v>694</v>
      </c>
      <c r="B695">
        <v>6</v>
      </c>
      <c r="C695">
        <v>5000</v>
      </c>
      <c r="D695">
        <v>4222</v>
      </c>
      <c r="E695" s="5">
        <f t="shared" si="41"/>
        <v>778</v>
      </c>
      <c r="F695" s="5">
        <f t="shared" si="42"/>
        <v>605284</v>
      </c>
      <c r="G695" s="6">
        <f>SQRT(SUM($F$2:F695)/A695)</f>
        <v>1090.3209855748969</v>
      </c>
      <c r="H695" s="5">
        <f t="shared" si="43"/>
        <v>1</v>
      </c>
      <c r="I695" s="5">
        <f t="shared" si="44"/>
        <v>0</v>
      </c>
    </row>
    <row r="696" spans="1:9">
      <c r="A696">
        <v>695</v>
      </c>
      <c r="B696">
        <v>7</v>
      </c>
      <c r="C696">
        <v>5000</v>
      </c>
      <c r="D696">
        <v>5194</v>
      </c>
      <c r="E696" s="5">
        <f t="shared" si="41"/>
        <v>194</v>
      </c>
      <c r="F696" s="5">
        <f t="shared" si="42"/>
        <v>37636</v>
      </c>
      <c r="G696" s="6">
        <f>SQRT(SUM($F$2:F696)/A696)</f>
        <v>1089.5611505186043</v>
      </c>
      <c r="H696" s="5">
        <f t="shared" si="43"/>
        <v>1</v>
      </c>
      <c r="I696" s="5">
        <f t="shared" si="44"/>
        <v>1</v>
      </c>
    </row>
    <row r="697" spans="1:9">
      <c r="A697">
        <v>696</v>
      </c>
      <c r="B697">
        <v>6</v>
      </c>
      <c r="C697">
        <v>5000</v>
      </c>
      <c r="D697">
        <v>3414</v>
      </c>
      <c r="E697" s="5">
        <f t="shared" si="41"/>
        <v>1586</v>
      </c>
      <c r="F697" s="5">
        <f t="shared" si="42"/>
        <v>2515396</v>
      </c>
      <c r="G697" s="6">
        <f>SQRT(SUM($F$2:F697)/A697)</f>
        <v>1090.4365682985685</v>
      </c>
      <c r="H697" s="5">
        <f t="shared" si="43"/>
        <v>0</v>
      </c>
      <c r="I697" s="5">
        <f t="shared" si="44"/>
        <v>0</v>
      </c>
    </row>
    <row r="698" spans="1:9">
      <c r="A698">
        <v>697</v>
      </c>
      <c r="B698">
        <v>8</v>
      </c>
      <c r="C698">
        <v>5000</v>
      </c>
      <c r="D698">
        <v>2427</v>
      </c>
      <c r="E698" s="5">
        <f t="shared" si="41"/>
        <v>2573</v>
      </c>
      <c r="F698" s="5">
        <f t="shared" si="42"/>
        <v>6620329</v>
      </c>
      <c r="G698" s="6">
        <f>SQRT(SUM($F$2:F698)/A698)</f>
        <v>1094.0037808878192</v>
      </c>
      <c r="H698" s="5">
        <f t="shared" si="43"/>
        <v>0</v>
      </c>
      <c r="I698" s="5">
        <f t="shared" si="44"/>
        <v>0</v>
      </c>
    </row>
    <row r="699" spans="1:9">
      <c r="A699">
        <v>698</v>
      </c>
      <c r="B699">
        <v>10</v>
      </c>
      <c r="C699">
        <v>5000</v>
      </c>
      <c r="D699">
        <v>1058</v>
      </c>
      <c r="E699" s="5">
        <f t="shared" si="41"/>
        <v>3942</v>
      </c>
      <c r="F699" s="5">
        <f t="shared" si="42"/>
        <v>15539364</v>
      </c>
      <c r="G699" s="6">
        <f>SQRT(SUM($F$2:F699)/A699)</f>
        <v>1103.3550177204706</v>
      </c>
      <c r="H699" s="5">
        <f t="shared" si="43"/>
        <v>0</v>
      </c>
      <c r="I699" s="5">
        <f t="shared" si="44"/>
        <v>0</v>
      </c>
    </row>
    <row r="700" spans="1:9">
      <c r="A700">
        <v>699</v>
      </c>
      <c r="B700">
        <v>12</v>
      </c>
      <c r="C700">
        <v>5000</v>
      </c>
      <c r="D700">
        <v>5463</v>
      </c>
      <c r="E700" s="5">
        <f t="shared" si="41"/>
        <v>463</v>
      </c>
      <c r="F700" s="5">
        <f t="shared" si="42"/>
        <v>214369</v>
      </c>
      <c r="G700" s="6">
        <f>SQRT(SUM($F$2:F700)/A700)</f>
        <v>1102.7045636944472</v>
      </c>
      <c r="H700" s="5">
        <f t="shared" si="43"/>
        <v>1</v>
      </c>
      <c r="I700" s="5">
        <f t="shared" si="44"/>
        <v>1</v>
      </c>
    </row>
    <row r="701" spans="1:9">
      <c r="A701">
        <v>700</v>
      </c>
      <c r="B701">
        <v>8</v>
      </c>
      <c r="C701">
        <v>5000</v>
      </c>
      <c r="D701">
        <v>4323</v>
      </c>
      <c r="E701" s="5">
        <f t="shared" si="41"/>
        <v>677</v>
      </c>
      <c r="F701" s="5">
        <f t="shared" si="42"/>
        <v>458329</v>
      </c>
      <c r="G701" s="6">
        <f>SQRT(SUM($F$2:F701)/A701)</f>
        <v>1102.2136946034686</v>
      </c>
      <c r="H701" s="5">
        <f t="shared" si="43"/>
        <v>1</v>
      </c>
      <c r="I701" s="5">
        <f t="shared" si="44"/>
        <v>0</v>
      </c>
    </row>
    <row r="702" spans="1:9">
      <c r="A702">
        <v>701</v>
      </c>
      <c r="B702">
        <v>9</v>
      </c>
      <c r="C702">
        <v>6000</v>
      </c>
      <c r="D702">
        <v>5168</v>
      </c>
      <c r="E702" s="5">
        <f t="shared" si="41"/>
        <v>832</v>
      </c>
      <c r="F702" s="5">
        <f t="shared" si="42"/>
        <v>692224</v>
      </c>
      <c r="G702" s="6">
        <f>SQRT(SUM($F$2:F702)/A702)</f>
        <v>1101.8754237018177</v>
      </c>
      <c r="H702" s="5">
        <f t="shared" si="43"/>
        <v>1</v>
      </c>
      <c r="I702" s="5">
        <f t="shared" si="44"/>
        <v>0</v>
      </c>
    </row>
    <row r="703" spans="1:9">
      <c r="A703">
        <v>702</v>
      </c>
      <c r="B703">
        <v>10</v>
      </c>
      <c r="C703">
        <v>6000</v>
      </c>
      <c r="D703">
        <v>6131</v>
      </c>
      <c r="E703" s="5">
        <f t="shared" si="41"/>
        <v>131</v>
      </c>
      <c r="F703" s="5">
        <f t="shared" si="42"/>
        <v>17161</v>
      </c>
      <c r="G703" s="6">
        <f>SQRT(SUM($F$2:F703)/A703)</f>
        <v>1101.1014331553956</v>
      </c>
      <c r="H703" s="5">
        <f t="shared" si="43"/>
        <v>1</v>
      </c>
      <c r="I703" s="5">
        <f t="shared" si="44"/>
        <v>1</v>
      </c>
    </row>
    <row r="704" spans="1:9">
      <c r="A704">
        <v>703</v>
      </c>
      <c r="B704">
        <v>9</v>
      </c>
      <c r="C704">
        <v>6000</v>
      </c>
      <c r="D704">
        <v>5471</v>
      </c>
      <c r="E704" s="5">
        <f t="shared" si="41"/>
        <v>529</v>
      </c>
      <c r="F704" s="5">
        <f t="shared" si="42"/>
        <v>279841</v>
      </c>
      <c r="G704" s="6">
        <f>SQRT(SUM($F$2:F704)/A704)</f>
        <v>1100.4988820865219</v>
      </c>
      <c r="H704" s="5">
        <f t="shared" si="43"/>
        <v>1</v>
      </c>
      <c r="I704" s="5">
        <f t="shared" si="44"/>
        <v>1</v>
      </c>
    </row>
    <row r="705" spans="1:9">
      <c r="A705">
        <v>704</v>
      </c>
      <c r="B705">
        <v>10</v>
      </c>
      <c r="C705">
        <v>6000</v>
      </c>
      <c r="D705">
        <v>5714</v>
      </c>
      <c r="E705" s="5">
        <f t="shared" si="41"/>
        <v>286</v>
      </c>
      <c r="F705" s="5">
        <f t="shared" si="42"/>
        <v>81796</v>
      </c>
      <c r="G705" s="6">
        <f>SQRT(SUM($F$2:F705)/A705)</f>
        <v>1099.7698248331951</v>
      </c>
      <c r="H705" s="5">
        <f t="shared" si="43"/>
        <v>1</v>
      </c>
      <c r="I705" s="5">
        <f t="shared" si="44"/>
        <v>1</v>
      </c>
    </row>
    <row r="706" spans="1:9">
      <c r="A706">
        <v>705</v>
      </c>
      <c r="B706">
        <v>9</v>
      </c>
      <c r="C706">
        <v>6000</v>
      </c>
      <c r="D706">
        <v>5040</v>
      </c>
      <c r="E706" s="5">
        <f t="shared" si="41"/>
        <v>960</v>
      </c>
      <c r="F706" s="5">
        <f t="shared" si="42"/>
        <v>921600</v>
      </c>
      <c r="G706" s="6">
        <f>SQRT(SUM($F$2:F706)/A706)</f>
        <v>1099.5841522145627</v>
      </c>
      <c r="H706" s="5">
        <f t="shared" si="43"/>
        <v>1</v>
      </c>
      <c r="I706" s="5">
        <f t="shared" si="44"/>
        <v>0</v>
      </c>
    </row>
    <row r="707" spans="1:9">
      <c r="A707">
        <v>706</v>
      </c>
      <c r="B707">
        <v>10</v>
      </c>
      <c r="C707">
        <v>6000</v>
      </c>
      <c r="D707">
        <v>5870</v>
      </c>
      <c r="E707" s="5">
        <f t="shared" ref="E707:E770" si="45">ABS(C707-D707)</f>
        <v>130</v>
      </c>
      <c r="F707" s="5">
        <f t="shared" ref="F707:F770" si="46">POWER(E707,2)</f>
        <v>16900</v>
      </c>
      <c r="G707" s="6">
        <f>SQRT(SUM($F$2:F707)/A707)</f>
        <v>1098.8160264833496</v>
      </c>
      <c r="H707" s="5">
        <f t="shared" ref="H707:H770" si="47">IF(ABS(E707)/C707&gt;0.2,0,1)</f>
        <v>1</v>
      </c>
      <c r="I707" s="5">
        <f t="shared" ref="I707:I770" si="48">IF(ABS(E707)/C707&gt;0.1,0,1)</f>
        <v>1</v>
      </c>
    </row>
    <row r="708" spans="1:9">
      <c r="A708">
        <v>707</v>
      </c>
      <c r="B708">
        <v>10</v>
      </c>
      <c r="C708">
        <v>6000</v>
      </c>
      <c r="D708">
        <v>7262</v>
      </c>
      <c r="E708" s="5">
        <f t="shared" si="45"/>
        <v>1262</v>
      </c>
      <c r="F708" s="5">
        <f t="shared" si="46"/>
        <v>1592644</v>
      </c>
      <c r="G708" s="6">
        <f>SQRT(SUM($F$2:F708)/A708)</f>
        <v>1099.0639491660327</v>
      </c>
      <c r="H708" s="5">
        <f t="shared" si="47"/>
        <v>0</v>
      </c>
      <c r="I708" s="5">
        <f t="shared" si="48"/>
        <v>0</v>
      </c>
    </row>
    <row r="709" spans="1:9">
      <c r="A709">
        <v>708</v>
      </c>
      <c r="B709">
        <v>8</v>
      </c>
      <c r="C709">
        <v>6000</v>
      </c>
      <c r="D709">
        <v>5126</v>
      </c>
      <c r="E709" s="5">
        <f t="shared" si="45"/>
        <v>874</v>
      </c>
      <c r="F709" s="5">
        <f t="shared" si="46"/>
        <v>763876</v>
      </c>
      <c r="G709" s="6">
        <f>SQRT(SUM($F$2:F709)/A709)</f>
        <v>1098.7785732836915</v>
      </c>
      <c r="H709" s="5">
        <f t="shared" si="47"/>
        <v>1</v>
      </c>
      <c r="I709" s="5">
        <f t="shared" si="48"/>
        <v>0</v>
      </c>
    </row>
    <row r="710" spans="1:9">
      <c r="A710">
        <v>709</v>
      </c>
      <c r="B710">
        <v>10</v>
      </c>
      <c r="C710">
        <v>6000</v>
      </c>
      <c r="D710">
        <v>6892</v>
      </c>
      <c r="E710" s="5">
        <f t="shared" si="45"/>
        <v>892</v>
      </c>
      <c r="F710" s="5">
        <f t="shared" si="46"/>
        <v>795664</v>
      </c>
      <c r="G710" s="6">
        <f>SQRT(SUM($F$2:F710)/A710)</f>
        <v>1098.5143358742741</v>
      </c>
      <c r="H710" s="5">
        <f t="shared" si="47"/>
        <v>1</v>
      </c>
      <c r="I710" s="5">
        <f t="shared" si="48"/>
        <v>0</v>
      </c>
    </row>
    <row r="711" spans="1:9">
      <c r="A711">
        <v>710</v>
      </c>
      <c r="B711">
        <v>8</v>
      </c>
      <c r="C711">
        <v>6000</v>
      </c>
      <c r="D711">
        <v>6394</v>
      </c>
      <c r="E711" s="5">
        <f t="shared" si="45"/>
        <v>394</v>
      </c>
      <c r="F711" s="5">
        <f t="shared" si="46"/>
        <v>155236</v>
      </c>
      <c r="G711" s="6">
        <f>SQRT(SUM($F$2:F711)/A711)</f>
        <v>1097.8400445330283</v>
      </c>
      <c r="H711" s="5">
        <f t="shared" si="47"/>
        <v>1</v>
      </c>
      <c r="I711" s="5">
        <f t="shared" si="48"/>
        <v>1</v>
      </c>
    </row>
    <row r="712" spans="1:9">
      <c r="A712">
        <v>711</v>
      </c>
      <c r="B712">
        <v>9</v>
      </c>
      <c r="C712">
        <v>6000</v>
      </c>
      <c r="D712">
        <v>6483</v>
      </c>
      <c r="E712" s="5">
        <f t="shared" si="45"/>
        <v>483</v>
      </c>
      <c r="F712" s="5">
        <f t="shared" si="46"/>
        <v>233289</v>
      </c>
      <c r="G712" s="6">
        <f>SQRT(SUM($F$2:F712)/A712)</f>
        <v>1097.2172646009526</v>
      </c>
      <c r="H712" s="5">
        <f t="shared" si="47"/>
        <v>1</v>
      </c>
      <c r="I712" s="5">
        <f t="shared" si="48"/>
        <v>1</v>
      </c>
    </row>
    <row r="713" spans="1:9">
      <c r="A713">
        <v>712</v>
      </c>
      <c r="B713">
        <v>8</v>
      </c>
      <c r="C713">
        <v>6000</v>
      </c>
      <c r="D713">
        <v>6543</v>
      </c>
      <c r="E713" s="5">
        <f t="shared" si="45"/>
        <v>543</v>
      </c>
      <c r="F713" s="5">
        <f t="shared" si="46"/>
        <v>294849</v>
      </c>
      <c r="G713" s="6">
        <f>SQRT(SUM($F$2:F713)/A713)</f>
        <v>1096.6353034459746</v>
      </c>
      <c r="H713" s="5">
        <f t="shared" si="47"/>
        <v>1</v>
      </c>
      <c r="I713" s="5">
        <f t="shared" si="48"/>
        <v>1</v>
      </c>
    </row>
    <row r="714" spans="1:9">
      <c r="A714">
        <v>713</v>
      </c>
      <c r="B714">
        <v>8</v>
      </c>
      <c r="C714">
        <v>6000</v>
      </c>
      <c r="D714">
        <v>5389</v>
      </c>
      <c r="E714" s="5">
        <f t="shared" si="45"/>
        <v>611</v>
      </c>
      <c r="F714" s="5">
        <f t="shared" si="46"/>
        <v>373321</v>
      </c>
      <c r="G714" s="6">
        <f>SQRT(SUM($F$2:F714)/A714)</f>
        <v>1096.1048727223185</v>
      </c>
      <c r="H714" s="5">
        <f t="shared" si="47"/>
        <v>1</v>
      </c>
      <c r="I714" s="5">
        <f t="shared" si="48"/>
        <v>0</v>
      </c>
    </row>
    <row r="715" spans="1:9">
      <c r="A715">
        <v>714</v>
      </c>
      <c r="B715">
        <v>9</v>
      </c>
      <c r="C715">
        <v>6000</v>
      </c>
      <c r="D715">
        <v>5873</v>
      </c>
      <c r="E715" s="5">
        <f t="shared" si="45"/>
        <v>127</v>
      </c>
      <c r="F715" s="5">
        <f t="shared" si="46"/>
        <v>16129</v>
      </c>
      <c r="G715" s="6">
        <f>SQRT(SUM($F$2:F715)/A715)</f>
        <v>1095.3473350100987</v>
      </c>
      <c r="H715" s="5">
        <f t="shared" si="47"/>
        <v>1</v>
      </c>
      <c r="I715" s="5">
        <f t="shared" si="48"/>
        <v>1</v>
      </c>
    </row>
    <row r="716" spans="1:9">
      <c r="A716">
        <v>715</v>
      </c>
      <c r="B716">
        <v>9</v>
      </c>
      <c r="C716">
        <v>6000</v>
      </c>
      <c r="D716">
        <v>6348</v>
      </c>
      <c r="E716" s="5">
        <f t="shared" si="45"/>
        <v>348</v>
      </c>
      <c r="F716" s="5">
        <f t="shared" si="46"/>
        <v>121104</v>
      </c>
      <c r="G716" s="6">
        <f>SQRT(SUM($F$2:F716)/A716)</f>
        <v>1094.6584574475905</v>
      </c>
      <c r="H716" s="5">
        <f t="shared" si="47"/>
        <v>1</v>
      </c>
      <c r="I716" s="5">
        <f t="shared" si="48"/>
        <v>1</v>
      </c>
    </row>
    <row r="717" spans="1:9">
      <c r="A717">
        <v>716</v>
      </c>
      <c r="B717">
        <v>8</v>
      </c>
      <c r="C717">
        <v>6000</v>
      </c>
      <c r="D717">
        <v>5126</v>
      </c>
      <c r="E717" s="5">
        <f t="shared" si="45"/>
        <v>874</v>
      </c>
      <c r="F717" s="5">
        <f t="shared" si="46"/>
        <v>763876</v>
      </c>
      <c r="G717" s="6">
        <f>SQRT(SUM($F$2:F717)/A717)</f>
        <v>1094.3813014488569</v>
      </c>
      <c r="H717" s="5">
        <f t="shared" si="47"/>
        <v>1</v>
      </c>
      <c r="I717" s="5">
        <f t="shared" si="48"/>
        <v>0</v>
      </c>
    </row>
    <row r="718" spans="1:9">
      <c r="A718">
        <v>717</v>
      </c>
      <c r="B718">
        <v>10</v>
      </c>
      <c r="C718">
        <v>6000</v>
      </c>
      <c r="D718">
        <v>6562</v>
      </c>
      <c r="E718" s="5">
        <f t="shared" si="45"/>
        <v>562</v>
      </c>
      <c r="F718" s="5">
        <f t="shared" si="46"/>
        <v>315844</v>
      </c>
      <c r="G718" s="6">
        <f>SQRT(SUM($F$2:F718)/A718)</f>
        <v>1093.8192490132249</v>
      </c>
      <c r="H718" s="5">
        <f t="shared" si="47"/>
        <v>1</v>
      </c>
      <c r="I718" s="5">
        <f t="shared" si="48"/>
        <v>1</v>
      </c>
    </row>
    <row r="719" spans="1:9">
      <c r="A719">
        <v>718</v>
      </c>
      <c r="B719">
        <v>8</v>
      </c>
      <c r="C719">
        <v>6000</v>
      </c>
      <c r="D719">
        <v>6079</v>
      </c>
      <c r="E719" s="5">
        <f t="shared" si="45"/>
        <v>79</v>
      </c>
      <c r="F719" s="5">
        <f t="shared" si="46"/>
        <v>6241</v>
      </c>
      <c r="G719" s="6">
        <f>SQRT(SUM($F$2:F719)/A719)</f>
        <v>1093.0612471276002</v>
      </c>
      <c r="H719" s="5">
        <f t="shared" si="47"/>
        <v>1</v>
      </c>
      <c r="I719" s="5">
        <f t="shared" si="48"/>
        <v>1</v>
      </c>
    </row>
    <row r="720" spans="1:9">
      <c r="A720">
        <v>719</v>
      </c>
      <c r="B720">
        <v>9</v>
      </c>
      <c r="C720">
        <v>6000</v>
      </c>
      <c r="D720">
        <v>5120</v>
      </c>
      <c r="E720" s="5">
        <f t="shared" si="45"/>
        <v>880</v>
      </c>
      <c r="F720" s="5">
        <f t="shared" si="46"/>
        <v>774400</v>
      </c>
      <c r="G720" s="6">
        <f>SQRT(SUM($F$2:F720)/A720)</f>
        <v>1092.7937649874973</v>
      </c>
      <c r="H720" s="5">
        <f t="shared" si="47"/>
        <v>1</v>
      </c>
      <c r="I720" s="5">
        <f t="shared" si="48"/>
        <v>0</v>
      </c>
    </row>
    <row r="721" spans="1:9">
      <c r="A721">
        <v>720</v>
      </c>
      <c r="B721">
        <v>10</v>
      </c>
      <c r="C721">
        <v>6000</v>
      </c>
      <c r="D721">
        <v>5979</v>
      </c>
      <c r="E721" s="5">
        <f t="shared" si="45"/>
        <v>21</v>
      </c>
      <c r="F721" s="5">
        <f t="shared" si="46"/>
        <v>441</v>
      </c>
      <c r="G721" s="6">
        <f>SQRT(SUM($F$2:F721)/A721)</f>
        <v>1092.0348971835408</v>
      </c>
      <c r="H721" s="5">
        <f t="shared" si="47"/>
        <v>1</v>
      </c>
      <c r="I721" s="5">
        <f t="shared" si="48"/>
        <v>1</v>
      </c>
    </row>
    <row r="722" spans="1:9">
      <c r="A722">
        <v>721</v>
      </c>
      <c r="B722">
        <v>9</v>
      </c>
      <c r="C722">
        <v>6000</v>
      </c>
      <c r="D722">
        <v>5369</v>
      </c>
      <c r="E722" s="5">
        <f t="shared" si="45"/>
        <v>631</v>
      </c>
      <c r="F722" s="5">
        <f t="shared" si="46"/>
        <v>398161</v>
      </c>
      <c r="G722" s="6">
        <f>SQRT(SUM($F$2:F722)/A722)</f>
        <v>1091.530321356697</v>
      </c>
      <c r="H722" s="5">
        <f t="shared" si="47"/>
        <v>1</v>
      </c>
      <c r="I722" s="5">
        <f t="shared" si="48"/>
        <v>0</v>
      </c>
    </row>
    <row r="723" spans="1:9">
      <c r="A723">
        <v>722</v>
      </c>
      <c r="B723">
        <v>10</v>
      </c>
      <c r="C723">
        <v>6000</v>
      </c>
      <c r="D723">
        <v>6375</v>
      </c>
      <c r="E723" s="5">
        <f t="shared" si="45"/>
        <v>375</v>
      </c>
      <c r="F723" s="5">
        <f t="shared" si="46"/>
        <v>140625</v>
      </c>
      <c r="G723" s="6">
        <f>SQRT(SUM($F$2:F723)/A723)</f>
        <v>1090.8634296559148</v>
      </c>
      <c r="H723" s="5">
        <f t="shared" si="47"/>
        <v>1</v>
      </c>
      <c r="I723" s="5">
        <f t="shared" si="48"/>
        <v>1</v>
      </c>
    </row>
    <row r="724" spans="1:9">
      <c r="A724">
        <v>723</v>
      </c>
      <c r="B724">
        <v>9</v>
      </c>
      <c r="C724">
        <v>6000</v>
      </c>
      <c r="D724">
        <v>5314</v>
      </c>
      <c r="E724" s="5">
        <f t="shared" si="45"/>
        <v>686</v>
      </c>
      <c r="F724" s="5">
        <f t="shared" si="46"/>
        <v>470596</v>
      </c>
      <c r="G724" s="6">
        <f>SQRT(SUM($F$2:F724)/A724)</f>
        <v>1090.4072722445326</v>
      </c>
      <c r="H724" s="5">
        <f t="shared" si="47"/>
        <v>1</v>
      </c>
      <c r="I724" s="5">
        <f t="shared" si="48"/>
        <v>0</v>
      </c>
    </row>
    <row r="725" spans="1:9">
      <c r="A725">
        <v>724</v>
      </c>
      <c r="B725">
        <v>10</v>
      </c>
      <c r="C725">
        <v>6000</v>
      </c>
      <c r="D725">
        <v>6141</v>
      </c>
      <c r="E725" s="5">
        <f t="shared" si="45"/>
        <v>141</v>
      </c>
      <c r="F725" s="5">
        <f t="shared" si="46"/>
        <v>19881</v>
      </c>
      <c r="G725" s="6">
        <f>SQRT(SUM($F$2:F725)/A725)</f>
        <v>1089.6665685717735</v>
      </c>
      <c r="H725" s="5">
        <f t="shared" si="47"/>
        <v>1</v>
      </c>
      <c r="I725" s="5">
        <f t="shared" si="48"/>
        <v>1</v>
      </c>
    </row>
    <row r="726" spans="1:9">
      <c r="A726">
        <v>725</v>
      </c>
      <c r="B726">
        <v>9</v>
      </c>
      <c r="C726">
        <v>6000</v>
      </c>
      <c r="D726">
        <v>5729</v>
      </c>
      <c r="E726" s="5">
        <f t="shared" si="45"/>
        <v>271</v>
      </c>
      <c r="F726" s="5">
        <f t="shared" si="46"/>
        <v>73441</v>
      </c>
      <c r="G726" s="6">
        <f>SQRT(SUM($F$2:F726)/A726)</f>
        <v>1088.9613273270052</v>
      </c>
      <c r="H726" s="5">
        <f t="shared" si="47"/>
        <v>1</v>
      </c>
      <c r="I726" s="5">
        <f t="shared" si="48"/>
        <v>1</v>
      </c>
    </row>
    <row r="727" spans="1:9">
      <c r="A727">
        <v>726</v>
      </c>
      <c r="B727">
        <v>10</v>
      </c>
      <c r="C727">
        <v>6000</v>
      </c>
      <c r="D727">
        <v>6832</v>
      </c>
      <c r="E727" s="5">
        <f t="shared" si="45"/>
        <v>832</v>
      </c>
      <c r="F727" s="5">
        <f t="shared" si="46"/>
        <v>692224</v>
      </c>
      <c r="G727" s="6">
        <f>SQRT(SUM($F$2:F727)/A727)</f>
        <v>1088.6491009566737</v>
      </c>
      <c r="H727" s="5">
        <f t="shared" si="47"/>
        <v>1</v>
      </c>
      <c r="I727" s="5">
        <f t="shared" si="48"/>
        <v>0</v>
      </c>
    </row>
    <row r="728" spans="1:9">
      <c r="A728">
        <v>727</v>
      </c>
      <c r="B728">
        <v>8</v>
      </c>
      <c r="C728">
        <v>6000</v>
      </c>
      <c r="D728">
        <v>4642</v>
      </c>
      <c r="E728" s="5">
        <f t="shared" si="45"/>
        <v>1358</v>
      </c>
      <c r="F728" s="5">
        <f t="shared" si="46"/>
        <v>1844164</v>
      </c>
      <c r="G728" s="6">
        <f>SQRT(SUM($F$2:F728)/A728)</f>
        <v>1089.0653514607868</v>
      </c>
      <c r="H728" s="5">
        <f t="shared" si="47"/>
        <v>0</v>
      </c>
      <c r="I728" s="5">
        <f t="shared" si="48"/>
        <v>0</v>
      </c>
    </row>
    <row r="729" spans="1:9">
      <c r="A729">
        <v>728</v>
      </c>
      <c r="B729">
        <v>11</v>
      </c>
      <c r="C729">
        <v>6000</v>
      </c>
      <c r="D729">
        <v>6599</v>
      </c>
      <c r="E729" s="5">
        <f t="shared" si="45"/>
        <v>599</v>
      </c>
      <c r="F729" s="5">
        <f t="shared" si="46"/>
        <v>358801</v>
      </c>
      <c r="G729" s="6">
        <f>SQRT(SUM($F$2:F729)/A729)</f>
        <v>1088.5435179103386</v>
      </c>
      <c r="H729" s="5">
        <f t="shared" si="47"/>
        <v>1</v>
      </c>
      <c r="I729" s="5">
        <f t="shared" si="48"/>
        <v>1</v>
      </c>
    </row>
    <row r="730" spans="1:9">
      <c r="A730">
        <v>729</v>
      </c>
      <c r="B730">
        <v>9</v>
      </c>
      <c r="C730">
        <v>6000</v>
      </c>
      <c r="D730">
        <v>5642</v>
      </c>
      <c r="E730" s="5">
        <f t="shared" si="45"/>
        <v>358</v>
      </c>
      <c r="F730" s="5">
        <f t="shared" si="46"/>
        <v>128164</v>
      </c>
      <c r="G730" s="6">
        <f>SQRT(SUM($F$2:F730)/A730)</f>
        <v>1087.8774674051263</v>
      </c>
      <c r="H730" s="5">
        <f t="shared" si="47"/>
        <v>1</v>
      </c>
      <c r="I730" s="5">
        <f t="shared" si="48"/>
        <v>1</v>
      </c>
    </row>
    <row r="731" spans="1:9">
      <c r="A731">
        <v>730</v>
      </c>
      <c r="B731">
        <v>10</v>
      </c>
      <c r="C731">
        <v>6000</v>
      </c>
      <c r="D731">
        <v>6474</v>
      </c>
      <c r="E731" s="5">
        <f t="shared" si="45"/>
        <v>474</v>
      </c>
      <c r="F731" s="5">
        <f t="shared" si="46"/>
        <v>224676</v>
      </c>
      <c r="G731" s="6">
        <f>SQRT(SUM($F$2:F731)/A731)</f>
        <v>1087.2736350773189</v>
      </c>
      <c r="H731" s="5">
        <f t="shared" si="47"/>
        <v>1</v>
      </c>
      <c r="I731" s="5">
        <f t="shared" si="48"/>
        <v>1</v>
      </c>
    </row>
    <row r="732" spans="1:9">
      <c r="A732">
        <v>731</v>
      </c>
      <c r="B732">
        <v>9</v>
      </c>
      <c r="C732">
        <v>6000</v>
      </c>
      <c r="D732">
        <v>5573</v>
      </c>
      <c r="E732" s="5">
        <f t="shared" si="45"/>
        <v>427</v>
      </c>
      <c r="F732" s="5">
        <f t="shared" si="46"/>
        <v>182329</v>
      </c>
      <c r="G732" s="6">
        <f>SQRT(SUM($F$2:F732)/A732)</f>
        <v>1086.6444654322065</v>
      </c>
      <c r="H732" s="5">
        <f t="shared" si="47"/>
        <v>1</v>
      </c>
      <c r="I732" s="5">
        <f t="shared" si="48"/>
        <v>1</v>
      </c>
    </row>
    <row r="733" spans="1:9">
      <c r="A733">
        <v>732</v>
      </c>
      <c r="B733">
        <v>10</v>
      </c>
      <c r="C733">
        <v>6000</v>
      </c>
      <c r="D733">
        <v>6182</v>
      </c>
      <c r="E733" s="5">
        <f t="shared" si="45"/>
        <v>182</v>
      </c>
      <c r="F733" s="5">
        <f t="shared" si="46"/>
        <v>33124</v>
      </c>
      <c r="G733" s="6">
        <f>SQRT(SUM($F$2:F733)/A733)</f>
        <v>1085.9228039163622</v>
      </c>
      <c r="H733" s="5">
        <f t="shared" si="47"/>
        <v>1</v>
      </c>
      <c r="I733" s="5">
        <f t="shared" si="48"/>
        <v>1</v>
      </c>
    </row>
    <row r="734" spans="1:9">
      <c r="A734">
        <v>733</v>
      </c>
      <c r="B734">
        <v>9</v>
      </c>
      <c r="C734">
        <v>6000</v>
      </c>
      <c r="D734">
        <v>4882</v>
      </c>
      <c r="E734" s="5">
        <f t="shared" si="45"/>
        <v>1118</v>
      </c>
      <c r="F734" s="5">
        <f t="shared" si="46"/>
        <v>1249924</v>
      </c>
      <c r="G734" s="6">
        <f>SQRT(SUM($F$2:F734)/A734)</f>
        <v>1085.9672108692876</v>
      </c>
      <c r="H734" s="5">
        <f t="shared" si="47"/>
        <v>1</v>
      </c>
      <c r="I734" s="5">
        <f t="shared" si="48"/>
        <v>0</v>
      </c>
    </row>
    <row r="735" spans="1:9">
      <c r="A735">
        <v>734</v>
      </c>
      <c r="B735">
        <v>11</v>
      </c>
      <c r="C735">
        <v>6000</v>
      </c>
      <c r="D735">
        <v>6575</v>
      </c>
      <c r="E735" s="5">
        <f t="shared" si="45"/>
        <v>575</v>
      </c>
      <c r="F735" s="5">
        <f t="shared" si="46"/>
        <v>330625</v>
      </c>
      <c r="G735" s="6">
        <f>SQRT(SUM($F$2:F735)/A735)</f>
        <v>1085.4347130752608</v>
      </c>
      <c r="H735" s="5">
        <f t="shared" si="47"/>
        <v>1</v>
      </c>
      <c r="I735" s="5">
        <f t="shared" si="48"/>
        <v>1</v>
      </c>
    </row>
    <row r="736" spans="1:9">
      <c r="A736">
        <v>735</v>
      </c>
      <c r="B736">
        <v>9</v>
      </c>
      <c r="C736">
        <v>6000</v>
      </c>
      <c r="D736">
        <v>5695</v>
      </c>
      <c r="E736" s="5">
        <f t="shared" si="45"/>
        <v>305</v>
      </c>
      <c r="F736" s="5">
        <f t="shared" si="46"/>
        <v>93025</v>
      </c>
      <c r="G736" s="6">
        <f>SQRT(SUM($F$2:F736)/A736)</f>
        <v>1084.7544102755448</v>
      </c>
      <c r="H736" s="5">
        <f t="shared" si="47"/>
        <v>1</v>
      </c>
      <c r="I736" s="5">
        <f t="shared" si="48"/>
        <v>1</v>
      </c>
    </row>
    <row r="737" spans="1:9">
      <c r="A737">
        <v>736</v>
      </c>
      <c r="B737">
        <v>10</v>
      </c>
      <c r="C737">
        <v>6000</v>
      </c>
      <c r="D737">
        <v>5850</v>
      </c>
      <c r="E737" s="5">
        <f t="shared" si="45"/>
        <v>150</v>
      </c>
      <c r="F737" s="5">
        <f t="shared" si="46"/>
        <v>22500</v>
      </c>
      <c r="G737" s="6">
        <f>SQRT(SUM($F$2:F737)/A737)</f>
        <v>1084.0313347789393</v>
      </c>
      <c r="H737" s="5">
        <f t="shared" si="47"/>
        <v>1</v>
      </c>
      <c r="I737" s="5">
        <f t="shared" si="48"/>
        <v>1</v>
      </c>
    </row>
    <row r="738" spans="1:9">
      <c r="A738">
        <v>737</v>
      </c>
      <c r="B738">
        <v>10</v>
      </c>
      <c r="C738">
        <v>6000</v>
      </c>
      <c r="D738">
        <v>5633</v>
      </c>
      <c r="E738" s="5">
        <f t="shared" si="45"/>
        <v>367</v>
      </c>
      <c r="F738" s="5">
        <f t="shared" si="46"/>
        <v>134689</v>
      </c>
      <c r="G738" s="6">
        <f>SQRT(SUM($F$2:F738)/A738)</f>
        <v>1083.3799972554361</v>
      </c>
      <c r="H738" s="5">
        <f t="shared" si="47"/>
        <v>1</v>
      </c>
      <c r="I738" s="5">
        <f t="shared" si="48"/>
        <v>1</v>
      </c>
    </row>
    <row r="739" spans="1:9">
      <c r="A739">
        <v>738</v>
      </c>
      <c r="B739">
        <v>10</v>
      </c>
      <c r="C739">
        <v>6000</v>
      </c>
      <c r="D739">
        <v>5491</v>
      </c>
      <c r="E739" s="5">
        <f t="shared" si="45"/>
        <v>509</v>
      </c>
      <c r="F739" s="5">
        <f t="shared" si="46"/>
        <v>259081</v>
      </c>
      <c r="G739" s="6">
        <f>SQRT(SUM($F$2:F739)/A739)</f>
        <v>1082.8078688109019</v>
      </c>
      <c r="H739" s="5">
        <f t="shared" si="47"/>
        <v>1</v>
      </c>
      <c r="I739" s="5">
        <f t="shared" si="48"/>
        <v>1</v>
      </c>
    </row>
    <row r="740" spans="1:9">
      <c r="A740">
        <v>739</v>
      </c>
      <c r="B740">
        <v>10</v>
      </c>
      <c r="C740">
        <v>6000</v>
      </c>
      <c r="D740">
        <v>6557</v>
      </c>
      <c r="E740" s="5">
        <f t="shared" si="45"/>
        <v>557</v>
      </c>
      <c r="F740" s="5">
        <f t="shared" si="46"/>
        <v>310249</v>
      </c>
      <c r="G740" s="6">
        <f>SQRT(SUM($F$2:F740)/A740)</f>
        <v>1082.2689761196971</v>
      </c>
      <c r="H740" s="5">
        <f t="shared" si="47"/>
        <v>1</v>
      </c>
      <c r="I740" s="5">
        <f t="shared" si="48"/>
        <v>1</v>
      </c>
    </row>
    <row r="741" spans="1:9">
      <c r="A741">
        <v>740</v>
      </c>
      <c r="B741">
        <v>9</v>
      </c>
      <c r="C741">
        <v>6000</v>
      </c>
      <c r="D741">
        <v>6197</v>
      </c>
      <c r="E741" s="5">
        <f t="shared" si="45"/>
        <v>197</v>
      </c>
      <c r="F741" s="5">
        <f t="shared" si="46"/>
        <v>38809</v>
      </c>
      <c r="G741" s="6">
        <f>SQRT(SUM($F$2:F741)/A741)</f>
        <v>1081.5617112005839</v>
      </c>
      <c r="H741" s="5">
        <f t="shared" si="47"/>
        <v>1</v>
      </c>
      <c r="I741" s="5">
        <f t="shared" si="48"/>
        <v>1</v>
      </c>
    </row>
    <row r="742" spans="1:9">
      <c r="A742">
        <v>741</v>
      </c>
      <c r="B742">
        <v>10</v>
      </c>
      <c r="C742">
        <v>6000</v>
      </c>
      <c r="D742">
        <v>6449</v>
      </c>
      <c r="E742" s="5">
        <f t="shared" si="45"/>
        <v>449</v>
      </c>
      <c r="F742" s="5">
        <f t="shared" si="46"/>
        <v>201601</v>
      </c>
      <c r="G742" s="6">
        <f>SQRT(SUM($F$2:F742)/A742)</f>
        <v>1080.9575183813697</v>
      </c>
      <c r="H742" s="5">
        <f t="shared" si="47"/>
        <v>1</v>
      </c>
      <c r="I742" s="5">
        <f t="shared" si="48"/>
        <v>1</v>
      </c>
    </row>
    <row r="743" spans="1:9">
      <c r="A743">
        <v>742</v>
      </c>
      <c r="B743">
        <v>9</v>
      </c>
      <c r="C743">
        <v>6000</v>
      </c>
      <c r="D743">
        <v>5849</v>
      </c>
      <c r="E743" s="5">
        <f t="shared" si="45"/>
        <v>151</v>
      </c>
      <c r="F743" s="5">
        <f t="shared" si="46"/>
        <v>22801</v>
      </c>
      <c r="G743" s="6">
        <f>SQRT(SUM($F$2:F743)/A743)</f>
        <v>1080.2430880964034</v>
      </c>
      <c r="H743" s="5">
        <f t="shared" si="47"/>
        <v>1</v>
      </c>
      <c r="I743" s="5">
        <f t="shared" si="48"/>
        <v>1</v>
      </c>
    </row>
    <row r="744" spans="1:9">
      <c r="A744">
        <v>743</v>
      </c>
      <c r="B744">
        <v>10</v>
      </c>
      <c r="C744">
        <v>6000</v>
      </c>
      <c r="D744">
        <v>6279</v>
      </c>
      <c r="E744" s="5">
        <f t="shared" si="45"/>
        <v>279</v>
      </c>
      <c r="F744" s="5">
        <f t="shared" si="46"/>
        <v>77841</v>
      </c>
      <c r="G744" s="6">
        <f>SQRT(SUM($F$2:F744)/A744)</f>
        <v>1079.5644197887198</v>
      </c>
      <c r="H744" s="5">
        <f t="shared" si="47"/>
        <v>1</v>
      </c>
      <c r="I744" s="5">
        <f t="shared" si="48"/>
        <v>1</v>
      </c>
    </row>
    <row r="745" spans="1:9">
      <c r="A745">
        <v>744</v>
      </c>
      <c r="B745">
        <v>9</v>
      </c>
      <c r="C745">
        <v>6000</v>
      </c>
      <c r="D745">
        <v>5852</v>
      </c>
      <c r="E745" s="5">
        <f t="shared" si="45"/>
        <v>148</v>
      </c>
      <c r="F745" s="5">
        <f t="shared" si="46"/>
        <v>21904</v>
      </c>
      <c r="G745" s="6">
        <f>SQRT(SUM($F$2:F745)/A745)</f>
        <v>1078.85230672747</v>
      </c>
      <c r="H745" s="5">
        <f t="shared" si="47"/>
        <v>1</v>
      </c>
      <c r="I745" s="5">
        <f t="shared" si="48"/>
        <v>1</v>
      </c>
    </row>
    <row r="746" spans="1:9">
      <c r="A746">
        <v>745</v>
      </c>
      <c r="B746">
        <v>10</v>
      </c>
      <c r="C746">
        <v>6000</v>
      </c>
      <c r="D746">
        <v>5943</v>
      </c>
      <c r="E746" s="5">
        <f t="shared" si="45"/>
        <v>57</v>
      </c>
      <c r="F746" s="5">
        <f t="shared" si="46"/>
        <v>3249</v>
      </c>
      <c r="G746" s="6">
        <f>SQRT(SUM($F$2:F746)/A746)</f>
        <v>1078.1300241590941</v>
      </c>
      <c r="H746" s="5">
        <f t="shared" si="47"/>
        <v>1</v>
      </c>
      <c r="I746" s="5">
        <f t="shared" si="48"/>
        <v>1</v>
      </c>
    </row>
    <row r="747" spans="1:9">
      <c r="A747">
        <v>746</v>
      </c>
      <c r="B747">
        <v>10</v>
      </c>
      <c r="C747">
        <v>6000</v>
      </c>
      <c r="D747">
        <v>6120</v>
      </c>
      <c r="E747" s="5">
        <f t="shared" si="45"/>
        <v>120</v>
      </c>
      <c r="F747" s="5">
        <f t="shared" si="46"/>
        <v>14400</v>
      </c>
      <c r="G747" s="6">
        <f>SQRT(SUM($F$2:F747)/A747)</f>
        <v>1077.416132600679</v>
      </c>
      <c r="H747" s="5">
        <f t="shared" si="47"/>
        <v>1</v>
      </c>
      <c r="I747" s="5">
        <f t="shared" si="48"/>
        <v>1</v>
      </c>
    </row>
    <row r="748" spans="1:9">
      <c r="A748">
        <v>747</v>
      </c>
      <c r="B748">
        <v>9</v>
      </c>
      <c r="C748">
        <v>6000</v>
      </c>
      <c r="D748">
        <v>5920</v>
      </c>
      <c r="E748" s="5">
        <f t="shared" si="45"/>
        <v>80</v>
      </c>
      <c r="F748" s="5">
        <f t="shared" si="46"/>
        <v>6400</v>
      </c>
      <c r="G748" s="6">
        <f>SQRT(SUM($F$2:F748)/A748)</f>
        <v>1076.6987076685134</v>
      </c>
      <c r="H748" s="5">
        <f t="shared" si="47"/>
        <v>1</v>
      </c>
      <c r="I748" s="5">
        <f t="shared" si="48"/>
        <v>1</v>
      </c>
    </row>
    <row r="749" spans="1:9">
      <c r="A749">
        <v>748</v>
      </c>
      <c r="B749">
        <v>10</v>
      </c>
      <c r="C749">
        <v>6000</v>
      </c>
      <c r="D749">
        <v>5973</v>
      </c>
      <c r="E749" s="5">
        <f t="shared" si="45"/>
        <v>27</v>
      </c>
      <c r="F749" s="5">
        <f t="shared" si="46"/>
        <v>729</v>
      </c>
      <c r="G749" s="6">
        <f>SQRT(SUM($F$2:F749)/A749)</f>
        <v>1075.9792014619102</v>
      </c>
      <c r="H749" s="5">
        <f t="shared" si="47"/>
        <v>1</v>
      </c>
      <c r="I749" s="5">
        <f t="shared" si="48"/>
        <v>1</v>
      </c>
    </row>
    <row r="750" spans="1:9">
      <c r="A750">
        <v>749</v>
      </c>
      <c r="B750">
        <v>10</v>
      </c>
      <c r="C750">
        <v>6000</v>
      </c>
      <c r="D750">
        <v>6663</v>
      </c>
      <c r="E750" s="5">
        <f t="shared" si="45"/>
        <v>663</v>
      </c>
      <c r="F750" s="5">
        <f t="shared" si="46"/>
        <v>439569</v>
      </c>
      <c r="G750" s="6">
        <f>SQRT(SUM($F$2:F750)/A750)</f>
        <v>1075.5335484703303</v>
      </c>
      <c r="H750" s="5">
        <f t="shared" si="47"/>
        <v>1</v>
      </c>
      <c r="I750" s="5">
        <f t="shared" si="48"/>
        <v>0</v>
      </c>
    </row>
    <row r="751" spans="1:9">
      <c r="A751">
        <v>750</v>
      </c>
      <c r="B751">
        <v>9</v>
      </c>
      <c r="C751">
        <v>6000</v>
      </c>
      <c r="D751">
        <v>5517</v>
      </c>
      <c r="E751" s="5">
        <f t="shared" si="45"/>
        <v>483</v>
      </c>
      <c r="F751" s="5">
        <f t="shared" si="46"/>
        <v>233289</v>
      </c>
      <c r="G751" s="6">
        <f>SQRT(SUM($F$2:F751)/A751)</f>
        <v>1074.9609772762296</v>
      </c>
      <c r="H751" s="5">
        <f t="shared" si="47"/>
        <v>1</v>
      </c>
      <c r="I751" s="5">
        <f t="shared" si="48"/>
        <v>1</v>
      </c>
    </row>
    <row r="752" spans="1:9">
      <c r="A752">
        <v>751</v>
      </c>
      <c r="B752">
        <v>10</v>
      </c>
      <c r="C752">
        <v>6000</v>
      </c>
      <c r="D752">
        <v>7146</v>
      </c>
      <c r="E752" s="5">
        <f t="shared" si="45"/>
        <v>1146</v>
      </c>
      <c r="F752" s="5">
        <f t="shared" si="46"/>
        <v>1313316</v>
      </c>
      <c r="G752" s="6">
        <f>SQRT(SUM($F$2:F752)/A752)</f>
        <v>1075.0586909937638</v>
      </c>
      <c r="H752" s="5">
        <f t="shared" si="47"/>
        <v>1</v>
      </c>
      <c r="I752" s="5">
        <f t="shared" si="48"/>
        <v>0</v>
      </c>
    </row>
    <row r="753" spans="1:9">
      <c r="A753">
        <v>752</v>
      </c>
      <c r="B753">
        <v>8</v>
      </c>
      <c r="C753">
        <v>6000</v>
      </c>
      <c r="D753">
        <v>4923</v>
      </c>
      <c r="E753" s="5">
        <f t="shared" si="45"/>
        <v>1077</v>
      </c>
      <c r="F753" s="5">
        <f t="shared" si="46"/>
        <v>1159929</v>
      </c>
      <c r="G753" s="6">
        <f>SQRT(SUM($F$2:F753)/A753)</f>
        <v>1075.0612748494157</v>
      </c>
      <c r="H753" s="5">
        <f t="shared" si="47"/>
        <v>1</v>
      </c>
      <c r="I753" s="5">
        <f t="shared" si="48"/>
        <v>0</v>
      </c>
    </row>
    <row r="754" spans="1:9">
      <c r="A754">
        <v>753</v>
      </c>
      <c r="B754">
        <v>11</v>
      </c>
      <c r="C754">
        <v>6000</v>
      </c>
      <c r="D754">
        <v>7428</v>
      </c>
      <c r="E754" s="5">
        <f t="shared" si="45"/>
        <v>1428</v>
      </c>
      <c r="F754" s="5">
        <f t="shared" si="46"/>
        <v>2039184</v>
      </c>
      <c r="G754" s="6">
        <f>SQRT(SUM($F$2:F754)/A754)</f>
        <v>1075.6067844929566</v>
      </c>
      <c r="H754" s="5">
        <f t="shared" si="47"/>
        <v>0</v>
      </c>
      <c r="I754" s="5">
        <f t="shared" si="48"/>
        <v>0</v>
      </c>
    </row>
    <row r="755" spans="1:9">
      <c r="A755">
        <v>754</v>
      </c>
      <c r="B755">
        <v>8</v>
      </c>
      <c r="C755">
        <v>6000</v>
      </c>
      <c r="D755">
        <v>5128</v>
      </c>
      <c r="E755" s="5">
        <f t="shared" si="45"/>
        <v>872</v>
      </c>
      <c r="F755" s="5">
        <f t="shared" si="46"/>
        <v>760384</v>
      </c>
      <c r="G755" s="6">
        <f>SQRT(SUM($F$2:F755)/A755)</f>
        <v>1075.362279341357</v>
      </c>
      <c r="H755" s="5">
        <f t="shared" si="47"/>
        <v>1</v>
      </c>
      <c r="I755" s="5">
        <f t="shared" si="48"/>
        <v>0</v>
      </c>
    </row>
    <row r="756" spans="1:9">
      <c r="A756">
        <v>755</v>
      </c>
      <c r="B756">
        <v>10</v>
      </c>
      <c r="C756">
        <v>6000</v>
      </c>
      <c r="D756">
        <v>6288</v>
      </c>
      <c r="E756" s="5">
        <f t="shared" si="45"/>
        <v>288</v>
      </c>
      <c r="F756" s="5">
        <f t="shared" si="46"/>
        <v>82944</v>
      </c>
      <c r="G756" s="6">
        <f>SQRT(SUM($F$2:F756)/A756)</f>
        <v>1074.7009958419021</v>
      </c>
      <c r="H756" s="5">
        <f t="shared" si="47"/>
        <v>1</v>
      </c>
      <c r="I756" s="5">
        <f t="shared" si="48"/>
        <v>1</v>
      </c>
    </row>
    <row r="757" spans="1:9">
      <c r="A757">
        <v>756</v>
      </c>
      <c r="B757">
        <v>9</v>
      </c>
      <c r="C757">
        <v>6000</v>
      </c>
      <c r="D757">
        <v>3761</v>
      </c>
      <c r="E757" s="5">
        <f t="shared" si="45"/>
        <v>2239</v>
      </c>
      <c r="F757" s="5">
        <f t="shared" si="46"/>
        <v>5013121</v>
      </c>
      <c r="G757" s="6">
        <f>SQRT(SUM($F$2:F757)/A757)</f>
        <v>1077.0726942153619</v>
      </c>
      <c r="H757" s="5">
        <f t="shared" si="47"/>
        <v>0</v>
      </c>
      <c r="I757" s="5">
        <f t="shared" si="48"/>
        <v>0</v>
      </c>
    </row>
    <row r="758" spans="1:9">
      <c r="A758">
        <v>757</v>
      </c>
      <c r="B758">
        <v>12</v>
      </c>
      <c r="C758">
        <v>6000</v>
      </c>
      <c r="D758">
        <v>3938</v>
      </c>
      <c r="E758" s="5">
        <f t="shared" si="45"/>
        <v>2062</v>
      </c>
      <c r="F758" s="5">
        <f t="shared" si="46"/>
        <v>4251844</v>
      </c>
      <c r="G758" s="6">
        <f>SQRT(SUM($F$2:F758)/A758)</f>
        <v>1078.9670123495164</v>
      </c>
      <c r="H758" s="5">
        <f t="shared" si="47"/>
        <v>0</v>
      </c>
      <c r="I758" s="5">
        <f t="shared" si="48"/>
        <v>0</v>
      </c>
    </row>
    <row r="759" spans="1:9">
      <c r="A759">
        <v>758</v>
      </c>
      <c r="B759">
        <v>12</v>
      </c>
      <c r="C759">
        <v>6000</v>
      </c>
      <c r="D759">
        <v>1687</v>
      </c>
      <c r="E759" s="5">
        <f t="shared" si="45"/>
        <v>4313</v>
      </c>
      <c r="F759" s="5">
        <f t="shared" si="46"/>
        <v>18601969</v>
      </c>
      <c r="G759" s="6">
        <f>SQRT(SUM($F$2:F759)/A759)</f>
        <v>1089.5755255408044</v>
      </c>
      <c r="H759" s="5">
        <f t="shared" si="47"/>
        <v>0</v>
      </c>
      <c r="I759" s="5">
        <f t="shared" si="48"/>
        <v>0</v>
      </c>
    </row>
    <row r="760" spans="1:9">
      <c r="A760">
        <v>759</v>
      </c>
      <c r="B760">
        <v>16</v>
      </c>
      <c r="C760">
        <v>6000</v>
      </c>
      <c r="D760">
        <v>5890</v>
      </c>
      <c r="E760" s="5">
        <f t="shared" si="45"/>
        <v>110</v>
      </c>
      <c r="F760" s="5">
        <f t="shared" si="46"/>
        <v>12100</v>
      </c>
      <c r="G760" s="6">
        <f>SQRT(SUM($F$2:F760)/A760)</f>
        <v>1088.8648390324483</v>
      </c>
      <c r="H760" s="5">
        <f t="shared" si="47"/>
        <v>1</v>
      </c>
      <c r="I760" s="5">
        <f t="shared" si="48"/>
        <v>1</v>
      </c>
    </row>
    <row r="761" spans="1:9">
      <c r="A761">
        <v>760</v>
      </c>
      <c r="B761">
        <v>12</v>
      </c>
      <c r="C761">
        <v>6000</v>
      </c>
      <c r="D761">
        <v>6526</v>
      </c>
      <c r="E761" s="5">
        <f t="shared" si="45"/>
        <v>526</v>
      </c>
      <c r="F761" s="5">
        <f t="shared" si="46"/>
        <v>276676</v>
      </c>
      <c r="G761" s="6">
        <f>SQRT(SUM($F$2:F761)/A761)</f>
        <v>1088.3155103185841</v>
      </c>
      <c r="H761" s="5">
        <f t="shared" si="47"/>
        <v>1</v>
      </c>
      <c r="I761" s="5">
        <f t="shared" si="48"/>
        <v>1</v>
      </c>
    </row>
    <row r="762" spans="1:9">
      <c r="A762">
        <v>761</v>
      </c>
      <c r="B762">
        <v>11</v>
      </c>
      <c r="C762">
        <v>6000</v>
      </c>
      <c r="D762">
        <v>6604</v>
      </c>
      <c r="E762" s="5">
        <f t="shared" si="45"/>
        <v>604</v>
      </c>
      <c r="F762" s="5">
        <f t="shared" si="46"/>
        <v>364816</v>
      </c>
      <c r="G762" s="6">
        <f>SQRT(SUM($F$2:F762)/A762)</f>
        <v>1087.8205857616563</v>
      </c>
      <c r="H762" s="5">
        <f t="shared" si="47"/>
        <v>1</v>
      </c>
      <c r="I762" s="5">
        <f t="shared" si="48"/>
        <v>0</v>
      </c>
    </row>
    <row r="763" spans="1:9">
      <c r="A763">
        <v>762</v>
      </c>
      <c r="B763">
        <v>11</v>
      </c>
      <c r="C763">
        <v>6000</v>
      </c>
      <c r="D763">
        <v>6569</v>
      </c>
      <c r="E763" s="5">
        <f t="shared" si="45"/>
        <v>569</v>
      </c>
      <c r="F763" s="5">
        <f t="shared" si="46"/>
        <v>323761</v>
      </c>
      <c r="G763" s="6">
        <f>SQRT(SUM($F$2:F763)/A763)</f>
        <v>1087.3019601258145</v>
      </c>
      <c r="H763" s="5">
        <f t="shared" si="47"/>
        <v>1</v>
      </c>
      <c r="I763" s="5">
        <f t="shared" si="48"/>
        <v>1</v>
      </c>
    </row>
    <row r="764" spans="1:9">
      <c r="A764">
        <v>763</v>
      </c>
      <c r="B764">
        <v>11</v>
      </c>
      <c r="C764">
        <v>6000</v>
      </c>
      <c r="D764">
        <v>6712</v>
      </c>
      <c r="E764" s="5">
        <f t="shared" si="45"/>
        <v>712</v>
      </c>
      <c r="F764" s="5">
        <f t="shared" si="46"/>
        <v>506944</v>
      </c>
      <c r="G764" s="6">
        <f>SQRT(SUM($F$2:F764)/A764)</f>
        <v>1086.8948972616054</v>
      </c>
      <c r="H764" s="5">
        <f t="shared" si="47"/>
        <v>1</v>
      </c>
      <c r="I764" s="5">
        <f t="shared" si="48"/>
        <v>0</v>
      </c>
    </row>
    <row r="765" spans="1:9">
      <c r="A765">
        <v>764</v>
      </c>
      <c r="B765">
        <v>10</v>
      </c>
      <c r="C765">
        <v>6000</v>
      </c>
      <c r="D765">
        <v>5506</v>
      </c>
      <c r="E765" s="5">
        <f t="shared" si="45"/>
        <v>494</v>
      </c>
      <c r="F765" s="5">
        <f t="shared" si="46"/>
        <v>244036</v>
      </c>
      <c r="G765" s="6">
        <f>SQRT(SUM($F$2:F765)/A765)</f>
        <v>1086.3303730078487</v>
      </c>
      <c r="H765" s="5">
        <f t="shared" si="47"/>
        <v>1</v>
      </c>
      <c r="I765" s="5">
        <f t="shared" si="48"/>
        <v>1</v>
      </c>
    </row>
    <row r="766" spans="1:9">
      <c r="A766">
        <v>765</v>
      </c>
      <c r="B766">
        <v>12</v>
      </c>
      <c r="C766">
        <v>6000</v>
      </c>
      <c r="D766">
        <v>7173</v>
      </c>
      <c r="E766" s="5">
        <f t="shared" si="45"/>
        <v>1173</v>
      </c>
      <c r="F766" s="5">
        <f t="shared" si="46"/>
        <v>1375929</v>
      </c>
      <c r="G766" s="6">
        <f>SQRT(SUM($F$2:F766)/A766)</f>
        <v>1086.4481796472501</v>
      </c>
      <c r="H766" s="5">
        <f t="shared" si="47"/>
        <v>1</v>
      </c>
      <c r="I766" s="5">
        <f t="shared" si="48"/>
        <v>0</v>
      </c>
    </row>
    <row r="767" spans="1:9">
      <c r="A767">
        <v>766</v>
      </c>
      <c r="B767">
        <v>10</v>
      </c>
      <c r="C767">
        <v>6000</v>
      </c>
      <c r="D767">
        <v>6036</v>
      </c>
      <c r="E767" s="5">
        <f t="shared" si="45"/>
        <v>36</v>
      </c>
      <c r="F767" s="5">
        <f t="shared" si="46"/>
        <v>1296</v>
      </c>
      <c r="G767" s="6">
        <f>SQRT(SUM($F$2:F767)/A767)</f>
        <v>1085.7395573630797</v>
      </c>
      <c r="H767" s="5">
        <f t="shared" si="47"/>
        <v>1</v>
      </c>
      <c r="I767" s="5">
        <f t="shared" si="48"/>
        <v>1</v>
      </c>
    </row>
    <row r="768" spans="1:9">
      <c r="A768">
        <v>767</v>
      </c>
      <c r="B768">
        <v>11</v>
      </c>
      <c r="C768">
        <v>6000</v>
      </c>
      <c r="D768">
        <v>6831</v>
      </c>
      <c r="E768" s="5">
        <f t="shared" si="45"/>
        <v>831</v>
      </c>
      <c r="F768" s="5">
        <f t="shared" si="46"/>
        <v>690561</v>
      </c>
      <c r="G768" s="6">
        <f>SQRT(SUM($F$2:F768)/A768)</f>
        <v>1085.4463552342256</v>
      </c>
      <c r="H768" s="5">
        <f t="shared" si="47"/>
        <v>1</v>
      </c>
      <c r="I768" s="5">
        <f t="shared" si="48"/>
        <v>0</v>
      </c>
    </row>
    <row r="769" spans="1:9">
      <c r="A769">
        <v>768</v>
      </c>
      <c r="B769">
        <v>10</v>
      </c>
      <c r="C769">
        <v>6000</v>
      </c>
      <c r="D769">
        <v>5751</v>
      </c>
      <c r="E769" s="5">
        <f t="shared" si="45"/>
        <v>249</v>
      </c>
      <c r="F769" s="5">
        <f t="shared" si="46"/>
        <v>62001</v>
      </c>
      <c r="G769" s="6">
        <f>SQRT(SUM($F$2:F769)/A769)</f>
        <v>1084.7766655226781</v>
      </c>
      <c r="H769" s="5">
        <f t="shared" si="47"/>
        <v>1</v>
      </c>
      <c r="I769" s="5">
        <f t="shared" si="48"/>
        <v>1</v>
      </c>
    </row>
    <row r="770" spans="1:9">
      <c r="A770">
        <v>769</v>
      </c>
      <c r="B770">
        <v>11</v>
      </c>
      <c r="C770">
        <v>6000</v>
      </c>
      <c r="D770">
        <v>6737</v>
      </c>
      <c r="E770" s="5">
        <f t="shared" si="45"/>
        <v>737</v>
      </c>
      <c r="F770" s="5">
        <f t="shared" si="46"/>
        <v>543169</v>
      </c>
      <c r="G770" s="6">
        <f>SQRT(SUM($F$2:F770)/A770)</f>
        <v>1084.3968480483597</v>
      </c>
      <c r="H770" s="5">
        <f t="shared" si="47"/>
        <v>1</v>
      </c>
      <c r="I770" s="5">
        <f t="shared" si="48"/>
        <v>0</v>
      </c>
    </row>
    <row r="771" spans="1:9">
      <c r="A771">
        <v>770</v>
      </c>
      <c r="B771">
        <v>10</v>
      </c>
      <c r="C771">
        <v>6000</v>
      </c>
      <c r="D771">
        <v>6146</v>
      </c>
      <c r="E771" s="5">
        <f t="shared" ref="E771:E834" si="49">ABS(C771-D771)</f>
        <v>146</v>
      </c>
      <c r="F771" s="5">
        <f t="shared" ref="F771:F834" si="50">POWER(E771,2)</f>
        <v>21316</v>
      </c>
      <c r="G771" s="6">
        <f>SQRT(SUM($F$2:F771)/A771)</f>
        <v>1083.705237994697</v>
      </c>
      <c r="H771" s="5">
        <f t="shared" ref="H771:H834" si="51">IF(ABS(E771)/C771&gt;0.2,0,1)</f>
        <v>1</v>
      </c>
      <c r="I771" s="5">
        <f t="shared" ref="I771:I834" si="52">IF(ABS(E771)/C771&gt;0.1,0,1)</f>
        <v>1</v>
      </c>
    </row>
    <row r="772" spans="1:9">
      <c r="A772">
        <v>771</v>
      </c>
      <c r="B772">
        <v>10</v>
      </c>
      <c r="C772">
        <v>6000</v>
      </c>
      <c r="D772">
        <v>5700</v>
      </c>
      <c r="E772" s="5">
        <f t="shared" si="49"/>
        <v>300</v>
      </c>
      <c r="F772" s="5">
        <f t="shared" si="50"/>
        <v>90000</v>
      </c>
      <c r="G772" s="6">
        <f>SQRT(SUM($F$2:F772)/A772)</f>
        <v>1083.0561091965476</v>
      </c>
      <c r="H772" s="5">
        <f t="shared" si="51"/>
        <v>1</v>
      </c>
      <c r="I772" s="5">
        <f t="shared" si="52"/>
        <v>1</v>
      </c>
    </row>
    <row r="773" spans="1:9">
      <c r="A773">
        <v>772</v>
      </c>
      <c r="B773">
        <v>11</v>
      </c>
      <c r="C773">
        <v>6000</v>
      </c>
      <c r="D773">
        <v>6726</v>
      </c>
      <c r="E773" s="5">
        <f t="shared" si="49"/>
        <v>726</v>
      </c>
      <c r="F773" s="5">
        <f t="shared" si="50"/>
        <v>527076</v>
      </c>
      <c r="G773" s="6">
        <f>SQRT(SUM($F$2:F773)/A773)</f>
        <v>1082.6697709373595</v>
      </c>
      <c r="H773" s="5">
        <f t="shared" si="51"/>
        <v>1</v>
      </c>
      <c r="I773" s="5">
        <f t="shared" si="52"/>
        <v>0</v>
      </c>
    </row>
    <row r="774" spans="1:9">
      <c r="A774">
        <v>773</v>
      </c>
      <c r="B774">
        <v>10</v>
      </c>
      <c r="C774">
        <v>6000</v>
      </c>
      <c r="D774">
        <v>5764</v>
      </c>
      <c r="E774" s="5">
        <f t="shared" si="49"/>
        <v>236</v>
      </c>
      <c r="F774" s="5">
        <f t="shared" si="50"/>
        <v>55696</v>
      </c>
      <c r="G774" s="6">
        <f>SQRT(SUM($F$2:F774)/A774)</f>
        <v>1082.0025365052898</v>
      </c>
      <c r="H774" s="5">
        <f t="shared" si="51"/>
        <v>1</v>
      </c>
      <c r="I774" s="5">
        <f t="shared" si="52"/>
        <v>1</v>
      </c>
    </row>
    <row r="775" spans="1:9">
      <c r="A775">
        <v>774</v>
      </c>
      <c r="B775">
        <v>11</v>
      </c>
      <c r="C775">
        <v>6000</v>
      </c>
      <c r="D775">
        <v>6374</v>
      </c>
      <c r="E775" s="5">
        <f t="shared" si="49"/>
        <v>374</v>
      </c>
      <c r="F775" s="5">
        <f t="shared" si="50"/>
        <v>139876</v>
      </c>
      <c r="G775" s="6">
        <f>SQRT(SUM($F$2:F775)/A775)</f>
        <v>1081.3869043736865</v>
      </c>
      <c r="H775" s="5">
        <f t="shared" si="51"/>
        <v>1</v>
      </c>
      <c r="I775" s="5">
        <f t="shared" si="52"/>
        <v>1</v>
      </c>
    </row>
    <row r="776" spans="1:9">
      <c r="A776">
        <v>775</v>
      </c>
      <c r="B776">
        <v>10</v>
      </c>
      <c r="C776">
        <v>6000</v>
      </c>
      <c r="D776">
        <v>6001</v>
      </c>
      <c r="E776" s="5">
        <f t="shared" si="49"/>
        <v>1</v>
      </c>
      <c r="F776" s="5">
        <f t="shared" si="50"/>
        <v>1</v>
      </c>
      <c r="G776" s="6">
        <f>SQRT(SUM($F$2:F776)/A776)</f>
        <v>1080.6890108002931</v>
      </c>
      <c r="H776" s="5">
        <f t="shared" si="51"/>
        <v>1</v>
      </c>
      <c r="I776" s="5">
        <f t="shared" si="52"/>
        <v>1</v>
      </c>
    </row>
    <row r="777" spans="1:9">
      <c r="A777">
        <v>776</v>
      </c>
      <c r="B777">
        <v>10</v>
      </c>
      <c r="C777">
        <v>6000</v>
      </c>
      <c r="D777">
        <v>5818</v>
      </c>
      <c r="E777" s="5">
        <f t="shared" si="49"/>
        <v>182</v>
      </c>
      <c r="F777" s="5">
        <f t="shared" si="50"/>
        <v>33124</v>
      </c>
      <c r="G777" s="6">
        <f>SQRT(SUM($F$2:F777)/A777)</f>
        <v>1080.0122278803763</v>
      </c>
      <c r="H777" s="5">
        <f t="shared" si="51"/>
        <v>1</v>
      </c>
      <c r="I777" s="5">
        <f t="shared" si="52"/>
        <v>1</v>
      </c>
    </row>
    <row r="778" spans="1:9">
      <c r="A778">
        <v>777</v>
      </c>
      <c r="B778">
        <v>10</v>
      </c>
      <c r="C778">
        <v>6000</v>
      </c>
      <c r="D778">
        <v>6320</v>
      </c>
      <c r="E778" s="5">
        <f t="shared" si="49"/>
        <v>320</v>
      </c>
      <c r="F778" s="5">
        <f t="shared" si="50"/>
        <v>102400</v>
      </c>
      <c r="G778" s="6">
        <f>SQRT(SUM($F$2:F778)/A778)</f>
        <v>1079.3780658365301</v>
      </c>
      <c r="H778" s="5">
        <f t="shared" si="51"/>
        <v>1</v>
      </c>
      <c r="I778" s="5">
        <f t="shared" si="52"/>
        <v>1</v>
      </c>
    </row>
    <row r="779" spans="1:9">
      <c r="A779">
        <v>778</v>
      </c>
      <c r="B779">
        <v>10</v>
      </c>
      <c r="C779">
        <v>6000</v>
      </c>
      <c r="D779">
        <v>6164</v>
      </c>
      <c r="E779" s="5">
        <f t="shared" si="49"/>
        <v>164</v>
      </c>
      <c r="F779" s="5">
        <f t="shared" si="50"/>
        <v>26896</v>
      </c>
      <c r="G779" s="6">
        <f>SQRT(SUM($F$2:F779)/A779)</f>
        <v>1078.700179438579</v>
      </c>
      <c r="H779" s="5">
        <f t="shared" si="51"/>
        <v>1</v>
      </c>
      <c r="I779" s="5">
        <f t="shared" si="52"/>
        <v>1</v>
      </c>
    </row>
    <row r="780" spans="1:9">
      <c r="A780">
        <v>779</v>
      </c>
      <c r="B780">
        <v>10</v>
      </c>
      <c r="C780">
        <v>6000</v>
      </c>
      <c r="D780">
        <v>6657</v>
      </c>
      <c r="E780" s="5">
        <f t="shared" si="49"/>
        <v>657</v>
      </c>
      <c r="F780" s="5">
        <f t="shared" si="50"/>
        <v>431649</v>
      </c>
      <c r="G780" s="6">
        <f>SQRT(SUM($F$2:F780)/A780)</f>
        <v>1078.2645692901131</v>
      </c>
      <c r="H780" s="5">
        <f t="shared" si="51"/>
        <v>1</v>
      </c>
      <c r="I780" s="5">
        <f t="shared" si="52"/>
        <v>0</v>
      </c>
    </row>
    <row r="781" spans="1:9">
      <c r="A781">
        <v>780</v>
      </c>
      <c r="B781">
        <v>9</v>
      </c>
      <c r="C781">
        <v>6000</v>
      </c>
      <c r="D781">
        <v>5681</v>
      </c>
      <c r="E781" s="5">
        <f t="shared" si="49"/>
        <v>319</v>
      </c>
      <c r="F781" s="5">
        <f t="shared" si="50"/>
        <v>101761</v>
      </c>
      <c r="G781" s="6">
        <f>SQRT(SUM($F$2:F781)/A781)</f>
        <v>1077.633686156136</v>
      </c>
      <c r="H781" s="5">
        <f t="shared" si="51"/>
        <v>1</v>
      </c>
      <c r="I781" s="5">
        <f t="shared" si="52"/>
        <v>1</v>
      </c>
    </row>
    <row r="782" spans="1:9">
      <c r="A782">
        <v>781</v>
      </c>
      <c r="B782">
        <v>10</v>
      </c>
      <c r="C782">
        <v>6000</v>
      </c>
      <c r="D782">
        <v>6197</v>
      </c>
      <c r="E782" s="5">
        <f t="shared" si="49"/>
        <v>197</v>
      </c>
      <c r="F782" s="5">
        <f t="shared" si="50"/>
        <v>38809</v>
      </c>
      <c r="G782" s="6">
        <f>SQRT(SUM($F$2:F782)/A782)</f>
        <v>1076.9666291759067</v>
      </c>
      <c r="H782" s="5">
        <f t="shared" si="51"/>
        <v>1</v>
      </c>
      <c r="I782" s="5">
        <f t="shared" si="52"/>
        <v>1</v>
      </c>
    </row>
    <row r="783" spans="1:9">
      <c r="A783">
        <v>782</v>
      </c>
      <c r="B783">
        <v>10</v>
      </c>
      <c r="C783">
        <v>6000</v>
      </c>
      <c r="D783">
        <v>6233</v>
      </c>
      <c r="E783" s="5">
        <f t="shared" si="49"/>
        <v>233</v>
      </c>
      <c r="F783" s="5">
        <f t="shared" si="50"/>
        <v>54289</v>
      </c>
      <c r="G783" s="6">
        <f>SQRT(SUM($F$2:F783)/A783)</f>
        <v>1076.310062381483</v>
      </c>
      <c r="H783" s="5">
        <f t="shared" si="51"/>
        <v>1</v>
      </c>
      <c r="I783" s="5">
        <f t="shared" si="52"/>
        <v>1</v>
      </c>
    </row>
    <row r="784" spans="1:9">
      <c r="A784">
        <v>783</v>
      </c>
      <c r="B784">
        <v>10</v>
      </c>
      <c r="C784">
        <v>6000</v>
      </c>
      <c r="D784">
        <v>6061</v>
      </c>
      <c r="E784" s="5">
        <f t="shared" si="49"/>
        <v>61</v>
      </c>
      <c r="F784" s="5">
        <f t="shared" si="50"/>
        <v>3721</v>
      </c>
      <c r="G784" s="6">
        <f>SQRT(SUM($F$2:F784)/A784)</f>
        <v>1075.6247529670384</v>
      </c>
      <c r="H784" s="5">
        <f t="shared" si="51"/>
        <v>1</v>
      </c>
      <c r="I784" s="5">
        <f t="shared" si="52"/>
        <v>1</v>
      </c>
    </row>
    <row r="785" spans="1:9">
      <c r="A785">
        <v>784</v>
      </c>
      <c r="B785">
        <v>10</v>
      </c>
      <c r="C785">
        <v>6000</v>
      </c>
      <c r="D785">
        <v>5743</v>
      </c>
      <c r="E785" s="5">
        <f t="shared" si="49"/>
        <v>257</v>
      </c>
      <c r="F785" s="5">
        <f t="shared" si="50"/>
        <v>66049</v>
      </c>
      <c r="G785" s="6">
        <f>SQRT(SUM($F$2:F785)/A785)</f>
        <v>1074.9777347006034</v>
      </c>
      <c r="H785" s="5">
        <f t="shared" si="51"/>
        <v>1</v>
      </c>
      <c r="I785" s="5">
        <f t="shared" si="52"/>
        <v>1</v>
      </c>
    </row>
    <row r="786" spans="1:9">
      <c r="A786">
        <v>785</v>
      </c>
      <c r="B786">
        <v>10</v>
      </c>
      <c r="C786">
        <v>6000</v>
      </c>
      <c r="D786">
        <v>6307</v>
      </c>
      <c r="E786" s="5">
        <f t="shared" si="49"/>
        <v>307</v>
      </c>
      <c r="F786" s="5">
        <f t="shared" si="50"/>
        <v>94249</v>
      </c>
      <c r="G786" s="6">
        <f>SQRT(SUM($F$2:F786)/A786)</f>
        <v>1074.3486956036309</v>
      </c>
      <c r="H786" s="5">
        <f t="shared" si="51"/>
        <v>1</v>
      </c>
      <c r="I786" s="5">
        <f t="shared" si="52"/>
        <v>1</v>
      </c>
    </row>
    <row r="787" spans="1:9">
      <c r="A787">
        <v>786</v>
      </c>
      <c r="B787">
        <v>10</v>
      </c>
      <c r="C787">
        <v>6000</v>
      </c>
      <c r="D787">
        <v>6425</v>
      </c>
      <c r="E787" s="5">
        <f t="shared" si="49"/>
        <v>425</v>
      </c>
      <c r="F787" s="5">
        <f t="shared" si="50"/>
        <v>180625</v>
      </c>
      <c r="G787" s="6">
        <f>SQRT(SUM($F$2:F787)/A787)</f>
        <v>1073.7720627526551</v>
      </c>
      <c r="H787" s="5">
        <f t="shared" si="51"/>
        <v>1</v>
      </c>
      <c r="I787" s="5">
        <f t="shared" si="52"/>
        <v>1</v>
      </c>
    </row>
    <row r="788" spans="1:9">
      <c r="A788">
        <v>787</v>
      </c>
      <c r="B788">
        <v>9</v>
      </c>
      <c r="C788">
        <v>6000</v>
      </c>
      <c r="D788">
        <v>5796</v>
      </c>
      <c r="E788" s="5">
        <f t="shared" si="49"/>
        <v>204</v>
      </c>
      <c r="F788" s="5">
        <f t="shared" si="50"/>
        <v>41616</v>
      </c>
      <c r="G788" s="6">
        <f>SQRT(SUM($F$2:F788)/A788)</f>
        <v>1073.1142912494747</v>
      </c>
      <c r="H788" s="5">
        <f t="shared" si="51"/>
        <v>1</v>
      </c>
      <c r="I788" s="5">
        <f t="shared" si="52"/>
        <v>1</v>
      </c>
    </row>
    <row r="789" spans="1:9">
      <c r="A789">
        <v>788</v>
      </c>
      <c r="B789">
        <v>10</v>
      </c>
      <c r="C789">
        <v>6000</v>
      </c>
      <c r="D789">
        <v>7110</v>
      </c>
      <c r="E789" s="5">
        <f t="shared" si="49"/>
        <v>1110</v>
      </c>
      <c r="F789" s="5">
        <f t="shared" si="50"/>
        <v>1232100</v>
      </c>
      <c r="G789" s="6">
        <f>SQRT(SUM($F$2:F789)/A789)</f>
        <v>1073.1619039461</v>
      </c>
      <c r="H789" s="5">
        <f t="shared" si="51"/>
        <v>1</v>
      </c>
      <c r="I789" s="5">
        <f t="shared" si="52"/>
        <v>0</v>
      </c>
    </row>
    <row r="790" spans="1:9">
      <c r="A790">
        <v>789</v>
      </c>
      <c r="B790">
        <v>9</v>
      </c>
      <c r="C790">
        <v>6000</v>
      </c>
      <c r="D790">
        <v>5883</v>
      </c>
      <c r="E790" s="5">
        <f t="shared" si="49"/>
        <v>117</v>
      </c>
      <c r="F790" s="5">
        <f t="shared" si="50"/>
        <v>13689</v>
      </c>
      <c r="G790" s="6">
        <f>SQRT(SUM($F$2:F790)/A790)</f>
        <v>1072.4896996678037</v>
      </c>
      <c r="H790" s="5">
        <f t="shared" si="51"/>
        <v>1</v>
      </c>
      <c r="I790" s="5">
        <f t="shared" si="52"/>
        <v>1</v>
      </c>
    </row>
    <row r="791" spans="1:9">
      <c r="A791">
        <v>790</v>
      </c>
      <c r="B791">
        <v>10</v>
      </c>
      <c r="C791">
        <v>6000</v>
      </c>
      <c r="D791">
        <v>6382</v>
      </c>
      <c r="E791" s="5">
        <f t="shared" si="49"/>
        <v>382</v>
      </c>
      <c r="F791" s="5">
        <f t="shared" si="50"/>
        <v>145924</v>
      </c>
      <c r="G791" s="6">
        <f>SQRT(SUM($F$2:F791)/A791)</f>
        <v>1071.8968594110115</v>
      </c>
      <c r="H791" s="5">
        <f t="shared" si="51"/>
        <v>1</v>
      </c>
      <c r="I791" s="5">
        <f t="shared" si="52"/>
        <v>1</v>
      </c>
    </row>
    <row r="792" spans="1:9">
      <c r="A792">
        <v>791</v>
      </c>
      <c r="B792">
        <v>9</v>
      </c>
      <c r="C792">
        <v>6000</v>
      </c>
      <c r="D792">
        <v>5896</v>
      </c>
      <c r="E792" s="5">
        <f t="shared" si="49"/>
        <v>104</v>
      </c>
      <c r="F792" s="5">
        <f t="shared" si="50"/>
        <v>10816</v>
      </c>
      <c r="G792" s="6">
        <f>SQRT(SUM($F$2:F792)/A792)</f>
        <v>1071.2254694139383</v>
      </c>
      <c r="H792" s="5">
        <f t="shared" si="51"/>
        <v>1</v>
      </c>
      <c r="I792" s="5">
        <f t="shared" si="52"/>
        <v>1</v>
      </c>
    </row>
    <row r="793" spans="1:9">
      <c r="A793">
        <v>792</v>
      </c>
      <c r="B793">
        <v>10</v>
      </c>
      <c r="C793">
        <v>6000</v>
      </c>
      <c r="D793">
        <v>5947</v>
      </c>
      <c r="E793" s="5">
        <f t="shared" si="49"/>
        <v>53</v>
      </c>
      <c r="F793" s="5">
        <f t="shared" si="50"/>
        <v>2809</v>
      </c>
      <c r="G793" s="6">
        <f>SQRT(SUM($F$2:F793)/A793)</f>
        <v>1070.5506335951184</v>
      </c>
      <c r="H793" s="5">
        <f t="shared" si="51"/>
        <v>1</v>
      </c>
      <c r="I793" s="5">
        <f t="shared" si="52"/>
        <v>1</v>
      </c>
    </row>
    <row r="794" spans="1:9">
      <c r="A794">
        <v>793</v>
      </c>
      <c r="B794">
        <v>10</v>
      </c>
      <c r="C794">
        <v>6000</v>
      </c>
      <c r="D794">
        <v>6052</v>
      </c>
      <c r="E794" s="5">
        <f t="shared" si="49"/>
        <v>52</v>
      </c>
      <c r="F794" s="5">
        <f t="shared" si="50"/>
        <v>2704</v>
      </c>
      <c r="G794" s="6">
        <f>SQRT(SUM($F$2:F794)/A794)</f>
        <v>1069.8770138274153</v>
      </c>
      <c r="H794" s="5">
        <f t="shared" si="51"/>
        <v>1</v>
      </c>
      <c r="I794" s="5">
        <f t="shared" si="52"/>
        <v>1</v>
      </c>
    </row>
    <row r="795" spans="1:9">
      <c r="A795">
        <v>794</v>
      </c>
      <c r="B795">
        <v>9</v>
      </c>
      <c r="C795">
        <v>6000</v>
      </c>
      <c r="D795">
        <v>5479</v>
      </c>
      <c r="E795" s="5">
        <f t="shared" si="49"/>
        <v>521</v>
      </c>
      <c r="F795" s="5">
        <f t="shared" si="50"/>
        <v>271441</v>
      </c>
      <c r="G795" s="6">
        <f>SQRT(SUM($F$2:F795)/A795)</f>
        <v>1069.3629327146045</v>
      </c>
      <c r="H795" s="5">
        <f t="shared" si="51"/>
        <v>1</v>
      </c>
      <c r="I795" s="5">
        <f t="shared" si="52"/>
        <v>1</v>
      </c>
    </row>
    <row r="796" spans="1:9">
      <c r="A796">
        <v>795</v>
      </c>
      <c r="B796">
        <v>10</v>
      </c>
      <c r="C796">
        <v>6000</v>
      </c>
      <c r="D796">
        <v>5992</v>
      </c>
      <c r="E796" s="5">
        <f t="shared" si="49"/>
        <v>8</v>
      </c>
      <c r="F796" s="5">
        <f t="shared" si="50"/>
        <v>64</v>
      </c>
      <c r="G796" s="6">
        <f>SQRT(SUM($F$2:F796)/A796)</f>
        <v>1068.6902034469092</v>
      </c>
      <c r="H796" s="5">
        <f t="shared" si="51"/>
        <v>1</v>
      </c>
      <c r="I796" s="5">
        <f t="shared" si="52"/>
        <v>1</v>
      </c>
    </row>
    <row r="797" spans="1:9">
      <c r="A797">
        <v>796</v>
      </c>
      <c r="B797">
        <v>10</v>
      </c>
      <c r="C797">
        <v>6000</v>
      </c>
      <c r="D797">
        <v>6199</v>
      </c>
      <c r="E797" s="5">
        <f t="shared" si="49"/>
        <v>199</v>
      </c>
      <c r="F797" s="5">
        <f t="shared" si="50"/>
        <v>39601</v>
      </c>
      <c r="G797" s="6">
        <f>SQRT(SUM($F$2:F797)/A797)</f>
        <v>1068.0419952031791</v>
      </c>
      <c r="H797" s="5">
        <f t="shared" si="51"/>
        <v>1</v>
      </c>
      <c r="I797" s="5">
        <f t="shared" si="52"/>
        <v>1</v>
      </c>
    </row>
    <row r="798" spans="1:9">
      <c r="A798">
        <v>797</v>
      </c>
      <c r="B798">
        <v>9</v>
      </c>
      <c r="C798">
        <v>6000</v>
      </c>
      <c r="D798">
        <v>5885</v>
      </c>
      <c r="E798" s="5">
        <f t="shared" si="49"/>
        <v>115</v>
      </c>
      <c r="F798" s="5">
        <f t="shared" si="50"/>
        <v>13225</v>
      </c>
      <c r="G798" s="6">
        <f>SQRT(SUM($F$2:F798)/A798)</f>
        <v>1067.3795190283324</v>
      </c>
      <c r="H798" s="5">
        <f t="shared" si="51"/>
        <v>1</v>
      </c>
      <c r="I798" s="5">
        <f t="shared" si="52"/>
        <v>1</v>
      </c>
    </row>
    <row r="799" spans="1:9">
      <c r="A799">
        <v>798</v>
      </c>
      <c r="B799">
        <v>10</v>
      </c>
      <c r="C799">
        <v>6000</v>
      </c>
      <c r="D799">
        <v>5975</v>
      </c>
      <c r="E799" s="5">
        <f t="shared" si="49"/>
        <v>25</v>
      </c>
      <c r="F799" s="5">
        <f t="shared" si="50"/>
        <v>625</v>
      </c>
      <c r="G799" s="6">
        <f>SQRT(SUM($F$2:F799)/A799)</f>
        <v>1066.7108923319142</v>
      </c>
      <c r="H799" s="5">
        <f t="shared" si="51"/>
        <v>1</v>
      </c>
      <c r="I799" s="5">
        <f t="shared" si="52"/>
        <v>1</v>
      </c>
    </row>
    <row r="800" spans="1:9">
      <c r="A800">
        <v>799</v>
      </c>
      <c r="B800">
        <v>10</v>
      </c>
      <c r="C800">
        <v>6000</v>
      </c>
      <c r="D800">
        <v>6362</v>
      </c>
      <c r="E800" s="5">
        <f t="shared" si="49"/>
        <v>362</v>
      </c>
      <c r="F800" s="5">
        <f t="shared" si="50"/>
        <v>131044</v>
      </c>
      <c r="G800" s="6">
        <f>SQRT(SUM($F$2:F800)/A800)</f>
        <v>1066.1200765025967</v>
      </c>
      <c r="H800" s="5">
        <f t="shared" si="51"/>
        <v>1</v>
      </c>
      <c r="I800" s="5">
        <f t="shared" si="52"/>
        <v>1</v>
      </c>
    </row>
    <row r="801" spans="1:9">
      <c r="A801">
        <v>800</v>
      </c>
      <c r="B801">
        <v>9</v>
      </c>
      <c r="C801">
        <v>6000</v>
      </c>
      <c r="D801">
        <v>5594</v>
      </c>
      <c r="E801" s="5">
        <f t="shared" si="49"/>
        <v>406</v>
      </c>
      <c r="F801" s="5">
        <f t="shared" si="50"/>
        <v>164836</v>
      </c>
      <c r="G801" s="6">
        <f>SQRT(SUM($F$2:F801)/A801)</f>
        <v>1065.5502322743871</v>
      </c>
      <c r="H801" s="5">
        <f t="shared" si="51"/>
        <v>1</v>
      </c>
      <c r="I801" s="5">
        <f t="shared" si="52"/>
        <v>1</v>
      </c>
    </row>
    <row r="802" spans="1:9">
      <c r="A802">
        <v>801</v>
      </c>
      <c r="B802">
        <v>1</v>
      </c>
      <c r="C802">
        <v>9000</v>
      </c>
      <c r="D802">
        <v>834</v>
      </c>
      <c r="E802" s="5">
        <f t="shared" si="49"/>
        <v>8166</v>
      </c>
      <c r="F802" s="5">
        <f t="shared" si="50"/>
        <v>66683556</v>
      </c>
      <c r="G802" s="6">
        <f>SQRT(SUM($F$2:F802)/A802)</f>
        <v>1103.2815618617351</v>
      </c>
      <c r="H802" s="5">
        <f t="shared" si="51"/>
        <v>0</v>
      </c>
      <c r="I802" s="5">
        <f t="shared" si="52"/>
        <v>0</v>
      </c>
    </row>
    <row r="803" spans="1:9">
      <c r="A803">
        <v>802</v>
      </c>
      <c r="B803">
        <v>9</v>
      </c>
      <c r="C803">
        <v>9000</v>
      </c>
      <c r="D803">
        <v>5718</v>
      </c>
      <c r="E803" s="5">
        <f t="shared" si="49"/>
        <v>3282</v>
      </c>
      <c r="F803" s="5">
        <f t="shared" si="50"/>
        <v>10771524</v>
      </c>
      <c r="G803" s="6">
        <f>SQRT(SUM($F$2:F803)/A803)</f>
        <v>1108.6673483407042</v>
      </c>
      <c r="H803" s="5">
        <f t="shared" si="51"/>
        <v>0</v>
      </c>
      <c r="I803" s="5">
        <f t="shared" si="52"/>
        <v>0</v>
      </c>
    </row>
    <row r="804" spans="1:9">
      <c r="A804">
        <v>803</v>
      </c>
      <c r="B804">
        <v>6</v>
      </c>
      <c r="C804">
        <v>9000</v>
      </c>
      <c r="D804">
        <v>4104</v>
      </c>
      <c r="E804" s="5">
        <f t="shared" si="49"/>
        <v>4896</v>
      </c>
      <c r="F804" s="5">
        <f t="shared" si="50"/>
        <v>23970816</v>
      </c>
      <c r="G804" s="6">
        <f>SQRT(SUM($F$2:F804)/A804)</f>
        <v>1121.3671017275572</v>
      </c>
      <c r="H804" s="5">
        <f t="shared" si="51"/>
        <v>0</v>
      </c>
      <c r="I804" s="5">
        <f t="shared" si="52"/>
        <v>0</v>
      </c>
    </row>
    <row r="805" spans="1:9">
      <c r="A805">
        <v>804</v>
      </c>
      <c r="B805">
        <v>9</v>
      </c>
      <c r="C805">
        <v>9000</v>
      </c>
      <c r="D805">
        <v>6200</v>
      </c>
      <c r="E805" s="5">
        <f t="shared" si="49"/>
        <v>2800</v>
      </c>
      <c r="F805" s="5">
        <f t="shared" si="50"/>
        <v>7840000</v>
      </c>
      <c r="G805" s="6">
        <f>SQRT(SUM($F$2:F805)/A805)</f>
        <v>1125.0117379155479</v>
      </c>
      <c r="H805" s="5">
        <f t="shared" si="51"/>
        <v>0</v>
      </c>
      <c r="I805" s="5">
        <f t="shared" si="52"/>
        <v>0</v>
      </c>
    </row>
    <row r="806" spans="1:9">
      <c r="A806">
        <v>805</v>
      </c>
      <c r="B806">
        <v>7</v>
      </c>
      <c r="C806">
        <v>9000</v>
      </c>
      <c r="D806">
        <v>4797</v>
      </c>
      <c r="E806" s="5">
        <f t="shared" si="49"/>
        <v>4203</v>
      </c>
      <c r="F806" s="5">
        <f t="shared" si="50"/>
        <v>17665209</v>
      </c>
      <c r="G806" s="6">
        <f>SQRT(SUM($F$2:F806)/A806)</f>
        <v>1134.0297754807934</v>
      </c>
      <c r="H806" s="5">
        <f t="shared" si="51"/>
        <v>0</v>
      </c>
      <c r="I806" s="5">
        <f t="shared" si="52"/>
        <v>0</v>
      </c>
    </row>
    <row r="807" spans="1:9">
      <c r="A807">
        <v>806</v>
      </c>
      <c r="B807">
        <v>10</v>
      </c>
      <c r="C807">
        <v>9000</v>
      </c>
      <c r="D807">
        <v>6444</v>
      </c>
      <c r="E807" s="5">
        <f t="shared" si="49"/>
        <v>2556</v>
      </c>
      <c r="F807" s="5">
        <f t="shared" si="50"/>
        <v>6533136</v>
      </c>
      <c r="G807" s="6">
        <f>SQRT(SUM($F$2:F807)/A807)</f>
        <v>1136.8964758385846</v>
      </c>
      <c r="H807" s="5">
        <f t="shared" si="51"/>
        <v>0</v>
      </c>
      <c r="I807" s="5">
        <f t="shared" si="52"/>
        <v>0</v>
      </c>
    </row>
    <row r="808" spans="1:9">
      <c r="A808">
        <v>807</v>
      </c>
      <c r="B808">
        <v>9</v>
      </c>
      <c r="C808">
        <v>9000</v>
      </c>
      <c r="D808">
        <v>5851</v>
      </c>
      <c r="E808" s="5">
        <f t="shared" si="49"/>
        <v>3149</v>
      </c>
      <c r="F808" s="5">
        <f t="shared" si="50"/>
        <v>9916201</v>
      </c>
      <c r="G808" s="6">
        <f>SQRT(SUM($F$2:F808)/A808)</f>
        <v>1141.5864740873042</v>
      </c>
      <c r="H808" s="5">
        <f t="shared" si="51"/>
        <v>0</v>
      </c>
      <c r="I808" s="5">
        <f t="shared" si="52"/>
        <v>0</v>
      </c>
    </row>
    <row r="809" spans="1:9">
      <c r="A809">
        <v>808</v>
      </c>
      <c r="B809">
        <v>10</v>
      </c>
      <c r="C809">
        <v>9000</v>
      </c>
      <c r="D809">
        <v>6190</v>
      </c>
      <c r="E809" s="5">
        <f t="shared" si="49"/>
        <v>2810</v>
      </c>
      <c r="F809" s="5">
        <f t="shared" si="50"/>
        <v>7896100</v>
      </c>
      <c r="G809" s="6">
        <f>SQRT(SUM($F$2:F809)/A809)</f>
        <v>1145.1546546944289</v>
      </c>
      <c r="H809" s="5">
        <f t="shared" si="51"/>
        <v>0</v>
      </c>
      <c r="I809" s="5">
        <f t="shared" si="52"/>
        <v>0</v>
      </c>
    </row>
    <row r="810" spans="1:9">
      <c r="A810">
        <v>809</v>
      </c>
      <c r="B810">
        <v>11</v>
      </c>
      <c r="C810">
        <v>9000</v>
      </c>
      <c r="D810">
        <v>6830</v>
      </c>
      <c r="E810" s="5">
        <f t="shared" si="49"/>
        <v>2170</v>
      </c>
      <c r="F810" s="5">
        <f t="shared" si="50"/>
        <v>4708900</v>
      </c>
      <c r="G810" s="6">
        <f>SQRT(SUM($F$2:F810)/A810)</f>
        <v>1146.9868517431635</v>
      </c>
      <c r="H810" s="5">
        <f t="shared" si="51"/>
        <v>0</v>
      </c>
      <c r="I810" s="5">
        <f t="shared" si="52"/>
        <v>0</v>
      </c>
    </row>
    <row r="811" spans="1:9">
      <c r="A811">
        <v>810</v>
      </c>
      <c r="B811">
        <v>11</v>
      </c>
      <c r="C811">
        <v>9000</v>
      </c>
      <c r="D811">
        <v>6718</v>
      </c>
      <c r="E811" s="5">
        <f t="shared" si="49"/>
        <v>2282</v>
      </c>
      <c r="F811" s="5">
        <f t="shared" si="50"/>
        <v>5207524</v>
      </c>
      <c r="G811" s="6">
        <f>SQRT(SUM($F$2:F811)/A811)</f>
        <v>1149.0795049264325</v>
      </c>
      <c r="H811" s="5">
        <f t="shared" si="51"/>
        <v>0</v>
      </c>
      <c r="I811" s="5">
        <f t="shared" si="52"/>
        <v>0</v>
      </c>
    </row>
    <row r="812" spans="1:9">
      <c r="A812">
        <v>811</v>
      </c>
      <c r="B812">
        <v>11</v>
      </c>
      <c r="C812">
        <v>9000</v>
      </c>
      <c r="D812">
        <v>6413</v>
      </c>
      <c r="E812" s="5">
        <f t="shared" si="49"/>
        <v>2587</v>
      </c>
      <c r="F812" s="5">
        <f t="shared" si="50"/>
        <v>6692569</v>
      </c>
      <c r="G812" s="6">
        <f>SQRT(SUM($F$2:F812)/A812)</f>
        <v>1151.9582710323118</v>
      </c>
      <c r="H812" s="5">
        <f t="shared" si="51"/>
        <v>0</v>
      </c>
      <c r="I812" s="5">
        <f t="shared" si="52"/>
        <v>0</v>
      </c>
    </row>
    <row r="813" spans="1:9">
      <c r="A813">
        <v>812</v>
      </c>
      <c r="B813">
        <v>12</v>
      </c>
      <c r="C813">
        <v>9000</v>
      </c>
      <c r="D813">
        <v>7727</v>
      </c>
      <c r="E813" s="5">
        <f t="shared" si="49"/>
        <v>1273</v>
      </c>
      <c r="F813" s="5">
        <f t="shared" si="50"/>
        <v>1620529</v>
      </c>
      <c r="G813" s="6">
        <f>SQRT(SUM($F$2:F813)/A813)</f>
        <v>1152.1151580629532</v>
      </c>
      <c r="H813" s="5">
        <f t="shared" si="51"/>
        <v>1</v>
      </c>
      <c r="I813" s="5">
        <f t="shared" si="52"/>
        <v>0</v>
      </c>
    </row>
    <row r="814" spans="1:9">
      <c r="A814">
        <v>813</v>
      </c>
      <c r="B814">
        <v>11</v>
      </c>
      <c r="C814">
        <v>9000</v>
      </c>
      <c r="D814">
        <v>6887</v>
      </c>
      <c r="E814" s="5">
        <f t="shared" si="49"/>
        <v>2113</v>
      </c>
      <c r="F814" s="5">
        <f t="shared" si="50"/>
        <v>4464769</v>
      </c>
      <c r="G814" s="6">
        <f>SQRT(SUM($F$2:F814)/A814)</f>
        <v>1153.788705792259</v>
      </c>
      <c r="H814" s="5">
        <f t="shared" si="51"/>
        <v>0</v>
      </c>
      <c r="I814" s="5">
        <f t="shared" si="52"/>
        <v>0</v>
      </c>
    </row>
    <row r="815" spans="1:9">
      <c r="A815">
        <v>814</v>
      </c>
      <c r="B815">
        <v>13</v>
      </c>
      <c r="C815">
        <v>9000</v>
      </c>
      <c r="D815">
        <v>8132</v>
      </c>
      <c r="E815" s="5">
        <f t="shared" si="49"/>
        <v>868</v>
      </c>
      <c r="F815" s="5">
        <f t="shared" si="50"/>
        <v>753424</v>
      </c>
      <c r="G815" s="6">
        <f>SQRT(SUM($F$2:F815)/A815)</f>
        <v>1153.4810549922545</v>
      </c>
      <c r="H815" s="5">
        <f t="shared" si="51"/>
        <v>1</v>
      </c>
      <c r="I815" s="5">
        <f t="shared" si="52"/>
        <v>1</v>
      </c>
    </row>
    <row r="816" spans="1:9">
      <c r="A816">
        <v>815</v>
      </c>
      <c r="B816">
        <v>12</v>
      </c>
      <c r="C816">
        <v>9000</v>
      </c>
      <c r="D816">
        <v>7229</v>
      </c>
      <c r="E816" s="5">
        <f t="shared" si="49"/>
        <v>1771</v>
      </c>
      <c r="F816" s="5">
        <f t="shared" si="50"/>
        <v>3136441</v>
      </c>
      <c r="G816" s="6">
        <f>SQRT(SUM($F$2:F816)/A816)</f>
        <v>1154.4411635072615</v>
      </c>
      <c r="H816" s="5">
        <f t="shared" si="51"/>
        <v>1</v>
      </c>
      <c r="I816" s="5">
        <f t="shared" si="52"/>
        <v>0</v>
      </c>
    </row>
    <row r="817" spans="1:9">
      <c r="A817">
        <v>816</v>
      </c>
      <c r="B817">
        <v>13</v>
      </c>
      <c r="C817">
        <v>9000</v>
      </c>
      <c r="D817">
        <v>8003</v>
      </c>
      <c r="E817" s="5">
        <f t="shared" si="49"/>
        <v>997</v>
      </c>
      <c r="F817" s="5">
        <f t="shared" si="50"/>
        <v>994009</v>
      </c>
      <c r="G817" s="6">
        <f>SQRT(SUM($F$2:F817)/A817)</f>
        <v>1154.261363532167</v>
      </c>
      <c r="H817" s="5">
        <f t="shared" si="51"/>
        <v>1</v>
      </c>
      <c r="I817" s="5">
        <f t="shared" si="52"/>
        <v>0</v>
      </c>
    </row>
    <row r="818" spans="1:9">
      <c r="A818">
        <v>817</v>
      </c>
      <c r="B818">
        <v>13</v>
      </c>
      <c r="C818">
        <v>9000</v>
      </c>
      <c r="D818">
        <v>7962</v>
      </c>
      <c r="E818" s="5">
        <f t="shared" si="49"/>
        <v>1038</v>
      </c>
      <c r="F818" s="5">
        <f t="shared" si="50"/>
        <v>1077444</v>
      </c>
      <c r="G818" s="6">
        <f>SQRT(SUM($F$2:F818)/A818)</f>
        <v>1154.1262194740036</v>
      </c>
      <c r="H818" s="5">
        <f t="shared" si="51"/>
        <v>1</v>
      </c>
      <c r="I818" s="5">
        <f t="shared" si="52"/>
        <v>0</v>
      </c>
    </row>
    <row r="819" spans="1:9">
      <c r="A819">
        <v>818</v>
      </c>
      <c r="B819">
        <v>13</v>
      </c>
      <c r="C819">
        <v>9000</v>
      </c>
      <c r="D819">
        <v>7440</v>
      </c>
      <c r="E819" s="5">
        <f t="shared" si="49"/>
        <v>1560</v>
      </c>
      <c r="F819" s="5">
        <f t="shared" si="50"/>
        <v>2433600</v>
      </c>
      <c r="G819" s="6">
        <f>SQRT(SUM($F$2:F819)/A819)</f>
        <v>1154.709496272719</v>
      </c>
      <c r="H819" s="5">
        <f t="shared" si="51"/>
        <v>1</v>
      </c>
      <c r="I819" s="5">
        <f t="shared" si="52"/>
        <v>0</v>
      </c>
    </row>
    <row r="820" spans="1:9">
      <c r="A820">
        <v>819</v>
      </c>
      <c r="B820">
        <v>14</v>
      </c>
      <c r="C820">
        <v>9000</v>
      </c>
      <c r="D820">
        <v>8169</v>
      </c>
      <c r="E820" s="5">
        <f t="shared" si="49"/>
        <v>831</v>
      </c>
      <c r="F820" s="5">
        <f t="shared" si="50"/>
        <v>690561</v>
      </c>
      <c r="G820" s="6">
        <f>SQRT(SUM($F$2:F820)/A820)</f>
        <v>1154.369598403895</v>
      </c>
      <c r="H820" s="5">
        <f t="shared" si="51"/>
        <v>1</v>
      </c>
      <c r="I820" s="5">
        <f t="shared" si="52"/>
        <v>1</v>
      </c>
    </row>
    <row r="821" spans="1:9">
      <c r="A821">
        <v>820</v>
      </c>
      <c r="B821">
        <v>13</v>
      </c>
      <c r="C821">
        <v>9000</v>
      </c>
      <c r="D821">
        <v>7836</v>
      </c>
      <c r="E821" s="5">
        <f t="shared" si="49"/>
        <v>1164</v>
      </c>
      <c r="F821" s="5">
        <f t="shared" si="50"/>
        <v>1354896</v>
      </c>
      <c r="G821" s="6">
        <f>SQRT(SUM($F$2:F821)/A821)</f>
        <v>1154.381391725012</v>
      </c>
      <c r="H821" s="5">
        <f t="shared" si="51"/>
        <v>1</v>
      </c>
      <c r="I821" s="5">
        <f t="shared" si="52"/>
        <v>0</v>
      </c>
    </row>
    <row r="822" spans="1:9">
      <c r="A822">
        <v>821</v>
      </c>
      <c r="B822">
        <v>14</v>
      </c>
      <c r="C822">
        <v>9000</v>
      </c>
      <c r="D822">
        <v>8576</v>
      </c>
      <c r="E822" s="5">
        <f t="shared" si="49"/>
        <v>424</v>
      </c>
      <c r="F822" s="5">
        <f t="shared" si="50"/>
        <v>179776</v>
      </c>
      <c r="G822" s="6">
        <f>SQRT(SUM($F$2:F822)/A822)</f>
        <v>1153.773041557607</v>
      </c>
      <c r="H822" s="5">
        <f t="shared" si="51"/>
        <v>1</v>
      </c>
      <c r="I822" s="5">
        <f t="shared" si="52"/>
        <v>1</v>
      </c>
    </row>
    <row r="823" spans="1:9">
      <c r="A823">
        <v>822</v>
      </c>
      <c r="B823">
        <v>13</v>
      </c>
      <c r="C823">
        <v>9000</v>
      </c>
      <c r="D823">
        <v>8107</v>
      </c>
      <c r="E823" s="5">
        <f t="shared" si="49"/>
        <v>893</v>
      </c>
      <c r="F823" s="5">
        <f t="shared" si="50"/>
        <v>797449</v>
      </c>
      <c r="G823" s="6">
        <f>SQRT(SUM($F$2:F823)/A823)</f>
        <v>1153.4916162500376</v>
      </c>
      <c r="H823" s="5">
        <f t="shared" si="51"/>
        <v>1</v>
      </c>
      <c r="I823" s="5">
        <f t="shared" si="52"/>
        <v>1</v>
      </c>
    </row>
    <row r="824" spans="1:9">
      <c r="A824">
        <v>823</v>
      </c>
      <c r="B824">
        <v>14</v>
      </c>
      <c r="C824">
        <v>9000</v>
      </c>
      <c r="D824">
        <v>7890</v>
      </c>
      <c r="E824" s="5">
        <f t="shared" si="49"/>
        <v>1110</v>
      </c>
      <c r="F824" s="5">
        <f t="shared" si="50"/>
        <v>1232100</v>
      </c>
      <c r="G824" s="6">
        <f>SQRT(SUM($F$2:F824)/A824)</f>
        <v>1153.4397661109888</v>
      </c>
      <c r="H824" s="5">
        <f t="shared" si="51"/>
        <v>1</v>
      </c>
      <c r="I824" s="5">
        <f t="shared" si="52"/>
        <v>0</v>
      </c>
    </row>
    <row r="825" spans="1:9">
      <c r="A825">
        <v>824</v>
      </c>
      <c r="B825">
        <v>14</v>
      </c>
      <c r="C825">
        <v>9000</v>
      </c>
      <c r="D825">
        <v>8714</v>
      </c>
      <c r="E825" s="5">
        <f t="shared" si="49"/>
        <v>286</v>
      </c>
      <c r="F825" s="5">
        <f t="shared" si="50"/>
        <v>81796</v>
      </c>
      <c r="G825" s="6">
        <f>SQRT(SUM($F$2:F825)/A825)</f>
        <v>1152.7827070442174</v>
      </c>
      <c r="H825" s="5">
        <f t="shared" si="51"/>
        <v>1</v>
      </c>
      <c r="I825" s="5">
        <f t="shared" si="52"/>
        <v>1</v>
      </c>
    </row>
    <row r="826" spans="1:9">
      <c r="A826">
        <v>825</v>
      </c>
      <c r="B826">
        <v>14</v>
      </c>
      <c r="C826">
        <v>9000</v>
      </c>
      <c r="D826">
        <v>9024</v>
      </c>
      <c r="E826" s="5">
        <f t="shared" si="49"/>
        <v>24</v>
      </c>
      <c r="F826" s="5">
        <f t="shared" si="50"/>
        <v>576</v>
      </c>
      <c r="G826" s="6">
        <f>SQRT(SUM($F$2:F826)/A826)</f>
        <v>1152.0841420239367</v>
      </c>
      <c r="H826" s="5">
        <f t="shared" si="51"/>
        <v>1</v>
      </c>
      <c r="I826" s="5">
        <f t="shared" si="52"/>
        <v>1</v>
      </c>
    </row>
    <row r="827" spans="1:9">
      <c r="A827">
        <v>826</v>
      </c>
      <c r="B827">
        <v>14</v>
      </c>
      <c r="C827">
        <v>9000</v>
      </c>
      <c r="D827">
        <v>8442</v>
      </c>
      <c r="E827" s="5">
        <f t="shared" si="49"/>
        <v>558</v>
      </c>
      <c r="F827" s="5">
        <f t="shared" si="50"/>
        <v>311364</v>
      </c>
      <c r="G827" s="6">
        <f>SQRT(SUM($F$2:F827)/A827)</f>
        <v>1151.5502273674913</v>
      </c>
      <c r="H827" s="5">
        <f t="shared" si="51"/>
        <v>1</v>
      </c>
      <c r="I827" s="5">
        <f t="shared" si="52"/>
        <v>1</v>
      </c>
    </row>
    <row r="828" spans="1:9">
      <c r="A828">
        <v>827</v>
      </c>
      <c r="B828">
        <v>14</v>
      </c>
      <c r="C828">
        <v>9000</v>
      </c>
      <c r="D828">
        <v>8540</v>
      </c>
      <c r="E828" s="5">
        <f t="shared" si="49"/>
        <v>460</v>
      </c>
      <c r="F828" s="5">
        <f t="shared" si="50"/>
        <v>211600</v>
      </c>
      <c r="G828" s="6">
        <f>SQRT(SUM($F$2:F828)/A828)</f>
        <v>1150.9649529215421</v>
      </c>
      <c r="H828" s="5">
        <f t="shared" si="51"/>
        <v>1</v>
      </c>
      <c r="I828" s="5">
        <f t="shared" si="52"/>
        <v>1</v>
      </c>
    </row>
    <row r="829" spans="1:9">
      <c r="A829">
        <v>828</v>
      </c>
      <c r="B829">
        <v>14</v>
      </c>
      <c r="C829">
        <v>9000</v>
      </c>
      <c r="D829">
        <v>8964</v>
      </c>
      <c r="E829" s="5">
        <f t="shared" si="49"/>
        <v>36</v>
      </c>
      <c r="F829" s="5">
        <f t="shared" si="50"/>
        <v>1296</v>
      </c>
      <c r="G829" s="6">
        <f>SQRT(SUM($F$2:F829)/A829)</f>
        <v>1150.2703961675782</v>
      </c>
      <c r="H829" s="5">
        <f t="shared" si="51"/>
        <v>1</v>
      </c>
      <c r="I829" s="5">
        <f t="shared" si="52"/>
        <v>1</v>
      </c>
    </row>
    <row r="830" spans="1:9">
      <c r="A830">
        <v>829</v>
      </c>
      <c r="B830">
        <v>14</v>
      </c>
      <c r="C830">
        <v>9000</v>
      </c>
      <c r="D830">
        <v>8414</v>
      </c>
      <c r="E830" s="5">
        <f t="shared" si="49"/>
        <v>586</v>
      </c>
      <c r="F830" s="5">
        <f t="shared" si="50"/>
        <v>343396</v>
      </c>
      <c r="G830" s="6">
        <f>SQRT(SUM($F$2:F830)/A830)</f>
        <v>1149.7565688752964</v>
      </c>
      <c r="H830" s="5">
        <f t="shared" si="51"/>
        <v>1</v>
      </c>
      <c r="I830" s="5">
        <f t="shared" si="52"/>
        <v>1</v>
      </c>
    </row>
    <row r="831" spans="1:9">
      <c r="A831">
        <v>830</v>
      </c>
      <c r="B831">
        <v>15</v>
      </c>
      <c r="C831">
        <v>9000</v>
      </c>
      <c r="D831">
        <v>8851</v>
      </c>
      <c r="E831" s="5">
        <f t="shared" si="49"/>
        <v>149</v>
      </c>
      <c r="F831" s="5">
        <f t="shared" si="50"/>
        <v>22201</v>
      </c>
      <c r="G831" s="6">
        <f>SQRT(SUM($F$2:F831)/A831)</f>
        <v>1149.0753747546198</v>
      </c>
      <c r="H831" s="5">
        <f t="shared" si="51"/>
        <v>1</v>
      </c>
      <c r="I831" s="5">
        <f t="shared" si="52"/>
        <v>1</v>
      </c>
    </row>
    <row r="832" spans="1:9">
      <c r="A832">
        <v>831</v>
      </c>
      <c r="B832">
        <v>14</v>
      </c>
      <c r="C832">
        <v>9000</v>
      </c>
      <c r="D832">
        <v>8423</v>
      </c>
      <c r="E832" s="5">
        <f t="shared" si="49"/>
        <v>577</v>
      </c>
      <c r="F832" s="5">
        <f t="shared" si="50"/>
        <v>332929</v>
      </c>
      <c r="G832" s="6">
        <f>SQRT(SUM($F$2:F832)/A832)</f>
        <v>1148.5582072647999</v>
      </c>
      <c r="H832" s="5">
        <f t="shared" si="51"/>
        <v>1</v>
      </c>
      <c r="I832" s="5">
        <f t="shared" si="52"/>
        <v>1</v>
      </c>
    </row>
    <row r="833" spans="1:9">
      <c r="A833">
        <v>832</v>
      </c>
      <c r="B833">
        <v>15</v>
      </c>
      <c r="C833">
        <v>9000</v>
      </c>
      <c r="D833">
        <v>8729</v>
      </c>
      <c r="E833" s="5">
        <f t="shared" si="49"/>
        <v>271</v>
      </c>
      <c r="F833" s="5">
        <f t="shared" si="50"/>
        <v>73441</v>
      </c>
      <c r="G833" s="6">
        <f>SQRT(SUM($F$2:F833)/A833)</f>
        <v>1147.9062095247086</v>
      </c>
      <c r="H833" s="5">
        <f t="shared" si="51"/>
        <v>1</v>
      </c>
      <c r="I833" s="5">
        <f t="shared" si="52"/>
        <v>1</v>
      </c>
    </row>
    <row r="834" spans="1:9">
      <c r="A834">
        <v>833</v>
      </c>
      <c r="B834">
        <v>14</v>
      </c>
      <c r="C834">
        <v>9000</v>
      </c>
      <c r="D834">
        <v>7784</v>
      </c>
      <c r="E834" s="5">
        <f t="shared" si="49"/>
        <v>1216</v>
      </c>
      <c r="F834" s="5">
        <f t="shared" si="50"/>
        <v>1478656</v>
      </c>
      <c r="G834" s="6">
        <f>SQRT(SUM($F$2:F834)/A834)</f>
        <v>1147.9903762495505</v>
      </c>
      <c r="H834" s="5">
        <f t="shared" si="51"/>
        <v>1</v>
      </c>
      <c r="I834" s="5">
        <f t="shared" si="52"/>
        <v>0</v>
      </c>
    </row>
    <row r="835" spans="1:9">
      <c r="A835">
        <v>834</v>
      </c>
      <c r="B835">
        <v>16</v>
      </c>
      <c r="C835">
        <v>9000</v>
      </c>
      <c r="D835">
        <v>9386</v>
      </c>
      <c r="E835" s="5">
        <f t="shared" ref="E835:E898" si="53">ABS(C835-D835)</f>
        <v>386</v>
      </c>
      <c r="F835" s="5">
        <f t="shared" ref="F835:F898" si="54">POWER(E835,2)</f>
        <v>148996</v>
      </c>
      <c r="G835" s="6">
        <f>SQRT(SUM($F$2:F835)/A835)</f>
        <v>1147.37978111448</v>
      </c>
      <c r="H835" s="5">
        <f t="shared" ref="H835:H898" si="55">IF(ABS(E835)/C835&gt;0.2,0,1)</f>
        <v>1</v>
      </c>
      <c r="I835" s="5">
        <f t="shared" ref="I835:I898" si="56">IF(ABS(E835)/C835&gt;0.1,0,1)</f>
        <v>1</v>
      </c>
    </row>
    <row r="836" spans="1:9">
      <c r="A836">
        <v>835</v>
      </c>
      <c r="B836">
        <v>14</v>
      </c>
      <c r="C836">
        <v>9000</v>
      </c>
      <c r="D836">
        <v>8034</v>
      </c>
      <c r="E836" s="5">
        <f t="shared" si="53"/>
        <v>966</v>
      </c>
      <c r="F836" s="5">
        <f t="shared" si="54"/>
        <v>933156</v>
      </c>
      <c r="G836" s="6">
        <f>SQRT(SUM($F$2:F836)/A836)</f>
        <v>1147.1797117356828</v>
      </c>
      <c r="H836" s="5">
        <f t="shared" si="55"/>
        <v>1</v>
      </c>
      <c r="I836" s="5">
        <f t="shared" si="56"/>
        <v>0</v>
      </c>
    </row>
    <row r="837" spans="1:9">
      <c r="A837">
        <v>836</v>
      </c>
      <c r="B837">
        <v>16</v>
      </c>
      <c r="C837">
        <v>9000</v>
      </c>
      <c r="D837">
        <v>8876</v>
      </c>
      <c r="E837" s="5">
        <f t="shared" si="53"/>
        <v>124</v>
      </c>
      <c r="F837" s="5">
        <f t="shared" si="54"/>
        <v>15376</v>
      </c>
      <c r="G837" s="6">
        <f>SQRT(SUM($F$2:F837)/A837)</f>
        <v>1146.5014152696501</v>
      </c>
      <c r="H837" s="5">
        <f t="shared" si="55"/>
        <v>1</v>
      </c>
      <c r="I837" s="5">
        <f t="shared" si="56"/>
        <v>1</v>
      </c>
    </row>
    <row r="838" spans="1:9">
      <c r="A838">
        <v>837</v>
      </c>
      <c r="B838">
        <v>15</v>
      </c>
      <c r="C838">
        <v>9000</v>
      </c>
      <c r="D838">
        <v>8733</v>
      </c>
      <c r="E838" s="5">
        <f t="shared" si="53"/>
        <v>267</v>
      </c>
      <c r="F838" s="5">
        <f t="shared" si="54"/>
        <v>71289</v>
      </c>
      <c r="G838" s="6">
        <f>SQRT(SUM($F$2:F838)/A838)</f>
        <v>1145.8534891677875</v>
      </c>
      <c r="H838" s="5">
        <f t="shared" si="55"/>
        <v>1</v>
      </c>
      <c r="I838" s="5">
        <f t="shared" si="56"/>
        <v>1</v>
      </c>
    </row>
    <row r="839" spans="1:9">
      <c r="A839">
        <v>838</v>
      </c>
      <c r="B839">
        <v>15</v>
      </c>
      <c r="C839">
        <v>9000</v>
      </c>
      <c r="D839">
        <v>9543</v>
      </c>
      <c r="E839" s="5">
        <f t="shared" si="53"/>
        <v>543</v>
      </c>
      <c r="F839" s="5">
        <f t="shared" si="54"/>
        <v>294849</v>
      </c>
      <c r="G839" s="6">
        <f>SQRT(SUM($F$2:F839)/A839)</f>
        <v>1145.3232141698986</v>
      </c>
      <c r="H839" s="5">
        <f t="shared" si="55"/>
        <v>1</v>
      </c>
      <c r="I839" s="5">
        <f t="shared" si="56"/>
        <v>1</v>
      </c>
    </row>
    <row r="840" spans="1:9">
      <c r="A840">
        <v>839</v>
      </c>
      <c r="B840">
        <v>14</v>
      </c>
      <c r="C840">
        <v>9000</v>
      </c>
      <c r="D840">
        <v>8639</v>
      </c>
      <c r="E840" s="5">
        <f t="shared" si="53"/>
        <v>361</v>
      </c>
      <c r="F840" s="5">
        <f t="shared" si="54"/>
        <v>130321</v>
      </c>
      <c r="G840" s="6">
        <f>SQRT(SUM($F$2:F840)/A840)</f>
        <v>1144.7083066312396</v>
      </c>
      <c r="H840" s="5">
        <f t="shared" si="55"/>
        <v>1</v>
      </c>
      <c r="I840" s="5">
        <f t="shared" si="56"/>
        <v>1</v>
      </c>
    </row>
    <row r="841" spans="1:9">
      <c r="A841">
        <v>840</v>
      </c>
      <c r="B841">
        <v>15</v>
      </c>
      <c r="C841">
        <v>9000</v>
      </c>
      <c r="D841">
        <v>8301</v>
      </c>
      <c r="E841" s="5">
        <f t="shared" si="53"/>
        <v>699</v>
      </c>
      <c r="F841" s="5">
        <f t="shared" si="54"/>
        <v>488601</v>
      </c>
      <c r="G841" s="6">
        <f>SQRT(SUM($F$2:F841)/A841)</f>
        <v>1144.2809210113032</v>
      </c>
      <c r="H841" s="5">
        <f t="shared" si="55"/>
        <v>1</v>
      </c>
      <c r="I841" s="5">
        <f t="shared" si="56"/>
        <v>1</v>
      </c>
    </row>
    <row r="842" spans="1:9">
      <c r="A842">
        <v>841</v>
      </c>
      <c r="B842">
        <v>16</v>
      </c>
      <c r="C842">
        <v>9000</v>
      </c>
      <c r="D842">
        <v>9339</v>
      </c>
      <c r="E842" s="5">
        <f t="shared" si="53"/>
        <v>339</v>
      </c>
      <c r="F842" s="5">
        <f t="shared" si="54"/>
        <v>114921</v>
      </c>
      <c r="G842" s="6">
        <f>SQRT(SUM($F$2:F842)/A842)</f>
        <v>1143.6601520559827</v>
      </c>
      <c r="H842" s="5">
        <f t="shared" si="55"/>
        <v>1</v>
      </c>
      <c r="I842" s="5">
        <f t="shared" si="56"/>
        <v>1</v>
      </c>
    </row>
    <row r="843" spans="1:9">
      <c r="A843">
        <v>842</v>
      </c>
      <c r="B843">
        <v>15</v>
      </c>
      <c r="C843">
        <v>9000</v>
      </c>
      <c r="D843">
        <v>8329</v>
      </c>
      <c r="E843" s="5">
        <f t="shared" si="53"/>
        <v>671</v>
      </c>
      <c r="F843" s="5">
        <f t="shared" si="54"/>
        <v>450241</v>
      </c>
      <c r="G843" s="6">
        <f>SQRT(SUM($F$2:F843)/A843)</f>
        <v>1143.2147114538723</v>
      </c>
      <c r="H843" s="5">
        <f t="shared" si="55"/>
        <v>1</v>
      </c>
      <c r="I843" s="5">
        <f t="shared" si="56"/>
        <v>1</v>
      </c>
    </row>
    <row r="844" spans="1:9">
      <c r="A844">
        <v>843</v>
      </c>
      <c r="B844">
        <v>16</v>
      </c>
      <c r="C844">
        <v>9000</v>
      </c>
      <c r="D844">
        <v>9263</v>
      </c>
      <c r="E844" s="5">
        <f t="shared" si="53"/>
        <v>263</v>
      </c>
      <c r="F844" s="5">
        <f t="shared" si="54"/>
        <v>69169</v>
      </c>
      <c r="G844" s="6">
        <f>SQRT(SUM($F$2:F844)/A844)</f>
        <v>1142.5723537832923</v>
      </c>
      <c r="H844" s="5">
        <f t="shared" si="55"/>
        <v>1</v>
      </c>
      <c r="I844" s="5">
        <f t="shared" si="56"/>
        <v>1</v>
      </c>
    </row>
    <row r="845" spans="1:9">
      <c r="A845">
        <v>844</v>
      </c>
      <c r="B845">
        <v>15</v>
      </c>
      <c r="C845">
        <v>9000</v>
      </c>
      <c r="D845">
        <v>10107</v>
      </c>
      <c r="E845" s="5">
        <f t="shared" si="53"/>
        <v>1107</v>
      </c>
      <c r="F845" s="5">
        <f t="shared" si="54"/>
        <v>1225449</v>
      </c>
      <c r="G845" s="6">
        <f>SQRT(SUM($F$2:F845)/A845)</f>
        <v>1142.5308617898163</v>
      </c>
      <c r="H845" s="5">
        <f t="shared" si="55"/>
        <v>1</v>
      </c>
      <c r="I845" s="5">
        <f t="shared" si="56"/>
        <v>0</v>
      </c>
    </row>
    <row r="846" spans="1:9">
      <c r="A846">
        <v>845</v>
      </c>
      <c r="B846">
        <v>14</v>
      </c>
      <c r="C846">
        <v>9000</v>
      </c>
      <c r="D846">
        <v>8494</v>
      </c>
      <c r="E846" s="5">
        <f t="shared" si="53"/>
        <v>506</v>
      </c>
      <c r="F846" s="5">
        <f t="shared" si="54"/>
        <v>256036</v>
      </c>
      <c r="G846" s="6">
        <f>SQRT(SUM($F$2:F846)/A846)</f>
        <v>1141.9872795900847</v>
      </c>
      <c r="H846" s="5">
        <f t="shared" si="55"/>
        <v>1</v>
      </c>
      <c r="I846" s="5">
        <f t="shared" si="56"/>
        <v>1</v>
      </c>
    </row>
    <row r="847" spans="1:9">
      <c r="A847">
        <v>846</v>
      </c>
      <c r="B847">
        <v>15</v>
      </c>
      <c r="C847">
        <v>9000</v>
      </c>
      <c r="D847">
        <v>8861</v>
      </c>
      <c r="E847" s="5">
        <f t="shared" si="53"/>
        <v>139</v>
      </c>
      <c r="F847" s="5">
        <f t="shared" si="54"/>
        <v>19321</v>
      </c>
      <c r="G847" s="6">
        <f>SQRT(SUM($F$2:F847)/A847)</f>
        <v>1141.3221517771026</v>
      </c>
      <c r="H847" s="5">
        <f t="shared" si="55"/>
        <v>1</v>
      </c>
      <c r="I847" s="5">
        <f t="shared" si="56"/>
        <v>1</v>
      </c>
    </row>
    <row r="848" spans="1:9">
      <c r="A848">
        <v>847</v>
      </c>
      <c r="B848">
        <v>15</v>
      </c>
      <c r="C848">
        <v>9000</v>
      </c>
      <c r="D848">
        <v>9451</v>
      </c>
      <c r="E848" s="5">
        <f t="shared" si="53"/>
        <v>451</v>
      </c>
      <c r="F848" s="5">
        <f t="shared" si="54"/>
        <v>203401</v>
      </c>
      <c r="G848" s="6">
        <f>SQRT(SUM($F$2:F848)/A848)</f>
        <v>1140.7534700095559</v>
      </c>
      <c r="H848" s="5">
        <f t="shared" si="55"/>
        <v>1</v>
      </c>
      <c r="I848" s="5">
        <f t="shared" si="56"/>
        <v>1</v>
      </c>
    </row>
    <row r="849" spans="1:9">
      <c r="A849">
        <v>848</v>
      </c>
      <c r="B849">
        <v>14</v>
      </c>
      <c r="C849">
        <v>9000</v>
      </c>
      <c r="D849">
        <v>8132</v>
      </c>
      <c r="E849" s="5">
        <f t="shared" si="53"/>
        <v>868</v>
      </c>
      <c r="F849" s="5">
        <f t="shared" si="54"/>
        <v>753424</v>
      </c>
      <c r="G849" s="6">
        <f>SQRT(SUM($F$2:F849)/A849)</f>
        <v>1140.4702439601353</v>
      </c>
      <c r="H849" s="5">
        <f t="shared" si="55"/>
        <v>1</v>
      </c>
      <c r="I849" s="5">
        <f t="shared" si="56"/>
        <v>1</v>
      </c>
    </row>
    <row r="850" spans="1:9">
      <c r="A850">
        <v>849</v>
      </c>
      <c r="B850">
        <v>16</v>
      </c>
      <c r="C850">
        <v>9000</v>
      </c>
      <c r="D850">
        <v>9806</v>
      </c>
      <c r="E850" s="5">
        <f t="shared" si="53"/>
        <v>806</v>
      </c>
      <c r="F850" s="5">
        <f t="shared" si="54"/>
        <v>649636</v>
      </c>
      <c r="G850" s="6">
        <f>SQRT(SUM($F$2:F850)/A850)</f>
        <v>1140.1340053076624</v>
      </c>
      <c r="H850" s="5">
        <f t="shared" si="55"/>
        <v>1</v>
      </c>
      <c r="I850" s="5">
        <f t="shared" si="56"/>
        <v>1</v>
      </c>
    </row>
    <row r="851" spans="1:9">
      <c r="A851">
        <v>850</v>
      </c>
      <c r="B851">
        <v>14</v>
      </c>
      <c r="C851">
        <v>9000</v>
      </c>
      <c r="D851">
        <v>8782</v>
      </c>
      <c r="E851" s="5">
        <f t="shared" si="53"/>
        <v>218</v>
      </c>
      <c r="F851" s="5">
        <f t="shared" si="54"/>
        <v>47524</v>
      </c>
      <c r="G851" s="6">
        <f>SQRT(SUM($F$2:F851)/A851)</f>
        <v>1139.487674351943</v>
      </c>
      <c r="H851" s="5">
        <f t="shared" si="55"/>
        <v>1</v>
      </c>
      <c r="I851" s="5">
        <f t="shared" si="56"/>
        <v>1</v>
      </c>
    </row>
    <row r="852" spans="1:9">
      <c r="A852">
        <v>851</v>
      </c>
      <c r="B852">
        <v>15</v>
      </c>
      <c r="C852">
        <v>9000</v>
      </c>
      <c r="D852">
        <v>8947</v>
      </c>
      <c r="E852" s="5">
        <f t="shared" si="53"/>
        <v>53</v>
      </c>
      <c r="F852" s="5">
        <f t="shared" si="54"/>
        <v>2809</v>
      </c>
      <c r="G852" s="6">
        <f>SQRT(SUM($F$2:F852)/A852)</f>
        <v>1138.8194275659532</v>
      </c>
      <c r="H852" s="5">
        <f t="shared" si="55"/>
        <v>1</v>
      </c>
      <c r="I852" s="5">
        <f t="shared" si="56"/>
        <v>1</v>
      </c>
    </row>
    <row r="853" spans="1:9">
      <c r="A853">
        <v>852</v>
      </c>
      <c r="B853">
        <v>15</v>
      </c>
      <c r="C853">
        <v>9000</v>
      </c>
      <c r="D853">
        <v>9104</v>
      </c>
      <c r="E853" s="5">
        <f t="shared" si="53"/>
        <v>104</v>
      </c>
      <c r="F853" s="5">
        <f t="shared" si="54"/>
        <v>10816</v>
      </c>
      <c r="G853" s="6">
        <f>SQRT(SUM($F$2:F853)/A853)</f>
        <v>1138.1564870294137</v>
      </c>
      <c r="H853" s="5">
        <f t="shared" si="55"/>
        <v>1</v>
      </c>
      <c r="I853" s="5">
        <f t="shared" si="56"/>
        <v>1</v>
      </c>
    </row>
    <row r="854" spans="1:9">
      <c r="A854">
        <v>853</v>
      </c>
      <c r="B854">
        <v>15</v>
      </c>
      <c r="C854">
        <v>9000</v>
      </c>
      <c r="D854">
        <v>7618</v>
      </c>
      <c r="E854" s="5">
        <f t="shared" si="53"/>
        <v>1382</v>
      </c>
      <c r="F854" s="5">
        <f t="shared" si="54"/>
        <v>1909924</v>
      </c>
      <c r="G854" s="6">
        <f>SQRT(SUM($F$2:F854)/A854)</f>
        <v>1138.4729313755311</v>
      </c>
      <c r="H854" s="5">
        <f t="shared" si="55"/>
        <v>1</v>
      </c>
      <c r="I854" s="5">
        <f t="shared" si="56"/>
        <v>0</v>
      </c>
    </row>
    <row r="855" spans="1:9">
      <c r="A855">
        <v>854</v>
      </c>
      <c r="B855">
        <v>16</v>
      </c>
      <c r="C855">
        <v>9000</v>
      </c>
      <c r="D855">
        <v>6539</v>
      </c>
      <c r="E855" s="5">
        <f t="shared" si="53"/>
        <v>2461</v>
      </c>
      <c r="F855" s="5">
        <f t="shared" si="54"/>
        <v>6056521</v>
      </c>
      <c r="G855" s="6">
        <f>SQRT(SUM($F$2:F855)/A855)</f>
        <v>1140.9184260064069</v>
      </c>
      <c r="H855" s="5">
        <f t="shared" si="55"/>
        <v>0</v>
      </c>
      <c r="I855" s="5">
        <f t="shared" si="56"/>
        <v>0</v>
      </c>
    </row>
    <row r="856" spans="1:9">
      <c r="A856">
        <v>855</v>
      </c>
      <c r="B856">
        <v>18</v>
      </c>
      <c r="C856">
        <v>9000</v>
      </c>
      <c r="D856">
        <v>7187</v>
      </c>
      <c r="E856" s="5">
        <f t="shared" si="53"/>
        <v>1813</v>
      </c>
      <c r="F856" s="5">
        <f t="shared" si="54"/>
        <v>3286969</v>
      </c>
      <c r="G856" s="6">
        <f>SQRT(SUM($F$2:F856)/A856)</f>
        <v>1141.935555478284</v>
      </c>
      <c r="H856" s="5">
        <f t="shared" si="55"/>
        <v>0</v>
      </c>
      <c r="I856" s="5">
        <f t="shared" si="56"/>
        <v>0</v>
      </c>
    </row>
    <row r="857" spans="1:9">
      <c r="A857">
        <v>856</v>
      </c>
      <c r="B857">
        <v>18</v>
      </c>
      <c r="C857">
        <v>9000</v>
      </c>
      <c r="D857">
        <v>10335</v>
      </c>
      <c r="E857" s="5">
        <f t="shared" si="53"/>
        <v>1335</v>
      </c>
      <c r="F857" s="5">
        <f t="shared" si="54"/>
        <v>1782225</v>
      </c>
      <c r="G857" s="6">
        <f>SQRT(SUM($F$2:F857)/A857)</f>
        <v>1142.1801378459177</v>
      </c>
      <c r="H857" s="5">
        <f t="shared" si="55"/>
        <v>1</v>
      </c>
      <c r="I857" s="5">
        <f t="shared" si="56"/>
        <v>0</v>
      </c>
    </row>
    <row r="858" spans="1:9">
      <c r="A858">
        <v>857</v>
      </c>
      <c r="B858">
        <v>15</v>
      </c>
      <c r="C858">
        <v>9000</v>
      </c>
      <c r="D858">
        <v>8609</v>
      </c>
      <c r="E858" s="5">
        <f t="shared" si="53"/>
        <v>391</v>
      </c>
      <c r="F858" s="5">
        <f t="shared" si="54"/>
        <v>152881</v>
      </c>
      <c r="G858" s="6">
        <f>SQRT(SUM($F$2:F858)/A858)</f>
        <v>1141.5916957330357</v>
      </c>
      <c r="H858" s="5">
        <f t="shared" si="55"/>
        <v>1</v>
      </c>
      <c r="I858" s="5">
        <f t="shared" si="56"/>
        <v>1</v>
      </c>
    </row>
    <row r="859" spans="1:9">
      <c r="A859">
        <v>858</v>
      </c>
      <c r="B859">
        <v>16</v>
      </c>
      <c r="C859">
        <v>9000</v>
      </c>
      <c r="D859">
        <v>9571</v>
      </c>
      <c r="E859" s="5">
        <f t="shared" si="53"/>
        <v>571</v>
      </c>
      <c r="F859" s="5">
        <f t="shared" si="54"/>
        <v>326041</v>
      </c>
      <c r="G859" s="6">
        <f>SQRT(SUM($F$2:F859)/A859)</f>
        <v>1141.0927582732627</v>
      </c>
      <c r="H859" s="5">
        <f t="shared" si="55"/>
        <v>1</v>
      </c>
      <c r="I859" s="5">
        <f t="shared" si="56"/>
        <v>1</v>
      </c>
    </row>
    <row r="860" spans="1:9">
      <c r="A860">
        <v>859</v>
      </c>
      <c r="B860">
        <v>15</v>
      </c>
      <c r="C860">
        <v>9000</v>
      </c>
      <c r="D860">
        <v>8475</v>
      </c>
      <c r="E860" s="5">
        <f t="shared" si="53"/>
        <v>525</v>
      </c>
      <c r="F860" s="5">
        <f t="shared" si="54"/>
        <v>275625</v>
      </c>
      <c r="G860" s="6">
        <f>SQRT(SUM($F$2:F860)/A860)</f>
        <v>1140.5690362385246</v>
      </c>
      <c r="H860" s="5">
        <f t="shared" si="55"/>
        <v>1</v>
      </c>
      <c r="I860" s="5">
        <f t="shared" si="56"/>
        <v>1</v>
      </c>
    </row>
    <row r="861" spans="1:9">
      <c r="A861">
        <v>860</v>
      </c>
      <c r="B861">
        <v>16</v>
      </c>
      <c r="C861">
        <v>9000</v>
      </c>
      <c r="D861">
        <v>8774</v>
      </c>
      <c r="E861" s="5">
        <f t="shared" si="53"/>
        <v>226</v>
      </c>
      <c r="F861" s="5">
        <f t="shared" si="54"/>
        <v>51076</v>
      </c>
      <c r="G861" s="6">
        <f>SQRT(SUM($F$2:F861)/A861)</f>
        <v>1139.9317722341268</v>
      </c>
      <c r="H861" s="5">
        <f t="shared" si="55"/>
        <v>1</v>
      </c>
      <c r="I861" s="5">
        <f t="shared" si="56"/>
        <v>1</v>
      </c>
    </row>
    <row r="862" spans="1:9">
      <c r="A862">
        <v>861</v>
      </c>
      <c r="B862">
        <v>16</v>
      </c>
      <c r="C862">
        <v>9000</v>
      </c>
      <c r="D862">
        <v>9379</v>
      </c>
      <c r="E862" s="5">
        <f t="shared" si="53"/>
        <v>379</v>
      </c>
      <c r="F862" s="5">
        <f t="shared" si="54"/>
        <v>143641</v>
      </c>
      <c r="G862" s="6">
        <f>SQRT(SUM($F$2:F862)/A862)</f>
        <v>1139.342814424389</v>
      </c>
      <c r="H862" s="5">
        <f t="shared" si="55"/>
        <v>1</v>
      </c>
      <c r="I862" s="5">
        <f t="shared" si="56"/>
        <v>1</v>
      </c>
    </row>
    <row r="863" spans="1:9">
      <c r="A863">
        <v>862</v>
      </c>
      <c r="B863">
        <v>16</v>
      </c>
      <c r="C863">
        <v>9000</v>
      </c>
      <c r="D863">
        <v>8958</v>
      </c>
      <c r="E863" s="5">
        <f t="shared" si="53"/>
        <v>42</v>
      </c>
      <c r="F863" s="5">
        <f t="shared" si="54"/>
        <v>1764</v>
      </c>
      <c r="G863" s="6">
        <f>SQRT(SUM($F$2:F863)/A863)</f>
        <v>1138.6826495271221</v>
      </c>
      <c r="H863" s="5">
        <f t="shared" si="55"/>
        <v>1</v>
      </c>
      <c r="I863" s="5">
        <f t="shared" si="56"/>
        <v>1</v>
      </c>
    </row>
    <row r="864" spans="1:9">
      <c r="A864">
        <v>863</v>
      </c>
      <c r="B864">
        <v>16</v>
      </c>
      <c r="C864">
        <v>9000</v>
      </c>
      <c r="D864">
        <v>9419</v>
      </c>
      <c r="E864" s="5">
        <f t="shared" si="53"/>
        <v>419</v>
      </c>
      <c r="F864" s="5">
        <f t="shared" si="54"/>
        <v>175561</v>
      </c>
      <c r="G864" s="6">
        <f>SQRT(SUM($F$2:F864)/A864)</f>
        <v>1138.1121105276843</v>
      </c>
      <c r="H864" s="5">
        <f t="shared" si="55"/>
        <v>1</v>
      </c>
      <c r="I864" s="5">
        <f t="shared" si="56"/>
        <v>1</v>
      </c>
    </row>
    <row r="865" spans="1:9">
      <c r="A865">
        <v>864</v>
      </c>
      <c r="B865">
        <v>15</v>
      </c>
      <c r="C865">
        <v>9000</v>
      </c>
      <c r="D865">
        <v>9645</v>
      </c>
      <c r="E865" s="5">
        <f t="shared" si="53"/>
        <v>645</v>
      </c>
      <c r="F865" s="5">
        <f t="shared" si="54"/>
        <v>416025</v>
      </c>
      <c r="G865" s="6">
        <f>SQRT(SUM($F$2:F865)/A865)</f>
        <v>1137.6649320802612</v>
      </c>
      <c r="H865" s="5">
        <f t="shared" si="55"/>
        <v>1</v>
      </c>
      <c r="I865" s="5">
        <f t="shared" si="56"/>
        <v>1</v>
      </c>
    </row>
    <row r="866" spans="1:9">
      <c r="A866">
        <v>865</v>
      </c>
      <c r="B866">
        <v>15</v>
      </c>
      <c r="C866">
        <v>9000</v>
      </c>
      <c r="D866">
        <v>8175</v>
      </c>
      <c r="E866" s="5">
        <f t="shared" si="53"/>
        <v>825</v>
      </c>
      <c r="F866" s="5">
        <f t="shared" si="54"/>
        <v>680625</v>
      </c>
      <c r="G866" s="6">
        <f>SQRT(SUM($F$2:F866)/A866)</f>
        <v>1137.35309741878</v>
      </c>
      <c r="H866" s="5">
        <f t="shared" si="55"/>
        <v>1</v>
      </c>
      <c r="I866" s="5">
        <f t="shared" si="56"/>
        <v>1</v>
      </c>
    </row>
    <row r="867" spans="1:9">
      <c r="A867">
        <v>866</v>
      </c>
      <c r="B867">
        <v>17</v>
      </c>
      <c r="C867">
        <v>9000</v>
      </c>
      <c r="D867">
        <v>10194</v>
      </c>
      <c r="E867" s="5">
        <f t="shared" si="53"/>
        <v>1194</v>
      </c>
      <c r="F867" s="5">
        <f t="shared" si="54"/>
        <v>1425636</v>
      </c>
      <c r="G867" s="6">
        <f>SQRT(SUM($F$2:F867)/A867)</f>
        <v>1137.4201365258996</v>
      </c>
      <c r="H867" s="5">
        <f t="shared" si="55"/>
        <v>1</v>
      </c>
      <c r="I867" s="5">
        <f t="shared" si="56"/>
        <v>0</v>
      </c>
    </row>
    <row r="868" spans="1:9">
      <c r="A868">
        <v>867</v>
      </c>
      <c r="B868">
        <v>15</v>
      </c>
      <c r="C868">
        <v>9000</v>
      </c>
      <c r="D868">
        <v>8793</v>
      </c>
      <c r="E868" s="5">
        <f t="shared" si="53"/>
        <v>207</v>
      </c>
      <c r="F868" s="5">
        <f t="shared" si="54"/>
        <v>42849</v>
      </c>
      <c r="G868" s="6">
        <f>SQRT(SUM($F$2:F868)/A868)</f>
        <v>1136.7857335142664</v>
      </c>
      <c r="H868" s="5">
        <f t="shared" si="55"/>
        <v>1</v>
      </c>
      <c r="I868" s="5">
        <f t="shared" si="56"/>
        <v>1</v>
      </c>
    </row>
    <row r="869" spans="1:9">
      <c r="A869">
        <v>868</v>
      </c>
      <c r="B869">
        <v>16</v>
      </c>
      <c r="C869">
        <v>9000</v>
      </c>
      <c r="D869">
        <v>9098</v>
      </c>
      <c r="E869" s="5">
        <f t="shared" si="53"/>
        <v>98</v>
      </c>
      <c r="F869" s="5">
        <f t="shared" si="54"/>
        <v>9604</v>
      </c>
      <c r="G869" s="6">
        <f>SQRT(SUM($F$2:F869)/A869)</f>
        <v>1136.1355836853843</v>
      </c>
      <c r="H869" s="5">
        <f t="shared" si="55"/>
        <v>1</v>
      </c>
      <c r="I869" s="5">
        <f t="shared" si="56"/>
        <v>1</v>
      </c>
    </row>
    <row r="870" spans="1:9">
      <c r="A870">
        <v>869</v>
      </c>
      <c r="B870">
        <v>16</v>
      </c>
      <c r="C870">
        <v>9000</v>
      </c>
      <c r="D870">
        <v>9679</v>
      </c>
      <c r="E870" s="5">
        <f t="shared" si="53"/>
        <v>679</v>
      </c>
      <c r="F870" s="5">
        <f t="shared" si="54"/>
        <v>461041</v>
      </c>
      <c r="G870" s="6">
        <f>SQRT(SUM($F$2:F870)/A870)</f>
        <v>1135.7152884154643</v>
      </c>
      <c r="H870" s="5">
        <f t="shared" si="55"/>
        <v>1</v>
      </c>
      <c r="I870" s="5">
        <f t="shared" si="56"/>
        <v>1</v>
      </c>
    </row>
    <row r="871" spans="1:9">
      <c r="A871">
        <v>870</v>
      </c>
      <c r="B871">
        <v>15</v>
      </c>
      <c r="C871">
        <v>9000</v>
      </c>
      <c r="D871">
        <v>8772</v>
      </c>
      <c r="E871" s="5">
        <f t="shared" si="53"/>
        <v>228</v>
      </c>
      <c r="F871" s="5">
        <f t="shared" si="54"/>
        <v>51984</v>
      </c>
      <c r="G871" s="6">
        <f>SQRT(SUM($F$2:F871)/A871)</f>
        <v>1135.0887114048051</v>
      </c>
      <c r="H871" s="5">
        <f t="shared" si="55"/>
        <v>1</v>
      </c>
      <c r="I871" s="5">
        <f t="shared" si="56"/>
        <v>1</v>
      </c>
    </row>
    <row r="872" spans="1:9">
      <c r="A872">
        <v>871</v>
      </c>
      <c r="B872">
        <v>16</v>
      </c>
      <c r="C872">
        <v>9000</v>
      </c>
      <c r="D872">
        <v>9158</v>
      </c>
      <c r="E872" s="5">
        <f t="shared" si="53"/>
        <v>158</v>
      </c>
      <c r="F872" s="5">
        <f t="shared" si="54"/>
        <v>24964</v>
      </c>
      <c r="G872" s="6">
        <f>SQRT(SUM($F$2:F872)/A872)</f>
        <v>1134.4495557269581</v>
      </c>
      <c r="H872" s="5">
        <f t="shared" si="55"/>
        <v>1</v>
      </c>
      <c r="I872" s="5">
        <f t="shared" si="56"/>
        <v>1</v>
      </c>
    </row>
    <row r="873" spans="1:9">
      <c r="A873">
        <v>872</v>
      </c>
      <c r="B873">
        <v>15</v>
      </c>
      <c r="C873">
        <v>9000</v>
      </c>
      <c r="D873">
        <v>8456</v>
      </c>
      <c r="E873" s="5">
        <f t="shared" si="53"/>
        <v>544</v>
      </c>
      <c r="F873" s="5">
        <f t="shared" si="54"/>
        <v>295936</v>
      </c>
      <c r="G873" s="6">
        <f>SQRT(SUM($F$2:F873)/A873)</f>
        <v>1133.9485354121248</v>
      </c>
      <c r="H873" s="5">
        <f t="shared" si="55"/>
        <v>1</v>
      </c>
      <c r="I873" s="5">
        <f t="shared" si="56"/>
        <v>1</v>
      </c>
    </row>
    <row r="874" spans="1:9">
      <c r="A874">
        <v>873</v>
      </c>
      <c r="B874">
        <v>16</v>
      </c>
      <c r="C874">
        <v>9000</v>
      </c>
      <c r="D874">
        <v>9632</v>
      </c>
      <c r="E874" s="5">
        <f t="shared" si="53"/>
        <v>632</v>
      </c>
      <c r="F874" s="5">
        <f t="shared" si="54"/>
        <v>399424</v>
      </c>
      <c r="G874" s="6">
        <f>SQRT(SUM($F$2:F874)/A874)</f>
        <v>1133.5007340488787</v>
      </c>
      <c r="H874" s="5">
        <f t="shared" si="55"/>
        <v>1</v>
      </c>
      <c r="I874" s="5">
        <f t="shared" si="56"/>
        <v>1</v>
      </c>
    </row>
    <row r="875" spans="1:9">
      <c r="A875">
        <v>874</v>
      </c>
      <c r="B875">
        <v>15</v>
      </c>
      <c r="C875">
        <v>9000</v>
      </c>
      <c r="D875">
        <v>9033</v>
      </c>
      <c r="E875" s="5">
        <f t="shared" si="53"/>
        <v>33</v>
      </c>
      <c r="F875" s="5">
        <f t="shared" si="54"/>
        <v>1089</v>
      </c>
      <c r="G875" s="6">
        <f>SQRT(SUM($F$2:F875)/A875)</f>
        <v>1132.8526425973578</v>
      </c>
      <c r="H875" s="5">
        <f t="shared" si="55"/>
        <v>1</v>
      </c>
      <c r="I875" s="5">
        <f t="shared" si="56"/>
        <v>1</v>
      </c>
    </row>
    <row r="876" spans="1:9">
      <c r="A876">
        <v>875</v>
      </c>
      <c r="B876">
        <v>15</v>
      </c>
      <c r="C876">
        <v>9000</v>
      </c>
      <c r="D876">
        <v>9243</v>
      </c>
      <c r="E876" s="5">
        <f t="shared" si="53"/>
        <v>243</v>
      </c>
      <c r="F876" s="5">
        <f t="shared" si="54"/>
        <v>59049</v>
      </c>
      <c r="G876" s="6">
        <f>SQRT(SUM($F$2:F876)/A876)</f>
        <v>1132.2349150494977</v>
      </c>
      <c r="H876" s="5">
        <f t="shared" si="55"/>
        <v>1</v>
      </c>
      <c r="I876" s="5">
        <f t="shared" si="56"/>
        <v>1</v>
      </c>
    </row>
    <row r="877" spans="1:9">
      <c r="A877">
        <v>876</v>
      </c>
      <c r="B877">
        <v>15</v>
      </c>
      <c r="C877">
        <v>9000</v>
      </c>
      <c r="D877">
        <v>8701</v>
      </c>
      <c r="E877" s="5">
        <f t="shared" si="53"/>
        <v>299</v>
      </c>
      <c r="F877" s="5">
        <f t="shared" si="54"/>
        <v>89401</v>
      </c>
      <c r="G877" s="6">
        <f>SQRT(SUM($F$2:F877)/A877)</f>
        <v>1131.6335709110019</v>
      </c>
      <c r="H877" s="5">
        <f t="shared" si="55"/>
        <v>1</v>
      </c>
      <c r="I877" s="5">
        <f t="shared" si="56"/>
        <v>1</v>
      </c>
    </row>
    <row r="878" spans="1:9">
      <c r="A878">
        <v>877</v>
      </c>
      <c r="B878">
        <v>16</v>
      </c>
      <c r="C878">
        <v>9000</v>
      </c>
      <c r="D878">
        <v>9441</v>
      </c>
      <c r="E878" s="5">
        <f t="shared" si="53"/>
        <v>441</v>
      </c>
      <c r="F878" s="5">
        <f t="shared" si="54"/>
        <v>194481</v>
      </c>
      <c r="G878" s="6">
        <f>SQRT(SUM($F$2:F878)/A878)</f>
        <v>1131.0862464557345</v>
      </c>
      <c r="H878" s="5">
        <f t="shared" si="55"/>
        <v>1</v>
      </c>
      <c r="I878" s="5">
        <f t="shared" si="56"/>
        <v>1</v>
      </c>
    </row>
    <row r="879" spans="1:9">
      <c r="A879">
        <v>878</v>
      </c>
      <c r="B879">
        <v>15</v>
      </c>
      <c r="C879">
        <v>9000</v>
      </c>
      <c r="D879">
        <v>8585</v>
      </c>
      <c r="E879" s="5">
        <f t="shared" si="53"/>
        <v>415</v>
      </c>
      <c r="F879" s="5">
        <f t="shared" si="54"/>
        <v>172225</v>
      </c>
      <c r="G879" s="6">
        <f>SQRT(SUM($F$2:F879)/A879)</f>
        <v>1130.5286938254342</v>
      </c>
      <c r="H879" s="5">
        <f t="shared" si="55"/>
        <v>1</v>
      </c>
      <c r="I879" s="5">
        <f t="shared" si="56"/>
        <v>1</v>
      </c>
    </row>
    <row r="880" spans="1:9">
      <c r="A880">
        <v>879</v>
      </c>
      <c r="B880">
        <v>16</v>
      </c>
      <c r="C880">
        <v>9000</v>
      </c>
      <c r="D880">
        <v>9294</v>
      </c>
      <c r="E880" s="5">
        <f t="shared" si="53"/>
        <v>294</v>
      </c>
      <c r="F880" s="5">
        <f t="shared" si="54"/>
        <v>86436</v>
      </c>
      <c r="G880" s="6">
        <f>SQRT(SUM($F$2:F880)/A880)</f>
        <v>1129.928948605386</v>
      </c>
      <c r="H880" s="5">
        <f t="shared" si="55"/>
        <v>1</v>
      </c>
      <c r="I880" s="5">
        <f t="shared" si="56"/>
        <v>1</v>
      </c>
    </row>
    <row r="881" spans="1:9">
      <c r="A881">
        <v>880</v>
      </c>
      <c r="B881">
        <v>15</v>
      </c>
      <c r="C881">
        <v>9000</v>
      </c>
      <c r="D881">
        <v>9015</v>
      </c>
      <c r="E881" s="5">
        <f t="shared" si="53"/>
        <v>15</v>
      </c>
      <c r="F881" s="5">
        <f t="shared" si="54"/>
        <v>225</v>
      </c>
      <c r="G881" s="6">
        <f>SQRT(SUM($F$2:F881)/A881)</f>
        <v>1129.2868742344356</v>
      </c>
      <c r="H881" s="5">
        <f t="shared" si="55"/>
        <v>1</v>
      </c>
      <c r="I881" s="5">
        <f t="shared" si="56"/>
        <v>1</v>
      </c>
    </row>
    <row r="882" spans="1:9">
      <c r="A882">
        <v>881</v>
      </c>
      <c r="B882">
        <v>15</v>
      </c>
      <c r="C882">
        <v>9000</v>
      </c>
      <c r="D882">
        <v>8932</v>
      </c>
      <c r="E882" s="5">
        <f t="shared" si="53"/>
        <v>68</v>
      </c>
      <c r="F882" s="5">
        <f t="shared" si="54"/>
        <v>4624</v>
      </c>
      <c r="G882" s="6">
        <f>SQRT(SUM($F$2:F882)/A882)</f>
        <v>1128.6481054653341</v>
      </c>
      <c r="H882" s="5">
        <f t="shared" si="55"/>
        <v>1</v>
      </c>
      <c r="I882" s="5">
        <f t="shared" si="56"/>
        <v>1</v>
      </c>
    </row>
    <row r="883" spans="1:9">
      <c r="A883">
        <v>882</v>
      </c>
      <c r="B883">
        <v>15</v>
      </c>
      <c r="C883">
        <v>9000</v>
      </c>
      <c r="D883">
        <v>8974</v>
      </c>
      <c r="E883" s="5">
        <f t="shared" si="53"/>
        <v>26</v>
      </c>
      <c r="F883" s="5">
        <f t="shared" si="54"/>
        <v>676</v>
      </c>
      <c r="G883" s="6">
        <f>SQRT(SUM($F$2:F883)/A883)</f>
        <v>1128.0084405491448</v>
      </c>
      <c r="H883" s="5">
        <f t="shared" si="55"/>
        <v>1</v>
      </c>
      <c r="I883" s="5">
        <f t="shared" si="56"/>
        <v>1</v>
      </c>
    </row>
    <row r="884" spans="1:9">
      <c r="A884">
        <v>883</v>
      </c>
      <c r="B884">
        <v>15</v>
      </c>
      <c r="C884">
        <v>9000</v>
      </c>
      <c r="D884">
        <v>8660</v>
      </c>
      <c r="E884" s="5">
        <f t="shared" si="53"/>
        <v>340</v>
      </c>
      <c r="F884" s="5">
        <f t="shared" si="54"/>
        <v>115600</v>
      </c>
      <c r="G884" s="6">
        <f>SQRT(SUM($F$2:F884)/A884)</f>
        <v>1127.4275849161659</v>
      </c>
      <c r="H884" s="5">
        <f t="shared" si="55"/>
        <v>1</v>
      </c>
      <c r="I884" s="5">
        <f t="shared" si="56"/>
        <v>1</v>
      </c>
    </row>
    <row r="885" spans="1:9">
      <c r="A885">
        <v>884</v>
      </c>
      <c r="B885">
        <v>16</v>
      </c>
      <c r="C885">
        <v>9000</v>
      </c>
      <c r="D885">
        <v>9742</v>
      </c>
      <c r="E885" s="5">
        <f t="shared" si="53"/>
        <v>742</v>
      </c>
      <c r="F885" s="5">
        <f t="shared" si="54"/>
        <v>550564</v>
      </c>
      <c r="G885" s="6">
        <f>SQRT(SUM($F$2:F885)/A885)</f>
        <v>1127.066050070589</v>
      </c>
      <c r="H885" s="5">
        <f t="shared" si="55"/>
        <v>1</v>
      </c>
      <c r="I885" s="5">
        <f t="shared" si="56"/>
        <v>1</v>
      </c>
    </row>
    <row r="886" spans="1:9">
      <c r="A886">
        <v>885</v>
      </c>
      <c r="B886">
        <v>15</v>
      </c>
      <c r="C886">
        <v>9000</v>
      </c>
      <c r="D886">
        <v>9139</v>
      </c>
      <c r="E886" s="5">
        <f t="shared" si="53"/>
        <v>139</v>
      </c>
      <c r="F886" s="5">
        <f t="shared" si="54"/>
        <v>19321</v>
      </c>
      <c r="G886" s="6">
        <f>SQRT(SUM($F$2:F886)/A886)</f>
        <v>1126.4388002112983</v>
      </c>
      <c r="H886" s="5">
        <f t="shared" si="55"/>
        <v>1</v>
      </c>
      <c r="I886" s="5">
        <f t="shared" si="56"/>
        <v>1</v>
      </c>
    </row>
    <row r="887" spans="1:9">
      <c r="A887">
        <v>886</v>
      </c>
      <c r="B887">
        <v>15</v>
      </c>
      <c r="C887">
        <v>9000</v>
      </c>
      <c r="D887">
        <v>9190</v>
      </c>
      <c r="E887" s="5">
        <f t="shared" si="53"/>
        <v>190</v>
      </c>
      <c r="F887" s="5">
        <f t="shared" si="54"/>
        <v>36100</v>
      </c>
      <c r="G887" s="6">
        <f>SQRT(SUM($F$2:F887)/A887)</f>
        <v>1125.8210287222912</v>
      </c>
      <c r="H887" s="5">
        <f t="shared" si="55"/>
        <v>1</v>
      </c>
      <c r="I887" s="5">
        <f t="shared" si="56"/>
        <v>1</v>
      </c>
    </row>
    <row r="888" spans="1:9">
      <c r="A888">
        <v>887</v>
      </c>
      <c r="B888">
        <v>15</v>
      </c>
      <c r="C888">
        <v>9000</v>
      </c>
      <c r="D888">
        <v>9113</v>
      </c>
      <c r="E888" s="5">
        <f t="shared" si="53"/>
        <v>113</v>
      </c>
      <c r="F888" s="5">
        <f t="shared" si="54"/>
        <v>12769</v>
      </c>
      <c r="G888" s="6">
        <f>SQRT(SUM($F$2:F888)/A888)</f>
        <v>1125.1926238701199</v>
      </c>
      <c r="H888" s="5">
        <f t="shared" si="55"/>
        <v>1</v>
      </c>
      <c r="I888" s="5">
        <f t="shared" si="56"/>
        <v>1</v>
      </c>
    </row>
    <row r="889" spans="1:9">
      <c r="A889">
        <v>888</v>
      </c>
      <c r="B889">
        <v>15</v>
      </c>
      <c r="C889">
        <v>9000</v>
      </c>
      <c r="D889">
        <v>8098</v>
      </c>
      <c r="E889" s="5">
        <f t="shared" si="53"/>
        <v>902</v>
      </c>
      <c r="F889" s="5">
        <f t="shared" si="54"/>
        <v>813604</v>
      </c>
      <c r="G889" s="6">
        <f>SQRT(SUM($F$2:F889)/A889)</f>
        <v>1124.9661861785203</v>
      </c>
      <c r="H889" s="5">
        <f t="shared" si="55"/>
        <v>1</v>
      </c>
      <c r="I889" s="5">
        <f t="shared" si="56"/>
        <v>0</v>
      </c>
    </row>
    <row r="890" spans="1:9">
      <c r="A890">
        <v>889</v>
      </c>
      <c r="B890">
        <v>16</v>
      </c>
      <c r="C890">
        <v>9000</v>
      </c>
      <c r="D890">
        <v>9969</v>
      </c>
      <c r="E890" s="5">
        <f t="shared" si="53"/>
        <v>969</v>
      </c>
      <c r="F890" s="5">
        <f t="shared" si="54"/>
        <v>938961</v>
      </c>
      <c r="G890" s="6">
        <f>SQRT(SUM($F$2:F890)/A890)</f>
        <v>1124.8028958691743</v>
      </c>
      <c r="H890" s="5">
        <f t="shared" si="55"/>
        <v>1</v>
      </c>
      <c r="I890" s="5">
        <f t="shared" si="56"/>
        <v>0</v>
      </c>
    </row>
    <row r="891" spans="1:9">
      <c r="A891">
        <v>890</v>
      </c>
      <c r="B891">
        <v>14</v>
      </c>
      <c r="C891">
        <v>9000</v>
      </c>
      <c r="D891">
        <v>9037</v>
      </c>
      <c r="E891" s="5">
        <f t="shared" si="53"/>
        <v>37</v>
      </c>
      <c r="F891" s="5">
        <f t="shared" si="54"/>
        <v>1369</v>
      </c>
      <c r="G891" s="6">
        <f>SQRT(SUM($F$2:F891)/A891)</f>
        <v>1124.1714906763284</v>
      </c>
      <c r="H891" s="5">
        <f t="shared" si="55"/>
        <v>1</v>
      </c>
      <c r="I891" s="5">
        <f t="shared" si="56"/>
        <v>1</v>
      </c>
    </row>
    <row r="892" spans="1:9">
      <c r="A892">
        <v>891</v>
      </c>
      <c r="B892">
        <v>15</v>
      </c>
      <c r="C892">
        <v>9000</v>
      </c>
      <c r="D892">
        <v>8981</v>
      </c>
      <c r="E892" s="5">
        <f t="shared" si="53"/>
        <v>19</v>
      </c>
      <c r="F892" s="5">
        <f t="shared" si="54"/>
        <v>361</v>
      </c>
      <c r="G892" s="6">
        <f>SQRT(SUM($F$2:F892)/A892)</f>
        <v>1123.5406456784651</v>
      </c>
      <c r="H892" s="5">
        <f t="shared" si="55"/>
        <v>1</v>
      </c>
      <c r="I892" s="5">
        <f t="shared" si="56"/>
        <v>1</v>
      </c>
    </row>
    <row r="893" spans="1:9">
      <c r="A893">
        <v>892</v>
      </c>
      <c r="B893">
        <v>15</v>
      </c>
      <c r="C893">
        <v>9000</v>
      </c>
      <c r="D893">
        <v>8993</v>
      </c>
      <c r="E893" s="5">
        <f t="shared" si="53"/>
        <v>7</v>
      </c>
      <c r="F893" s="5">
        <f t="shared" si="54"/>
        <v>49</v>
      </c>
      <c r="G893" s="6">
        <f>SQRT(SUM($F$2:F893)/A893)</f>
        <v>1122.9107061720779</v>
      </c>
      <c r="H893" s="5">
        <f t="shared" si="55"/>
        <v>1</v>
      </c>
      <c r="I893" s="5">
        <f t="shared" si="56"/>
        <v>1</v>
      </c>
    </row>
    <row r="894" spans="1:9">
      <c r="A894">
        <v>893</v>
      </c>
      <c r="B894">
        <v>15</v>
      </c>
      <c r="C894">
        <v>9000</v>
      </c>
      <c r="D894">
        <v>8959</v>
      </c>
      <c r="E894" s="5">
        <f t="shared" si="53"/>
        <v>41</v>
      </c>
      <c r="F894" s="5">
        <f t="shared" si="54"/>
        <v>1681</v>
      </c>
      <c r="G894" s="6">
        <f>SQRT(SUM($F$2:F894)/A894)</f>
        <v>1122.2826393152479</v>
      </c>
      <c r="H894" s="5">
        <f t="shared" si="55"/>
        <v>1</v>
      </c>
      <c r="I894" s="5">
        <f t="shared" si="56"/>
        <v>1</v>
      </c>
    </row>
    <row r="895" spans="1:9">
      <c r="A895">
        <v>894</v>
      </c>
      <c r="B895">
        <v>15</v>
      </c>
      <c r="C895">
        <v>9000</v>
      </c>
      <c r="D895">
        <v>9022</v>
      </c>
      <c r="E895" s="5">
        <f t="shared" si="53"/>
        <v>22</v>
      </c>
      <c r="F895" s="5">
        <f t="shared" si="54"/>
        <v>484</v>
      </c>
      <c r="G895" s="6">
        <f>SQRT(SUM($F$2:F895)/A895)</f>
        <v>1121.6550301725613</v>
      </c>
      <c r="H895" s="5">
        <f t="shared" si="55"/>
        <v>1</v>
      </c>
      <c r="I895" s="5">
        <f t="shared" si="56"/>
        <v>1</v>
      </c>
    </row>
    <row r="896" spans="1:9">
      <c r="A896">
        <v>895</v>
      </c>
      <c r="B896">
        <v>15</v>
      </c>
      <c r="C896">
        <v>9000</v>
      </c>
      <c r="D896">
        <v>8747</v>
      </c>
      <c r="E896" s="5">
        <f t="shared" si="53"/>
        <v>253</v>
      </c>
      <c r="F896" s="5">
        <f t="shared" si="54"/>
        <v>64009</v>
      </c>
      <c r="G896" s="6">
        <f>SQRT(SUM($F$2:F896)/A896)</f>
        <v>1121.0601302528148</v>
      </c>
      <c r="H896" s="5">
        <f t="shared" si="55"/>
        <v>1</v>
      </c>
      <c r="I896" s="5">
        <f t="shared" si="56"/>
        <v>1</v>
      </c>
    </row>
    <row r="897" spans="1:9">
      <c r="A897">
        <v>896</v>
      </c>
      <c r="B897">
        <v>15</v>
      </c>
      <c r="C897">
        <v>9000</v>
      </c>
      <c r="D897">
        <v>9587</v>
      </c>
      <c r="E897" s="5">
        <f t="shared" si="53"/>
        <v>587</v>
      </c>
      <c r="F897" s="5">
        <f t="shared" si="54"/>
        <v>344569</v>
      </c>
      <c r="G897" s="6">
        <f>SQRT(SUM($F$2:F897)/A897)</f>
        <v>1120.6059645024968</v>
      </c>
      <c r="H897" s="5">
        <f t="shared" si="55"/>
        <v>1</v>
      </c>
      <c r="I897" s="5">
        <f t="shared" si="56"/>
        <v>1</v>
      </c>
    </row>
    <row r="898" spans="1:9">
      <c r="A898">
        <v>897</v>
      </c>
      <c r="B898">
        <v>15</v>
      </c>
      <c r="C898">
        <v>9000</v>
      </c>
      <c r="D898">
        <v>8954</v>
      </c>
      <c r="E898" s="5">
        <f t="shared" si="53"/>
        <v>46</v>
      </c>
      <c r="F898" s="5">
        <f t="shared" si="54"/>
        <v>2116</v>
      </c>
      <c r="G898" s="6">
        <f>SQRT(SUM($F$2:F898)/A898)</f>
        <v>1119.982202438621</v>
      </c>
      <c r="H898" s="5">
        <f t="shared" si="55"/>
        <v>1</v>
      </c>
      <c r="I898" s="5">
        <f t="shared" si="56"/>
        <v>1</v>
      </c>
    </row>
    <row r="899" spans="1:9">
      <c r="A899">
        <v>898</v>
      </c>
      <c r="B899">
        <v>15</v>
      </c>
      <c r="C899">
        <v>9000</v>
      </c>
      <c r="D899">
        <v>8782</v>
      </c>
      <c r="E899" s="5">
        <f t="shared" ref="E899:E962" si="57">ABS(C899-D899)</f>
        <v>218</v>
      </c>
      <c r="F899" s="5">
        <f t="shared" ref="F899:F962" si="58">POWER(E899,2)</f>
        <v>47524</v>
      </c>
      <c r="G899" s="6">
        <f>SQRT(SUM($F$2:F899)/A899)</f>
        <v>1119.3820698326404</v>
      </c>
      <c r="H899" s="5">
        <f t="shared" ref="H899:H962" si="59">IF(ABS(E899)/C899&gt;0.2,0,1)</f>
        <v>1</v>
      </c>
      <c r="I899" s="5">
        <f t="shared" ref="I899:I962" si="60">IF(ABS(E899)/C899&gt;0.1,0,1)</f>
        <v>1</v>
      </c>
    </row>
    <row r="900" spans="1:9">
      <c r="A900">
        <v>899</v>
      </c>
      <c r="B900">
        <v>15</v>
      </c>
      <c r="C900">
        <v>9000</v>
      </c>
      <c r="D900">
        <v>9352</v>
      </c>
      <c r="E900" s="5">
        <f t="shared" si="57"/>
        <v>352</v>
      </c>
      <c r="F900" s="5">
        <f t="shared" si="58"/>
        <v>123904</v>
      </c>
      <c r="G900" s="6">
        <f>SQRT(SUM($F$2:F900)/A900)</f>
        <v>1118.8209211554492</v>
      </c>
      <c r="H900" s="5">
        <f t="shared" si="59"/>
        <v>1</v>
      </c>
      <c r="I900" s="5">
        <f t="shared" si="60"/>
        <v>1</v>
      </c>
    </row>
    <row r="901" spans="1:9">
      <c r="A901">
        <v>900</v>
      </c>
      <c r="B901">
        <v>15</v>
      </c>
      <c r="C901">
        <v>9000</v>
      </c>
      <c r="D901">
        <v>8635</v>
      </c>
      <c r="E901" s="5">
        <f t="shared" si="57"/>
        <v>365</v>
      </c>
      <c r="F901" s="5">
        <f t="shared" si="58"/>
        <v>133225</v>
      </c>
      <c r="G901" s="6">
        <f>SQRT(SUM($F$2:F901)/A901)</f>
        <v>1118.265369519537</v>
      </c>
      <c r="H901" s="5">
        <f t="shared" si="59"/>
        <v>1</v>
      </c>
      <c r="I901" s="5">
        <f t="shared" si="60"/>
        <v>1</v>
      </c>
    </row>
    <row r="902" spans="1:9">
      <c r="A902">
        <v>901</v>
      </c>
      <c r="B902">
        <v>15</v>
      </c>
      <c r="C902">
        <v>5000</v>
      </c>
      <c r="D902">
        <v>9270</v>
      </c>
      <c r="E902" s="5">
        <f t="shared" si="57"/>
        <v>4270</v>
      </c>
      <c r="F902" s="5">
        <f t="shared" si="58"/>
        <v>18232900</v>
      </c>
      <c r="G902" s="6">
        <f>SQRT(SUM($F$2:F902)/A902)</f>
        <v>1126.6613546186454</v>
      </c>
      <c r="H902" s="5">
        <f t="shared" si="59"/>
        <v>0</v>
      </c>
      <c r="I902" s="5">
        <f t="shared" si="60"/>
        <v>0</v>
      </c>
    </row>
    <row r="903" spans="1:9">
      <c r="A903">
        <v>902</v>
      </c>
      <c r="B903">
        <v>10</v>
      </c>
      <c r="C903">
        <v>5000</v>
      </c>
      <c r="D903">
        <v>5970</v>
      </c>
      <c r="E903" s="5">
        <f t="shared" si="57"/>
        <v>970</v>
      </c>
      <c r="F903" s="5">
        <f t="shared" si="58"/>
        <v>940900</v>
      </c>
      <c r="G903" s="6">
        <f>SQRT(SUM($F$2:F903)/A903)</f>
        <v>1126.4997360011423</v>
      </c>
      <c r="H903" s="5">
        <f t="shared" si="59"/>
        <v>1</v>
      </c>
      <c r="I903" s="5">
        <f t="shared" si="60"/>
        <v>0</v>
      </c>
    </row>
    <row r="904" spans="1:9">
      <c r="A904">
        <v>903</v>
      </c>
      <c r="B904">
        <v>13</v>
      </c>
      <c r="C904">
        <v>5000</v>
      </c>
      <c r="D904">
        <v>7885</v>
      </c>
      <c r="E904" s="5">
        <f t="shared" si="57"/>
        <v>2885</v>
      </c>
      <c r="F904" s="5">
        <f t="shared" si="58"/>
        <v>8323225</v>
      </c>
      <c r="G904" s="6">
        <f>SQRT(SUM($F$2:F904)/A904)</f>
        <v>1129.9617874937246</v>
      </c>
      <c r="H904" s="5">
        <f t="shared" si="59"/>
        <v>0</v>
      </c>
      <c r="I904" s="5">
        <f t="shared" si="60"/>
        <v>0</v>
      </c>
    </row>
    <row r="905" spans="1:9">
      <c r="A905">
        <v>904</v>
      </c>
      <c r="B905">
        <v>10</v>
      </c>
      <c r="C905">
        <v>5000</v>
      </c>
      <c r="D905">
        <v>6427</v>
      </c>
      <c r="E905" s="5">
        <f t="shared" si="57"/>
        <v>1427</v>
      </c>
      <c r="F905" s="5">
        <f t="shared" si="58"/>
        <v>2036329</v>
      </c>
      <c r="G905" s="6">
        <f>SQRT(SUM($F$2:F905)/A905)</f>
        <v>1130.3334963863972</v>
      </c>
      <c r="H905" s="5">
        <f t="shared" si="59"/>
        <v>0</v>
      </c>
      <c r="I905" s="5">
        <f t="shared" si="60"/>
        <v>0</v>
      </c>
    </row>
    <row r="906" spans="1:9">
      <c r="A906">
        <v>905</v>
      </c>
      <c r="B906">
        <v>11</v>
      </c>
      <c r="C906">
        <v>5000</v>
      </c>
      <c r="D906">
        <v>7695</v>
      </c>
      <c r="E906" s="5">
        <f t="shared" si="57"/>
        <v>2695</v>
      </c>
      <c r="F906" s="5">
        <f t="shared" si="58"/>
        <v>7263025</v>
      </c>
      <c r="G906" s="6">
        <f>SQRT(SUM($F$2:F906)/A906)</f>
        <v>1133.255259362571</v>
      </c>
      <c r="H906" s="5">
        <f t="shared" si="59"/>
        <v>0</v>
      </c>
      <c r="I906" s="5">
        <f t="shared" si="60"/>
        <v>0</v>
      </c>
    </row>
    <row r="907" spans="1:9">
      <c r="A907">
        <v>906</v>
      </c>
      <c r="B907">
        <v>10</v>
      </c>
      <c r="C907">
        <v>5000</v>
      </c>
      <c r="D907">
        <v>6194</v>
      </c>
      <c r="E907" s="5">
        <f t="shared" si="57"/>
        <v>1194</v>
      </c>
      <c r="F907" s="5">
        <f t="shared" si="58"/>
        <v>1425636</v>
      </c>
      <c r="G907" s="6">
        <f>SQRT(SUM($F$2:F907)/A907)</f>
        <v>1133.3241013777995</v>
      </c>
      <c r="H907" s="5">
        <f t="shared" si="59"/>
        <v>0</v>
      </c>
      <c r="I907" s="5">
        <f t="shared" si="60"/>
        <v>0</v>
      </c>
    </row>
    <row r="908" spans="1:9">
      <c r="A908">
        <v>907</v>
      </c>
      <c r="B908">
        <v>11</v>
      </c>
      <c r="C908">
        <v>5000</v>
      </c>
      <c r="D908">
        <v>6575</v>
      </c>
      <c r="E908" s="5">
        <f t="shared" si="57"/>
        <v>1575</v>
      </c>
      <c r="F908" s="5">
        <f t="shared" si="58"/>
        <v>2480625</v>
      </c>
      <c r="G908" s="6">
        <f>SQRT(SUM($F$2:F908)/A908)</f>
        <v>1133.905804623844</v>
      </c>
      <c r="H908" s="5">
        <f t="shared" si="59"/>
        <v>0</v>
      </c>
      <c r="I908" s="5">
        <f t="shared" si="60"/>
        <v>0</v>
      </c>
    </row>
    <row r="909" spans="1:9">
      <c r="A909">
        <v>908</v>
      </c>
      <c r="B909">
        <v>10</v>
      </c>
      <c r="C909">
        <v>5000</v>
      </c>
      <c r="D909">
        <v>6393</v>
      </c>
      <c r="E909" s="5">
        <f t="shared" si="57"/>
        <v>1393</v>
      </c>
      <c r="F909" s="5">
        <f t="shared" si="58"/>
        <v>1940449</v>
      </c>
      <c r="G909" s="6">
        <f>SQRT(SUM($F$2:F909)/A909)</f>
        <v>1134.2237064616306</v>
      </c>
      <c r="H909" s="5">
        <f t="shared" si="59"/>
        <v>0</v>
      </c>
      <c r="I909" s="5">
        <f t="shared" si="60"/>
        <v>0</v>
      </c>
    </row>
    <row r="910" spans="1:9">
      <c r="A910">
        <v>909</v>
      </c>
      <c r="B910">
        <v>10</v>
      </c>
      <c r="C910">
        <v>5000</v>
      </c>
      <c r="D910">
        <v>6485</v>
      </c>
      <c r="E910" s="5">
        <f t="shared" si="57"/>
        <v>1485</v>
      </c>
      <c r="F910" s="5">
        <f t="shared" si="58"/>
        <v>2205225</v>
      </c>
      <c r="G910" s="6">
        <f>SQRT(SUM($F$2:F910)/A910)</f>
        <v>1134.669183117049</v>
      </c>
      <c r="H910" s="5">
        <f t="shared" si="59"/>
        <v>0</v>
      </c>
      <c r="I910" s="5">
        <f t="shared" si="60"/>
        <v>0</v>
      </c>
    </row>
    <row r="911" spans="1:9">
      <c r="A911">
        <v>910</v>
      </c>
      <c r="B911">
        <v>9</v>
      </c>
      <c r="C911">
        <v>5000</v>
      </c>
      <c r="D911">
        <v>5599</v>
      </c>
      <c r="E911" s="5">
        <f t="shared" si="57"/>
        <v>599</v>
      </c>
      <c r="F911" s="5">
        <f t="shared" si="58"/>
        <v>358801</v>
      </c>
      <c r="G911" s="6">
        <f>SQRT(SUM($F$2:F911)/A911)</f>
        <v>1134.2193946344046</v>
      </c>
      <c r="H911" s="5">
        <f t="shared" si="59"/>
        <v>1</v>
      </c>
      <c r="I911" s="5">
        <f t="shared" si="60"/>
        <v>0</v>
      </c>
    </row>
    <row r="912" spans="1:9">
      <c r="A912">
        <v>911</v>
      </c>
      <c r="B912">
        <v>10</v>
      </c>
      <c r="C912">
        <v>5000</v>
      </c>
      <c r="D912">
        <v>5981</v>
      </c>
      <c r="E912" s="5">
        <f t="shared" si="57"/>
        <v>981</v>
      </c>
      <c r="F912" s="5">
        <f t="shared" si="58"/>
        <v>962361</v>
      </c>
      <c r="G912" s="6">
        <f>SQRT(SUM($F$2:F912)/A912)</f>
        <v>1134.0625557486951</v>
      </c>
      <c r="H912" s="5">
        <f t="shared" si="59"/>
        <v>1</v>
      </c>
      <c r="I912" s="5">
        <f t="shared" si="60"/>
        <v>0</v>
      </c>
    </row>
    <row r="913" spans="1:9">
      <c r="A913">
        <v>912</v>
      </c>
      <c r="B913">
        <v>9</v>
      </c>
      <c r="C913">
        <v>5000</v>
      </c>
      <c r="D913">
        <v>6101</v>
      </c>
      <c r="E913" s="5">
        <f t="shared" si="57"/>
        <v>1101</v>
      </c>
      <c r="F913" s="5">
        <f t="shared" si="58"/>
        <v>1212201</v>
      </c>
      <c r="G913" s="6">
        <f>SQRT(SUM($F$2:F913)/A913)</f>
        <v>1134.0268308422758</v>
      </c>
      <c r="H913" s="5">
        <f t="shared" si="59"/>
        <v>0</v>
      </c>
      <c r="I913" s="5">
        <f t="shared" si="60"/>
        <v>0</v>
      </c>
    </row>
    <row r="914" spans="1:9">
      <c r="A914">
        <v>913</v>
      </c>
      <c r="B914">
        <v>9</v>
      </c>
      <c r="C914">
        <v>5000</v>
      </c>
      <c r="D914">
        <v>4399</v>
      </c>
      <c r="E914" s="5">
        <f t="shared" si="57"/>
        <v>601</v>
      </c>
      <c r="F914" s="5">
        <f t="shared" si="58"/>
        <v>361201</v>
      </c>
      <c r="G914" s="6">
        <f>SQRT(SUM($F$2:F914)/A914)</f>
        <v>1133.5801300664587</v>
      </c>
      <c r="H914" s="5">
        <f t="shared" si="59"/>
        <v>1</v>
      </c>
      <c r="I914" s="5">
        <f t="shared" si="60"/>
        <v>0</v>
      </c>
    </row>
    <row r="915" spans="1:9">
      <c r="A915">
        <v>914</v>
      </c>
      <c r="B915">
        <v>11</v>
      </c>
      <c r="C915">
        <v>5000</v>
      </c>
      <c r="D915">
        <v>2335</v>
      </c>
      <c r="E915" s="5">
        <f t="shared" si="57"/>
        <v>2665</v>
      </c>
      <c r="F915" s="5">
        <f t="shared" si="58"/>
        <v>7102225</v>
      </c>
      <c r="G915" s="6">
        <f>SQRT(SUM($F$2:F915)/A915)</f>
        <v>1136.3839517420181</v>
      </c>
      <c r="H915" s="5">
        <f t="shared" si="59"/>
        <v>0</v>
      </c>
      <c r="I915" s="5">
        <f t="shared" si="60"/>
        <v>0</v>
      </c>
    </row>
    <row r="916" spans="1:9">
      <c r="A916">
        <v>915</v>
      </c>
      <c r="B916">
        <v>13</v>
      </c>
      <c r="C916">
        <v>5000</v>
      </c>
      <c r="D916">
        <v>1768</v>
      </c>
      <c r="E916" s="5">
        <f t="shared" si="57"/>
        <v>3232</v>
      </c>
      <c r="F916" s="5">
        <f t="shared" si="58"/>
        <v>10445824</v>
      </c>
      <c r="G916" s="6">
        <f>SQRT(SUM($F$2:F916)/A916)</f>
        <v>1140.7775222151149</v>
      </c>
      <c r="H916" s="5">
        <f t="shared" si="59"/>
        <v>0</v>
      </c>
      <c r="I916" s="5">
        <f t="shared" si="60"/>
        <v>0</v>
      </c>
    </row>
    <row r="917" spans="1:9">
      <c r="A917">
        <v>916</v>
      </c>
      <c r="B917">
        <v>14</v>
      </c>
      <c r="C917">
        <v>5000</v>
      </c>
      <c r="D917">
        <v>7487</v>
      </c>
      <c r="E917" s="5">
        <f t="shared" si="57"/>
        <v>2487</v>
      </c>
      <c r="F917" s="5">
        <f t="shared" si="58"/>
        <v>6185169</v>
      </c>
      <c r="G917" s="6">
        <f>SQRT(SUM($F$2:F917)/A917)</f>
        <v>1143.1119848139672</v>
      </c>
      <c r="H917" s="5">
        <f t="shared" si="59"/>
        <v>0</v>
      </c>
      <c r="I917" s="5">
        <f t="shared" si="60"/>
        <v>0</v>
      </c>
    </row>
    <row r="918" spans="1:9">
      <c r="A918">
        <v>917</v>
      </c>
      <c r="B918">
        <v>9</v>
      </c>
      <c r="C918">
        <v>5000</v>
      </c>
      <c r="D918">
        <v>5249</v>
      </c>
      <c r="E918" s="5">
        <f t="shared" si="57"/>
        <v>249</v>
      </c>
      <c r="F918" s="5">
        <f t="shared" si="58"/>
        <v>62001</v>
      </c>
      <c r="G918" s="6">
        <f>SQRT(SUM($F$2:F918)/A918)</f>
        <v>1142.5181156081997</v>
      </c>
      <c r="H918" s="5">
        <f t="shared" si="59"/>
        <v>1</v>
      </c>
      <c r="I918" s="5">
        <f t="shared" si="60"/>
        <v>1</v>
      </c>
    </row>
    <row r="919" spans="1:9">
      <c r="A919">
        <v>918</v>
      </c>
      <c r="B919">
        <v>11</v>
      </c>
      <c r="C919">
        <v>5000</v>
      </c>
      <c r="D919">
        <v>5587</v>
      </c>
      <c r="E919" s="5">
        <f t="shared" si="57"/>
        <v>587</v>
      </c>
      <c r="F919" s="5">
        <f t="shared" si="58"/>
        <v>344569</v>
      </c>
      <c r="G919" s="6">
        <f>SQRT(SUM($F$2:F919)/A919)</f>
        <v>1142.0600004650848</v>
      </c>
      <c r="H919" s="5">
        <f t="shared" si="59"/>
        <v>1</v>
      </c>
      <c r="I919" s="5">
        <f t="shared" si="60"/>
        <v>0</v>
      </c>
    </row>
    <row r="920" spans="1:9">
      <c r="A920">
        <v>919</v>
      </c>
      <c r="B920">
        <v>10</v>
      </c>
      <c r="C920">
        <v>5000</v>
      </c>
      <c r="D920">
        <v>6459</v>
      </c>
      <c r="E920" s="5">
        <f t="shared" si="57"/>
        <v>1459</v>
      </c>
      <c r="F920" s="5">
        <f t="shared" si="58"/>
        <v>2128681</v>
      </c>
      <c r="G920" s="6">
        <f>SQRT(SUM($F$2:F920)/A920)</f>
        <v>1142.4526619842347</v>
      </c>
      <c r="H920" s="5">
        <f t="shared" si="59"/>
        <v>0</v>
      </c>
      <c r="I920" s="5">
        <f t="shared" si="60"/>
        <v>0</v>
      </c>
    </row>
    <row r="921" spans="1:9">
      <c r="A921">
        <v>920</v>
      </c>
      <c r="B921">
        <v>9</v>
      </c>
      <c r="C921">
        <v>5000</v>
      </c>
      <c r="D921">
        <v>5350</v>
      </c>
      <c r="E921" s="5">
        <f t="shared" si="57"/>
        <v>350</v>
      </c>
      <c r="F921" s="5">
        <f t="shared" si="58"/>
        <v>122500</v>
      </c>
      <c r="G921" s="6">
        <f>SQRT(SUM($F$2:F921)/A921)</f>
        <v>1141.8898998932696</v>
      </c>
      <c r="H921" s="5">
        <f t="shared" si="59"/>
        <v>1</v>
      </c>
      <c r="I921" s="5">
        <f t="shared" si="60"/>
        <v>1</v>
      </c>
    </row>
    <row r="922" spans="1:9">
      <c r="A922">
        <v>921</v>
      </c>
      <c r="B922">
        <v>10</v>
      </c>
      <c r="C922">
        <v>5000</v>
      </c>
      <c r="D922">
        <v>5447</v>
      </c>
      <c r="E922" s="5">
        <f t="shared" si="57"/>
        <v>447</v>
      </c>
      <c r="F922" s="5">
        <f t="shared" si="58"/>
        <v>199809</v>
      </c>
      <c r="G922" s="6">
        <f>SQRT(SUM($F$2:F922)/A922)</f>
        <v>1141.3648557690915</v>
      </c>
      <c r="H922" s="5">
        <f t="shared" si="59"/>
        <v>1</v>
      </c>
      <c r="I922" s="5">
        <f t="shared" si="60"/>
        <v>1</v>
      </c>
    </row>
    <row r="923" spans="1:9">
      <c r="A923">
        <v>922</v>
      </c>
      <c r="B923">
        <v>10</v>
      </c>
      <c r="C923">
        <v>5000</v>
      </c>
      <c r="D923">
        <v>6396</v>
      </c>
      <c r="E923" s="5">
        <f t="shared" si="57"/>
        <v>1396</v>
      </c>
      <c r="F923" s="5">
        <f t="shared" si="58"/>
        <v>1948816</v>
      </c>
      <c r="G923" s="6">
        <f>SQRT(SUM($F$2:F923)/A923)</f>
        <v>1141.6717985750568</v>
      </c>
      <c r="H923" s="5">
        <f t="shared" si="59"/>
        <v>0</v>
      </c>
      <c r="I923" s="5">
        <f t="shared" si="60"/>
        <v>0</v>
      </c>
    </row>
    <row r="924" spans="1:9">
      <c r="A924">
        <v>923</v>
      </c>
      <c r="B924">
        <v>9</v>
      </c>
      <c r="C924">
        <v>5000</v>
      </c>
      <c r="D924">
        <v>5138</v>
      </c>
      <c r="E924" s="5">
        <f t="shared" si="57"/>
        <v>138</v>
      </c>
      <c r="F924" s="5">
        <f t="shared" si="58"/>
        <v>19044</v>
      </c>
      <c r="G924" s="6">
        <f>SQRT(SUM($F$2:F924)/A924)</f>
        <v>1141.0622149258679</v>
      </c>
      <c r="H924" s="5">
        <f t="shared" si="59"/>
        <v>1</v>
      </c>
      <c r="I924" s="5">
        <f t="shared" si="60"/>
        <v>1</v>
      </c>
    </row>
    <row r="925" spans="1:9">
      <c r="A925">
        <v>924</v>
      </c>
      <c r="B925">
        <v>10</v>
      </c>
      <c r="C925">
        <v>5000</v>
      </c>
      <c r="D925">
        <v>6092</v>
      </c>
      <c r="E925" s="5">
        <f t="shared" si="57"/>
        <v>1092</v>
      </c>
      <c r="F925" s="5">
        <f t="shared" si="58"/>
        <v>1192464</v>
      </c>
      <c r="G925" s="6">
        <f>SQRT(SUM($F$2:F925)/A925)</f>
        <v>1141.0102576263976</v>
      </c>
      <c r="H925" s="5">
        <f t="shared" si="59"/>
        <v>0</v>
      </c>
      <c r="I925" s="5">
        <f t="shared" si="60"/>
        <v>0</v>
      </c>
    </row>
    <row r="926" spans="1:9">
      <c r="A926">
        <v>925</v>
      </c>
      <c r="B926">
        <v>9</v>
      </c>
      <c r="C926">
        <v>5000</v>
      </c>
      <c r="D926">
        <v>5546</v>
      </c>
      <c r="E926" s="5">
        <f t="shared" si="57"/>
        <v>546</v>
      </c>
      <c r="F926" s="5">
        <f t="shared" si="58"/>
        <v>298116</v>
      </c>
      <c r="G926" s="6">
        <f>SQRT(SUM($F$2:F926)/A926)</f>
        <v>1140.534625231234</v>
      </c>
      <c r="H926" s="5">
        <f t="shared" si="59"/>
        <v>1</v>
      </c>
      <c r="I926" s="5">
        <f t="shared" si="60"/>
        <v>0</v>
      </c>
    </row>
    <row r="927" spans="1:9">
      <c r="A927">
        <v>926</v>
      </c>
      <c r="B927">
        <v>9</v>
      </c>
      <c r="C927">
        <v>5000</v>
      </c>
      <c r="D927">
        <v>5699</v>
      </c>
      <c r="E927" s="5">
        <f t="shared" si="57"/>
        <v>699</v>
      </c>
      <c r="F927" s="5">
        <f t="shared" si="58"/>
        <v>488601</v>
      </c>
      <c r="G927" s="6">
        <f>SQRT(SUM($F$2:F927)/A927)</f>
        <v>1140.1500365441091</v>
      </c>
      <c r="H927" s="5">
        <f t="shared" si="59"/>
        <v>1</v>
      </c>
      <c r="I927" s="5">
        <f t="shared" si="60"/>
        <v>0</v>
      </c>
    </row>
    <row r="928" spans="1:9">
      <c r="A928">
        <v>927</v>
      </c>
      <c r="B928">
        <v>9</v>
      </c>
      <c r="C928">
        <v>5000</v>
      </c>
      <c r="D928">
        <v>6350</v>
      </c>
      <c r="E928" s="5">
        <f t="shared" si="57"/>
        <v>1350</v>
      </c>
      <c r="F928" s="5">
        <f t="shared" si="58"/>
        <v>1822500</v>
      </c>
      <c r="G928" s="6">
        <f>SQRT(SUM($F$2:F928)/A928)</f>
        <v>1140.3972178391316</v>
      </c>
      <c r="H928" s="5">
        <f t="shared" si="59"/>
        <v>0</v>
      </c>
      <c r="I928" s="5">
        <f t="shared" si="60"/>
        <v>0</v>
      </c>
    </row>
    <row r="929" spans="1:9">
      <c r="A929">
        <v>928</v>
      </c>
      <c r="B929">
        <v>8</v>
      </c>
      <c r="C929">
        <v>5000</v>
      </c>
      <c r="D929">
        <v>4762</v>
      </c>
      <c r="E929" s="5">
        <f t="shared" si="57"/>
        <v>238</v>
      </c>
      <c r="F929" s="5">
        <f t="shared" si="58"/>
        <v>56644</v>
      </c>
      <c r="G929" s="6">
        <f>SQRT(SUM($F$2:F929)/A929)</f>
        <v>1139.809390258165</v>
      </c>
      <c r="H929" s="5">
        <f t="shared" si="59"/>
        <v>1</v>
      </c>
      <c r="I929" s="5">
        <f t="shared" si="60"/>
        <v>1</v>
      </c>
    </row>
    <row r="930" spans="1:9">
      <c r="A930">
        <v>929</v>
      </c>
      <c r="B930">
        <v>9</v>
      </c>
      <c r="C930">
        <v>5000</v>
      </c>
      <c r="D930">
        <v>6272</v>
      </c>
      <c r="E930" s="5">
        <f t="shared" si="57"/>
        <v>1272</v>
      </c>
      <c r="F930" s="5">
        <f t="shared" si="58"/>
        <v>1617984</v>
      </c>
      <c r="G930" s="6">
        <f>SQRT(SUM($F$2:F930)/A930)</f>
        <v>1139.959925078856</v>
      </c>
      <c r="H930" s="5">
        <f t="shared" si="59"/>
        <v>0</v>
      </c>
      <c r="I930" s="5">
        <f t="shared" si="60"/>
        <v>0</v>
      </c>
    </row>
    <row r="931" spans="1:9">
      <c r="A931">
        <v>930</v>
      </c>
      <c r="B931">
        <v>7</v>
      </c>
      <c r="C931">
        <v>5000</v>
      </c>
      <c r="D931">
        <v>5088</v>
      </c>
      <c r="E931" s="5">
        <f t="shared" si="57"/>
        <v>88</v>
      </c>
      <c r="F931" s="5">
        <f t="shared" si="58"/>
        <v>7744</v>
      </c>
      <c r="G931" s="6">
        <f>SQRT(SUM($F$2:F931)/A931)</f>
        <v>1139.3505327857356</v>
      </c>
      <c r="H931" s="5">
        <f t="shared" si="59"/>
        <v>1</v>
      </c>
      <c r="I931" s="5">
        <f t="shared" si="60"/>
        <v>1</v>
      </c>
    </row>
    <row r="932" spans="1:9">
      <c r="A932">
        <v>931</v>
      </c>
      <c r="B932">
        <v>8</v>
      </c>
      <c r="C932">
        <v>5000</v>
      </c>
      <c r="D932">
        <v>6164</v>
      </c>
      <c r="E932" s="5">
        <f t="shared" si="57"/>
        <v>1164</v>
      </c>
      <c r="F932" s="5">
        <f t="shared" si="58"/>
        <v>1354896</v>
      </c>
      <c r="G932" s="6">
        <f>SQRT(SUM($F$2:F932)/A932)</f>
        <v>1139.3772952090142</v>
      </c>
      <c r="H932" s="5">
        <f t="shared" si="59"/>
        <v>0</v>
      </c>
      <c r="I932" s="5">
        <f t="shared" si="60"/>
        <v>0</v>
      </c>
    </row>
    <row r="933" spans="1:9">
      <c r="A933">
        <v>932</v>
      </c>
      <c r="B933">
        <v>7</v>
      </c>
      <c r="C933">
        <v>5000</v>
      </c>
      <c r="D933">
        <v>5434</v>
      </c>
      <c r="E933" s="5">
        <f t="shared" si="57"/>
        <v>434</v>
      </c>
      <c r="F933" s="5">
        <f t="shared" si="58"/>
        <v>188356</v>
      </c>
      <c r="G933" s="6">
        <f>SQRT(SUM($F$2:F933)/A933)</f>
        <v>1138.854609635669</v>
      </c>
      <c r="H933" s="5">
        <f t="shared" si="59"/>
        <v>1</v>
      </c>
      <c r="I933" s="5">
        <f t="shared" si="60"/>
        <v>1</v>
      </c>
    </row>
    <row r="934" spans="1:9">
      <c r="A934">
        <v>933</v>
      </c>
      <c r="B934">
        <v>8</v>
      </c>
      <c r="C934">
        <v>5000</v>
      </c>
      <c r="D934">
        <v>5814</v>
      </c>
      <c r="E934" s="5">
        <f t="shared" si="57"/>
        <v>814</v>
      </c>
      <c r="F934" s="5">
        <f t="shared" si="58"/>
        <v>662596</v>
      </c>
      <c r="G934" s="6">
        <f>SQRT(SUM($F$2:F934)/A934)</f>
        <v>1138.5560466585018</v>
      </c>
      <c r="H934" s="5">
        <f t="shared" si="59"/>
        <v>1</v>
      </c>
      <c r="I934" s="5">
        <f t="shared" si="60"/>
        <v>0</v>
      </c>
    </row>
    <row r="935" spans="1:9">
      <c r="A935">
        <v>934</v>
      </c>
      <c r="B935">
        <v>7</v>
      </c>
      <c r="C935">
        <v>5000</v>
      </c>
      <c r="D935">
        <v>5116</v>
      </c>
      <c r="E935" s="5">
        <f t="shared" si="57"/>
        <v>116</v>
      </c>
      <c r="F935" s="5">
        <f t="shared" si="58"/>
        <v>13456</v>
      </c>
      <c r="G935" s="6">
        <f>SQRT(SUM($F$2:F935)/A935)</f>
        <v>1137.9527082295747</v>
      </c>
      <c r="H935" s="5">
        <f t="shared" si="59"/>
        <v>1</v>
      </c>
      <c r="I935" s="5">
        <f t="shared" si="60"/>
        <v>1</v>
      </c>
    </row>
    <row r="936" spans="1:9">
      <c r="A936">
        <v>935</v>
      </c>
      <c r="B936">
        <v>8</v>
      </c>
      <c r="C936">
        <v>5000</v>
      </c>
      <c r="D936">
        <v>5876</v>
      </c>
      <c r="E936" s="5">
        <f t="shared" si="57"/>
        <v>876</v>
      </c>
      <c r="F936" s="5">
        <f t="shared" si="58"/>
        <v>767376</v>
      </c>
      <c r="G936" s="6">
        <f>SQRT(SUM($F$2:F936)/A936)</f>
        <v>1137.7047641990796</v>
      </c>
      <c r="H936" s="5">
        <f t="shared" si="59"/>
        <v>1</v>
      </c>
      <c r="I936" s="5">
        <f t="shared" si="60"/>
        <v>0</v>
      </c>
    </row>
    <row r="937" spans="1:9">
      <c r="A937">
        <v>936</v>
      </c>
      <c r="B937">
        <v>7</v>
      </c>
      <c r="C937">
        <v>5000</v>
      </c>
      <c r="D937">
        <v>5759</v>
      </c>
      <c r="E937" s="5">
        <f t="shared" si="57"/>
        <v>759</v>
      </c>
      <c r="F937" s="5">
        <f t="shared" si="58"/>
        <v>576081</v>
      </c>
      <c r="G937" s="6">
        <f>SQRT(SUM($F$2:F937)/A937)</f>
        <v>1137.3674540039162</v>
      </c>
      <c r="H937" s="5">
        <f t="shared" si="59"/>
        <v>1</v>
      </c>
      <c r="I937" s="5">
        <f t="shared" si="60"/>
        <v>0</v>
      </c>
    </row>
    <row r="938" spans="1:9">
      <c r="A938">
        <v>937</v>
      </c>
      <c r="B938">
        <v>7</v>
      </c>
      <c r="C938">
        <v>5000</v>
      </c>
      <c r="D938">
        <v>5237</v>
      </c>
      <c r="E938" s="5">
        <f t="shared" si="57"/>
        <v>237</v>
      </c>
      <c r="F938" s="5">
        <f t="shared" si="58"/>
        <v>56169</v>
      </c>
      <c r="G938" s="6">
        <f>SQRT(SUM($F$2:F938)/A938)</f>
        <v>1136.7867388599377</v>
      </c>
      <c r="H938" s="5">
        <f t="shared" si="59"/>
        <v>1</v>
      </c>
      <c r="I938" s="5">
        <f t="shared" si="60"/>
        <v>1</v>
      </c>
    </row>
    <row r="939" spans="1:9">
      <c r="A939">
        <v>938</v>
      </c>
      <c r="B939">
        <v>7</v>
      </c>
      <c r="C939">
        <v>5000</v>
      </c>
      <c r="D939">
        <v>4955</v>
      </c>
      <c r="E939" s="5">
        <f t="shared" si="57"/>
        <v>45</v>
      </c>
      <c r="F939" s="5">
        <f t="shared" si="58"/>
        <v>2025</v>
      </c>
      <c r="G939" s="6">
        <f>SQRT(SUM($F$2:F939)/A939)</f>
        <v>1136.1815642353627</v>
      </c>
      <c r="H939" s="5">
        <f t="shared" si="59"/>
        <v>1</v>
      </c>
      <c r="I939" s="5">
        <f t="shared" si="60"/>
        <v>1</v>
      </c>
    </row>
    <row r="940" spans="1:9">
      <c r="A940">
        <v>939</v>
      </c>
      <c r="B940">
        <v>7</v>
      </c>
      <c r="C940">
        <v>5000</v>
      </c>
      <c r="D940">
        <v>4943</v>
      </c>
      <c r="E940" s="5">
        <f t="shared" si="57"/>
        <v>57</v>
      </c>
      <c r="F940" s="5">
        <f t="shared" si="58"/>
        <v>3249</v>
      </c>
      <c r="G940" s="6">
        <f>SQRT(SUM($F$2:F940)/A940)</f>
        <v>1135.5779310495111</v>
      </c>
      <c r="H940" s="5">
        <f t="shared" si="59"/>
        <v>1</v>
      </c>
      <c r="I940" s="5">
        <f t="shared" si="60"/>
        <v>1</v>
      </c>
    </row>
    <row r="941" spans="1:9">
      <c r="A941">
        <v>940</v>
      </c>
      <c r="B941">
        <v>8</v>
      </c>
      <c r="C941">
        <v>5000</v>
      </c>
      <c r="D941">
        <v>5729</v>
      </c>
      <c r="E941" s="5">
        <f t="shared" si="57"/>
        <v>729</v>
      </c>
      <c r="F941" s="5">
        <f t="shared" si="58"/>
        <v>531441</v>
      </c>
      <c r="G941" s="6">
        <f>SQRT(SUM($F$2:F941)/A941)</f>
        <v>1135.2227764309785</v>
      </c>
      <c r="H941" s="5">
        <f t="shared" si="59"/>
        <v>1</v>
      </c>
      <c r="I941" s="5">
        <f t="shared" si="60"/>
        <v>0</v>
      </c>
    </row>
    <row r="942" spans="1:9">
      <c r="A942">
        <v>941</v>
      </c>
      <c r="B942">
        <v>7</v>
      </c>
      <c r="C942">
        <v>5000</v>
      </c>
      <c r="D942">
        <v>4074</v>
      </c>
      <c r="E942" s="5">
        <f t="shared" si="57"/>
        <v>926</v>
      </c>
      <c r="F942" s="5">
        <f t="shared" si="58"/>
        <v>857476</v>
      </c>
      <c r="G942" s="6">
        <f>SQRT(SUM($F$2:F942)/A942)</f>
        <v>1135.0209064256831</v>
      </c>
      <c r="H942" s="5">
        <f t="shared" si="59"/>
        <v>1</v>
      </c>
      <c r="I942" s="5">
        <f t="shared" si="60"/>
        <v>0</v>
      </c>
    </row>
    <row r="943" spans="1:9">
      <c r="A943">
        <v>942</v>
      </c>
      <c r="B943">
        <v>8</v>
      </c>
      <c r="C943">
        <v>5000</v>
      </c>
      <c r="D943">
        <v>5414</v>
      </c>
      <c r="E943" s="5">
        <f t="shared" si="57"/>
        <v>414</v>
      </c>
      <c r="F943" s="5">
        <f t="shared" si="58"/>
        <v>171396</v>
      </c>
      <c r="G943" s="6">
        <f>SQRT(SUM($F$2:F943)/A943)</f>
        <v>1134.4984857746849</v>
      </c>
      <c r="H943" s="5">
        <f t="shared" si="59"/>
        <v>1</v>
      </c>
      <c r="I943" s="5">
        <f t="shared" si="60"/>
        <v>1</v>
      </c>
    </row>
    <row r="944" spans="1:9">
      <c r="A944">
        <v>943</v>
      </c>
      <c r="B944">
        <v>7</v>
      </c>
      <c r="C944">
        <v>5000</v>
      </c>
      <c r="D944">
        <v>4389</v>
      </c>
      <c r="E944" s="5">
        <f t="shared" si="57"/>
        <v>611</v>
      </c>
      <c r="F944" s="5">
        <f t="shared" si="58"/>
        <v>373321</v>
      </c>
      <c r="G944" s="6">
        <f>SQRT(SUM($F$2:F944)/A944)</f>
        <v>1134.071344970193</v>
      </c>
      <c r="H944" s="5">
        <f t="shared" si="59"/>
        <v>1</v>
      </c>
      <c r="I944" s="5">
        <f t="shared" si="60"/>
        <v>0</v>
      </c>
    </row>
    <row r="945" spans="1:9">
      <c r="A945">
        <v>944</v>
      </c>
      <c r="B945">
        <v>8</v>
      </c>
      <c r="C945">
        <v>5000</v>
      </c>
      <c r="D945">
        <v>5024</v>
      </c>
      <c r="E945" s="5">
        <f t="shared" si="57"/>
        <v>24</v>
      </c>
      <c r="F945" s="5">
        <f t="shared" si="58"/>
        <v>576</v>
      </c>
      <c r="G945" s="6">
        <f>SQRT(SUM($F$2:F945)/A945)</f>
        <v>1133.4707815871852</v>
      </c>
      <c r="H945" s="5">
        <f t="shared" si="59"/>
        <v>1</v>
      </c>
      <c r="I945" s="5">
        <f t="shared" si="60"/>
        <v>1</v>
      </c>
    </row>
    <row r="946" spans="1:9">
      <c r="A946">
        <v>945</v>
      </c>
      <c r="B946">
        <v>8</v>
      </c>
      <c r="C946">
        <v>5000</v>
      </c>
      <c r="D946">
        <v>5441</v>
      </c>
      <c r="E946" s="5">
        <f t="shared" si="57"/>
        <v>441</v>
      </c>
      <c r="F946" s="5">
        <f t="shared" si="58"/>
        <v>194481</v>
      </c>
      <c r="G946" s="6">
        <f>SQRT(SUM($F$2:F946)/A946)</f>
        <v>1132.961730395022</v>
      </c>
      <c r="H946" s="5">
        <f t="shared" si="59"/>
        <v>1</v>
      </c>
      <c r="I946" s="5">
        <f t="shared" si="60"/>
        <v>1</v>
      </c>
    </row>
    <row r="947" spans="1:9">
      <c r="A947">
        <v>946</v>
      </c>
      <c r="B947">
        <v>7</v>
      </c>
      <c r="C947">
        <v>5000</v>
      </c>
      <c r="D947">
        <v>4903</v>
      </c>
      <c r="E947" s="5">
        <f t="shared" si="57"/>
        <v>97</v>
      </c>
      <c r="F947" s="5">
        <f t="shared" si="58"/>
        <v>9409</v>
      </c>
      <c r="G947" s="6">
        <f>SQRT(SUM($F$2:F947)/A947)</f>
        <v>1132.3671468122448</v>
      </c>
      <c r="H947" s="5">
        <f t="shared" si="59"/>
        <v>1</v>
      </c>
      <c r="I947" s="5">
        <f t="shared" si="60"/>
        <v>1</v>
      </c>
    </row>
    <row r="948" spans="1:9">
      <c r="A948">
        <v>947</v>
      </c>
      <c r="B948">
        <v>8</v>
      </c>
      <c r="C948">
        <v>5000</v>
      </c>
      <c r="D948">
        <v>6151</v>
      </c>
      <c r="E948" s="5">
        <f t="shared" si="57"/>
        <v>1151</v>
      </c>
      <c r="F948" s="5">
        <f t="shared" si="58"/>
        <v>1324801</v>
      </c>
      <c r="G948" s="6">
        <f>SQRT(SUM($F$2:F948)/A948)</f>
        <v>1132.3869841811932</v>
      </c>
      <c r="H948" s="5">
        <f t="shared" si="59"/>
        <v>0</v>
      </c>
      <c r="I948" s="5">
        <f t="shared" si="60"/>
        <v>0</v>
      </c>
    </row>
    <row r="949" spans="1:9">
      <c r="A949">
        <v>948</v>
      </c>
      <c r="B949">
        <v>6</v>
      </c>
      <c r="C949">
        <v>5000</v>
      </c>
      <c r="D949">
        <v>4201</v>
      </c>
      <c r="E949" s="5">
        <f t="shared" si="57"/>
        <v>799</v>
      </c>
      <c r="F949" s="5">
        <f t="shared" si="58"/>
        <v>638401</v>
      </c>
      <c r="G949" s="6">
        <f>SQRT(SUM($F$2:F949)/A949)</f>
        <v>1132.0870387435496</v>
      </c>
      <c r="H949" s="5">
        <f t="shared" si="59"/>
        <v>1</v>
      </c>
      <c r="I949" s="5">
        <f t="shared" si="60"/>
        <v>0</v>
      </c>
    </row>
    <row r="950" spans="1:9">
      <c r="A950">
        <v>949</v>
      </c>
      <c r="B950">
        <v>8</v>
      </c>
      <c r="C950">
        <v>5000</v>
      </c>
      <c r="D950">
        <v>6282</v>
      </c>
      <c r="E950" s="5">
        <f t="shared" si="57"/>
        <v>1282</v>
      </c>
      <c r="F950" s="5">
        <f t="shared" si="58"/>
        <v>1643524</v>
      </c>
      <c r="G950" s="6">
        <f>SQRT(SUM($F$2:F950)/A950)</f>
        <v>1132.2554549101837</v>
      </c>
      <c r="H950" s="5">
        <f t="shared" si="59"/>
        <v>0</v>
      </c>
      <c r="I950" s="5">
        <f t="shared" si="60"/>
        <v>0</v>
      </c>
    </row>
    <row r="951" spans="1:9">
      <c r="A951">
        <v>950</v>
      </c>
      <c r="B951">
        <v>6</v>
      </c>
      <c r="C951">
        <v>5000</v>
      </c>
      <c r="D951">
        <v>4487</v>
      </c>
      <c r="E951" s="5">
        <f t="shared" si="57"/>
        <v>513</v>
      </c>
      <c r="F951" s="5">
        <f t="shared" si="58"/>
        <v>263169</v>
      </c>
      <c r="G951" s="6">
        <f>SQRT(SUM($F$2:F951)/A951)</f>
        <v>1131.7817629505118</v>
      </c>
      <c r="H951" s="5">
        <f t="shared" si="59"/>
        <v>1</v>
      </c>
      <c r="I951" s="5">
        <f t="shared" si="60"/>
        <v>0</v>
      </c>
    </row>
    <row r="952" spans="1:9">
      <c r="A952">
        <v>951</v>
      </c>
      <c r="B952">
        <v>8</v>
      </c>
      <c r="C952">
        <v>5000</v>
      </c>
      <c r="D952">
        <v>5888</v>
      </c>
      <c r="E952" s="5">
        <f t="shared" si="57"/>
        <v>888</v>
      </c>
      <c r="F952" s="5">
        <f t="shared" si="58"/>
        <v>788544</v>
      </c>
      <c r="G952" s="6">
        <f>SQRT(SUM($F$2:F952)/A952)</f>
        <v>1131.553004920348</v>
      </c>
      <c r="H952" s="5">
        <f t="shared" si="59"/>
        <v>1</v>
      </c>
      <c r="I952" s="5">
        <f t="shared" si="60"/>
        <v>0</v>
      </c>
    </row>
    <row r="953" spans="1:9">
      <c r="A953">
        <v>952</v>
      </c>
      <c r="B953">
        <v>6</v>
      </c>
      <c r="C953">
        <v>5000</v>
      </c>
      <c r="D953">
        <v>4421</v>
      </c>
      <c r="E953" s="5">
        <f t="shared" si="57"/>
        <v>579</v>
      </c>
      <c r="F953" s="5">
        <f t="shared" si="58"/>
        <v>335241</v>
      </c>
      <c r="G953" s="6">
        <f>SQRT(SUM($F$2:F953)/A953)</f>
        <v>1131.1142188348708</v>
      </c>
      <c r="H953" s="5">
        <f t="shared" si="59"/>
        <v>1</v>
      </c>
      <c r="I953" s="5">
        <f t="shared" si="60"/>
        <v>0</v>
      </c>
    </row>
    <row r="954" spans="1:9">
      <c r="A954">
        <v>953</v>
      </c>
      <c r="B954">
        <v>8</v>
      </c>
      <c r="C954">
        <v>5000</v>
      </c>
      <c r="D954">
        <v>4929</v>
      </c>
      <c r="E954" s="5">
        <f t="shared" si="57"/>
        <v>71</v>
      </c>
      <c r="F954" s="5">
        <f t="shared" si="58"/>
        <v>5041</v>
      </c>
      <c r="G954" s="6">
        <f>SQRT(SUM($F$2:F954)/A954)</f>
        <v>1130.522953306933</v>
      </c>
      <c r="H954" s="5">
        <f t="shared" si="59"/>
        <v>1</v>
      </c>
      <c r="I954" s="5">
        <f t="shared" si="60"/>
        <v>1</v>
      </c>
    </row>
    <row r="955" spans="1:9">
      <c r="A955">
        <v>954</v>
      </c>
      <c r="B955">
        <v>7</v>
      </c>
      <c r="C955">
        <v>5000</v>
      </c>
      <c r="D955">
        <v>4262</v>
      </c>
      <c r="E955" s="5">
        <f t="shared" si="57"/>
        <v>738</v>
      </c>
      <c r="F955" s="5">
        <f t="shared" si="58"/>
        <v>544644</v>
      </c>
      <c r="G955" s="6">
        <f>SQRT(SUM($F$2:F955)/A955)</f>
        <v>1130.1828811585015</v>
      </c>
      <c r="H955" s="5">
        <f t="shared" si="59"/>
        <v>1</v>
      </c>
      <c r="I955" s="5">
        <f t="shared" si="60"/>
        <v>0</v>
      </c>
    </row>
    <row r="956" spans="1:9">
      <c r="A956">
        <v>955</v>
      </c>
      <c r="B956">
        <v>8</v>
      </c>
      <c r="C956">
        <v>5000</v>
      </c>
      <c r="D956">
        <v>5514</v>
      </c>
      <c r="E956" s="5">
        <f t="shared" si="57"/>
        <v>514</v>
      </c>
      <c r="F956" s="5">
        <f t="shared" si="58"/>
        <v>264196</v>
      </c>
      <c r="G956" s="6">
        <f>SQRT(SUM($F$2:F956)/A956)</f>
        <v>1129.713454379134</v>
      </c>
      <c r="H956" s="5">
        <f t="shared" si="59"/>
        <v>1</v>
      </c>
      <c r="I956" s="5">
        <f t="shared" si="60"/>
        <v>0</v>
      </c>
    </row>
    <row r="957" spans="1:9">
      <c r="A957">
        <v>956</v>
      </c>
      <c r="B957">
        <v>7</v>
      </c>
      <c r="C957">
        <v>5000</v>
      </c>
      <c r="D957">
        <v>4564</v>
      </c>
      <c r="E957" s="5">
        <f t="shared" si="57"/>
        <v>436</v>
      </c>
      <c r="F957" s="5">
        <f t="shared" si="58"/>
        <v>190096</v>
      </c>
      <c r="G957" s="6">
        <f>SQRT(SUM($F$2:F957)/A957)</f>
        <v>1129.2104950141977</v>
      </c>
      <c r="H957" s="5">
        <f t="shared" si="59"/>
        <v>1</v>
      </c>
      <c r="I957" s="5">
        <f t="shared" si="60"/>
        <v>1</v>
      </c>
    </row>
    <row r="958" spans="1:9">
      <c r="A958">
        <v>957</v>
      </c>
      <c r="B958">
        <v>8</v>
      </c>
      <c r="C958">
        <v>5000</v>
      </c>
      <c r="D958">
        <v>5753</v>
      </c>
      <c r="E958" s="5">
        <f t="shared" si="57"/>
        <v>753</v>
      </c>
      <c r="F958" s="5">
        <f t="shared" si="58"/>
        <v>567009</v>
      </c>
      <c r="G958" s="6">
        <f>SQRT(SUM($F$2:F958)/A958)</f>
        <v>1128.8828185302634</v>
      </c>
      <c r="H958" s="5">
        <f t="shared" si="59"/>
        <v>1</v>
      </c>
      <c r="I958" s="5">
        <f t="shared" si="60"/>
        <v>0</v>
      </c>
    </row>
    <row r="959" spans="1:9">
      <c r="A959">
        <v>958</v>
      </c>
      <c r="B959">
        <v>6</v>
      </c>
      <c r="C959">
        <v>5000</v>
      </c>
      <c r="D959">
        <v>4151</v>
      </c>
      <c r="E959" s="5">
        <f t="shared" si="57"/>
        <v>849</v>
      </c>
      <c r="F959" s="5">
        <f t="shared" si="58"/>
        <v>720801</v>
      </c>
      <c r="G959" s="6">
        <f>SQRT(SUM($F$2:F959)/A959)</f>
        <v>1128.626852891997</v>
      </c>
      <c r="H959" s="5">
        <f t="shared" si="59"/>
        <v>1</v>
      </c>
      <c r="I959" s="5">
        <f t="shared" si="60"/>
        <v>0</v>
      </c>
    </row>
    <row r="960" spans="1:9">
      <c r="A960">
        <v>959</v>
      </c>
      <c r="B960">
        <v>8</v>
      </c>
      <c r="C960">
        <v>5000</v>
      </c>
      <c r="D960">
        <v>5476</v>
      </c>
      <c r="E960" s="5">
        <f t="shared" si="57"/>
        <v>476</v>
      </c>
      <c r="F960" s="5">
        <f t="shared" si="58"/>
        <v>226576</v>
      </c>
      <c r="G960" s="6">
        <f>SQRT(SUM($F$2:F960)/A960)</f>
        <v>1128.1429779632729</v>
      </c>
      <c r="H960" s="5">
        <f t="shared" si="59"/>
        <v>1</v>
      </c>
      <c r="I960" s="5">
        <f t="shared" si="60"/>
        <v>1</v>
      </c>
    </row>
    <row r="961" spans="1:9">
      <c r="A961">
        <v>960</v>
      </c>
      <c r="B961">
        <v>7</v>
      </c>
      <c r="C961">
        <v>5000</v>
      </c>
      <c r="D961">
        <v>4656</v>
      </c>
      <c r="E961" s="5">
        <f t="shared" si="57"/>
        <v>344</v>
      </c>
      <c r="F961" s="5">
        <f t="shared" si="58"/>
        <v>118336</v>
      </c>
      <c r="G961" s="6">
        <f>SQRT(SUM($F$2:F961)/A961)</f>
        <v>1127.6099101085447</v>
      </c>
      <c r="H961" s="5">
        <f t="shared" si="59"/>
        <v>1</v>
      </c>
      <c r="I961" s="5">
        <f t="shared" si="60"/>
        <v>1</v>
      </c>
    </row>
    <row r="962" spans="1:9">
      <c r="A962">
        <v>961</v>
      </c>
      <c r="B962">
        <v>8</v>
      </c>
      <c r="C962">
        <v>5000</v>
      </c>
      <c r="D962">
        <v>5179</v>
      </c>
      <c r="E962" s="5">
        <f t="shared" si="57"/>
        <v>179</v>
      </c>
      <c r="F962" s="5">
        <f t="shared" si="58"/>
        <v>32041</v>
      </c>
      <c r="G962" s="6">
        <f>SQRT(SUM($F$2:F962)/A962)</f>
        <v>1127.0378633717082</v>
      </c>
      <c r="H962" s="5">
        <f t="shared" si="59"/>
        <v>1</v>
      </c>
      <c r="I962" s="5">
        <f t="shared" si="60"/>
        <v>1</v>
      </c>
    </row>
    <row r="963" spans="1:9">
      <c r="A963">
        <v>962</v>
      </c>
      <c r="B963">
        <v>7</v>
      </c>
      <c r="C963">
        <v>5000</v>
      </c>
      <c r="D963">
        <v>5219</v>
      </c>
      <c r="E963" s="5">
        <f t="shared" ref="E963:E1001" si="61">ABS(C963-D963)</f>
        <v>219</v>
      </c>
      <c r="F963" s="5">
        <f t="shared" ref="F963:F1001" si="62">POWER(E963,2)</f>
        <v>47961</v>
      </c>
      <c r="G963" s="6">
        <f>SQRT(SUM($F$2:F963)/A963)</f>
        <v>1126.47406177431</v>
      </c>
      <c r="H963" s="5">
        <f t="shared" ref="H963:H1001" si="63">IF(ABS(E963)/C963&gt;0.2,0,1)</f>
        <v>1</v>
      </c>
      <c r="I963" s="5">
        <f t="shared" ref="I963:I1001" si="64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4981</v>
      </c>
      <c r="E964" s="5">
        <f t="shared" si="61"/>
        <v>19</v>
      </c>
      <c r="F964" s="5">
        <f t="shared" si="62"/>
        <v>361</v>
      </c>
      <c r="G964" s="6">
        <f>SQRT(SUM($F$2:F964)/A964)</f>
        <v>1125.8891988371465</v>
      </c>
      <c r="H964" s="5">
        <f t="shared" si="63"/>
        <v>1</v>
      </c>
      <c r="I964" s="5">
        <f t="shared" si="64"/>
        <v>1</v>
      </c>
    </row>
    <row r="965" spans="1:9">
      <c r="A965">
        <v>964</v>
      </c>
      <c r="B965">
        <v>7</v>
      </c>
      <c r="C965">
        <v>5000</v>
      </c>
      <c r="D965">
        <v>5000</v>
      </c>
      <c r="E965" s="5">
        <f t="shared" si="61"/>
        <v>0</v>
      </c>
      <c r="F965" s="5">
        <f t="shared" si="62"/>
        <v>0</v>
      </c>
      <c r="G965" s="6">
        <f>SQRT(SUM($F$2:F965)/A965)</f>
        <v>1125.3050798879283</v>
      </c>
      <c r="H965" s="5">
        <f t="shared" si="63"/>
        <v>1</v>
      </c>
      <c r="I965" s="5">
        <f t="shared" si="64"/>
        <v>1</v>
      </c>
    </row>
    <row r="966" spans="1:9">
      <c r="A966">
        <v>965</v>
      </c>
      <c r="B966">
        <v>7</v>
      </c>
      <c r="C966">
        <v>5000</v>
      </c>
      <c r="D966">
        <v>5256</v>
      </c>
      <c r="E966" s="5">
        <f t="shared" si="61"/>
        <v>256</v>
      </c>
      <c r="F966" s="5">
        <f t="shared" si="62"/>
        <v>65536</v>
      </c>
      <c r="G966" s="6">
        <f>SQRT(SUM($F$2:F966)/A966)</f>
        <v>1124.7520597246853</v>
      </c>
      <c r="H966" s="5">
        <f t="shared" si="63"/>
        <v>1</v>
      </c>
      <c r="I966" s="5">
        <f t="shared" si="64"/>
        <v>1</v>
      </c>
    </row>
    <row r="967" spans="1:9">
      <c r="A967">
        <v>966</v>
      </c>
      <c r="B967">
        <v>7</v>
      </c>
      <c r="C967">
        <v>5000</v>
      </c>
      <c r="D967">
        <v>4440</v>
      </c>
      <c r="E967" s="5">
        <f t="shared" si="61"/>
        <v>560</v>
      </c>
      <c r="F967" s="5">
        <f t="shared" si="62"/>
        <v>313600</v>
      </c>
      <c r="G967" s="6">
        <f>SQRT(SUM($F$2:F967)/A967)</f>
        <v>1124.31411988182</v>
      </c>
      <c r="H967" s="5">
        <f t="shared" si="63"/>
        <v>1</v>
      </c>
      <c r="I967" s="5">
        <f t="shared" si="64"/>
        <v>0</v>
      </c>
    </row>
    <row r="968" spans="1:9">
      <c r="A968">
        <v>967</v>
      </c>
      <c r="B968">
        <v>8</v>
      </c>
      <c r="C968">
        <v>5000</v>
      </c>
      <c r="D968">
        <v>4366</v>
      </c>
      <c r="E968" s="5">
        <f t="shared" si="61"/>
        <v>634</v>
      </c>
      <c r="F968" s="5">
        <f t="shared" si="62"/>
        <v>401956</v>
      </c>
      <c r="G968" s="6">
        <f>SQRT(SUM($F$2:F968)/A968)</f>
        <v>1123.9175649773117</v>
      </c>
      <c r="H968" s="5">
        <f t="shared" si="63"/>
        <v>1</v>
      </c>
      <c r="I968" s="5">
        <f t="shared" si="64"/>
        <v>0</v>
      </c>
    </row>
    <row r="969" spans="1:9">
      <c r="A969">
        <v>968</v>
      </c>
      <c r="B969">
        <v>8</v>
      </c>
      <c r="C969">
        <v>5000</v>
      </c>
      <c r="D969">
        <v>5362</v>
      </c>
      <c r="E969" s="5">
        <f t="shared" si="61"/>
        <v>362</v>
      </c>
      <c r="F969" s="5">
        <f t="shared" si="62"/>
        <v>131044</v>
      </c>
      <c r="G969" s="6">
        <f>SQRT(SUM($F$2:F969)/A969)</f>
        <v>1123.3971336240406</v>
      </c>
      <c r="H969" s="5">
        <f t="shared" si="63"/>
        <v>1</v>
      </c>
      <c r="I969" s="5">
        <f t="shared" si="64"/>
        <v>1</v>
      </c>
    </row>
    <row r="970" spans="1:9">
      <c r="A970">
        <v>969</v>
      </c>
      <c r="B970">
        <v>7</v>
      </c>
      <c r="C970">
        <v>5000</v>
      </c>
      <c r="D970">
        <v>5277</v>
      </c>
      <c r="E970" s="5">
        <f t="shared" si="61"/>
        <v>277</v>
      </c>
      <c r="F970" s="5">
        <f t="shared" si="62"/>
        <v>76729</v>
      </c>
      <c r="G970" s="6">
        <f>SQRT(SUM($F$2:F970)/A970)</f>
        <v>1122.8525763219029</v>
      </c>
      <c r="H970" s="5">
        <f t="shared" si="63"/>
        <v>1</v>
      </c>
      <c r="I970" s="5">
        <f t="shared" si="64"/>
        <v>1</v>
      </c>
    </row>
    <row r="971" spans="1:9">
      <c r="A971">
        <v>970</v>
      </c>
      <c r="B971">
        <v>7</v>
      </c>
      <c r="C971">
        <v>5000</v>
      </c>
      <c r="D971">
        <v>4953</v>
      </c>
      <c r="E971" s="5">
        <f t="shared" si="61"/>
        <v>47</v>
      </c>
      <c r="F971" s="5">
        <f t="shared" si="62"/>
        <v>2209</v>
      </c>
      <c r="G971" s="6">
        <f>SQRT(SUM($F$2:F971)/A971)</f>
        <v>1122.2746516848863</v>
      </c>
      <c r="H971" s="5">
        <f t="shared" si="63"/>
        <v>1</v>
      </c>
      <c r="I971" s="5">
        <f t="shared" si="64"/>
        <v>1</v>
      </c>
    </row>
    <row r="972" spans="1:9">
      <c r="A972">
        <v>971</v>
      </c>
      <c r="B972">
        <v>7</v>
      </c>
      <c r="C972">
        <v>5000</v>
      </c>
      <c r="D972">
        <v>5282</v>
      </c>
      <c r="E972" s="5">
        <f t="shared" si="61"/>
        <v>282</v>
      </c>
      <c r="F972" s="5">
        <f t="shared" si="62"/>
        <v>79524</v>
      </c>
      <c r="G972" s="6">
        <f>SQRT(SUM($F$2:F972)/A972)</f>
        <v>1121.7331126908512</v>
      </c>
      <c r="H972" s="5">
        <f t="shared" si="63"/>
        <v>1</v>
      </c>
      <c r="I972" s="5">
        <f t="shared" si="64"/>
        <v>1</v>
      </c>
    </row>
    <row r="973" spans="1:9">
      <c r="A973">
        <v>972</v>
      </c>
      <c r="B973">
        <v>7</v>
      </c>
      <c r="C973">
        <v>5000</v>
      </c>
      <c r="D973">
        <v>5124</v>
      </c>
      <c r="E973" s="5">
        <f t="shared" si="61"/>
        <v>124</v>
      </c>
      <c r="F973" s="5">
        <f t="shared" si="62"/>
        <v>15376</v>
      </c>
      <c r="G973" s="6">
        <f>SQRT(SUM($F$2:F973)/A973)</f>
        <v>1121.1629957160389</v>
      </c>
      <c r="H973" s="5">
        <f t="shared" si="63"/>
        <v>1</v>
      </c>
      <c r="I973" s="5">
        <f t="shared" si="64"/>
        <v>1</v>
      </c>
    </row>
    <row r="974" spans="1:9">
      <c r="A974">
        <v>973</v>
      </c>
      <c r="B974">
        <v>7</v>
      </c>
      <c r="C974">
        <v>5000</v>
      </c>
      <c r="D974">
        <v>3817</v>
      </c>
      <c r="E974" s="5">
        <f t="shared" si="61"/>
        <v>1183</v>
      </c>
      <c r="F974" s="5">
        <f t="shared" si="62"/>
        <v>1399489</v>
      </c>
      <c r="G974" s="6">
        <f>SQRT(SUM($F$2:F974)/A974)</f>
        <v>1121.2282993577069</v>
      </c>
      <c r="H974" s="5">
        <f t="shared" si="63"/>
        <v>0</v>
      </c>
      <c r="I974" s="5">
        <f t="shared" si="64"/>
        <v>0</v>
      </c>
    </row>
    <row r="975" spans="1:9">
      <c r="A975">
        <v>974</v>
      </c>
      <c r="B975">
        <v>9</v>
      </c>
      <c r="C975">
        <v>5000</v>
      </c>
      <c r="D975">
        <v>2836</v>
      </c>
      <c r="E975" s="5">
        <f t="shared" si="61"/>
        <v>2164</v>
      </c>
      <c r="F975" s="5">
        <f t="shared" si="62"/>
        <v>4682896</v>
      </c>
      <c r="G975" s="6">
        <f>SQRT(SUM($F$2:F975)/A975)</f>
        <v>1122.7956578658388</v>
      </c>
      <c r="H975" s="5">
        <f t="shared" si="63"/>
        <v>0</v>
      </c>
      <c r="I975" s="5">
        <f t="shared" si="64"/>
        <v>0</v>
      </c>
    </row>
    <row r="976" spans="1:9">
      <c r="A976">
        <v>975</v>
      </c>
      <c r="B976">
        <v>10</v>
      </c>
      <c r="C976">
        <v>5000</v>
      </c>
      <c r="D976">
        <v>3257</v>
      </c>
      <c r="E976" s="5">
        <f t="shared" si="61"/>
        <v>1743</v>
      </c>
      <c r="F976" s="5">
        <f t="shared" si="62"/>
        <v>3038049</v>
      </c>
      <c r="G976" s="6">
        <f>SQRT(SUM($F$2:F976)/A976)</f>
        <v>1123.607156461404</v>
      </c>
      <c r="H976" s="5">
        <f t="shared" si="63"/>
        <v>0</v>
      </c>
      <c r="I976" s="5">
        <f t="shared" si="64"/>
        <v>0</v>
      </c>
    </row>
    <row r="977" spans="1:9">
      <c r="A977">
        <v>976</v>
      </c>
      <c r="B977">
        <v>10</v>
      </c>
      <c r="C977">
        <v>5000</v>
      </c>
      <c r="D977">
        <v>6127</v>
      </c>
      <c r="E977" s="5">
        <f t="shared" si="61"/>
        <v>1127</v>
      </c>
      <c r="F977" s="5">
        <f t="shared" si="62"/>
        <v>1270129</v>
      </c>
      <c r="G977" s="6">
        <f>SQRT(SUM($F$2:F977)/A977)</f>
        <v>1123.6106379786054</v>
      </c>
      <c r="H977" s="5">
        <f t="shared" si="63"/>
        <v>0</v>
      </c>
      <c r="I977" s="5">
        <f t="shared" si="64"/>
        <v>0</v>
      </c>
    </row>
    <row r="978" spans="1:9">
      <c r="A978">
        <v>977</v>
      </c>
      <c r="B978">
        <v>7</v>
      </c>
      <c r="C978">
        <v>5000</v>
      </c>
      <c r="D978">
        <v>4122</v>
      </c>
      <c r="E978" s="5">
        <f t="shared" si="61"/>
        <v>878</v>
      </c>
      <c r="F978" s="5">
        <f t="shared" si="62"/>
        <v>770884</v>
      </c>
      <c r="G978" s="6">
        <f>SQRT(SUM($F$2:F978)/A978)</f>
        <v>1123.386699021027</v>
      </c>
      <c r="H978" s="5">
        <f t="shared" si="63"/>
        <v>1</v>
      </c>
      <c r="I978" s="5">
        <f t="shared" si="64"/>
        <v>0</v>
      </c>
    </row>
    <row r="979" spans="1:9">
      <c r="A979">
        <v>978</v>
      </c>
      <c r="B979">
        <v>9</v>
      </c>
      <c r="C979">
        <v>5000</v>
      </c>
      <c r="D979">
        <v>5022</v>
      </c>
      <c r="E979" s="5">
        <f t="shared" si="61"/>
        <v>22</v>
      </c>
      <c r="F979" s="5">
        <f t="shared" si="62"/>
        <v>484</v>
      </c>
      <c r="G979" s="6">
        <f>SQRT(SUM($F$2:F979)/A979)</f>
        <v>1122.8124439342391</v>
      </c>
      <c r="H979" s="5">
        <f t="shared" si="63"/>
        <v>1</v>
      </c>
      <c r="I979" s="5">
        <f t="shared" si="64"/>
        <v>1</v>
      </c>
    </row>
    <row r="980" spans="1:9">
      <c r="A980">
        <v>979</v>
      </c>
      <c r="B980">
        <v>8</v>
      </c>
      <c r="C980">
        <v>5000</v>
      </c>
      <c r="D980">
        <v>4445</v>
      </c>
      <c r="E980" s="5">
        <f t="shared" si="61"/>
        <v>555</v>
      </c>
      <c r="F980" s="5">
        <f t="shared" si="62"/>
        <v>308025</v>
      </c>
      <c r="G980" s="6">
        <f>SQRT(SUM($F$2:F980)/A980)</f>
        <v>1122.379020645744</v>
      </c>
      <c r="H980" s="5">
        <f t="shared" si="63"/>
        <v>1</v>
      </c>
      <c r="I980" s="5">
        <f t="shared" si="64"/>
        <v>0</v>
      </c>
    </row>
    <row r="981" spans="1:9">
      <c r="A981">
        <v>980</v>
      </c>
      <c r="B981">
        <v>9</v>
      </c>
      <c r="C981">
        <v>5000</v>
      </c>
      <c r="D981">
        <v>6121</v>
      </c>
      <c r="E981" s="5">
        <f t="shared" si="61"/>
        <v>1121</v>
      </c>
      <c r="F981" s="5">
        <f t="shared" si="62"/>
        <v>1256641</v>
      </c>
      <c r="G981" s="6">
        <f>SQRT(SUM($F$2:F981)/A981)</f>
        <v>1122.3776143454008</v>
      </c>
      <c r="H981" s="5">
        <f t="shared" si="63"/>
        <v>0</v>
      </c>
      <c r="I981" s="5">
        <f t="shared" si="64"/>
        <v>0</v>
      </c>
    </row>
    <row r="982" spans="1:9">
      <c r="A982">
        <v>981</v>
      </c>
      <c r="B982">
        <v>7</v>
      </c>
      <c r="C982">
        <v>5000</v>
      </c>
      <c r="D982">
        <v>5326</v>
      </c>
      <c r="E982" s="5">
        <f t="shared" si="61"/>
        <v>326</v>
      </c>
      <c r="F982" s="5">
        <f t="shared" si="62"/>
        <v>106276</v>
      </c>
      <c r="G982" s="6">
        <f>SQRT(SUM($F$2:F982)/A982)</f>
        <v>1121.8536952551319</v>
      </c>
      <c r="H982" s="5">
        <f t="shared" si="63"/>
        <v>1</v>
      </c>
      <c r="I982" s="5">
        <f t="shared" si="64"/>
        <v>1</v>
      </c>
    </row>
    <row r="983" spans="1:9">
      <c r="A983">
        <v>982</v>
      </c>
      <c r="B983">
        <v>8</v>
      </c>
      <c r="C983">
        <v>5000</v>
      </c>
      <c r="D983">
        <v>5609</v>
      </c>
      <c r="E983" s="5">
        <f t="shared" si="61"/>
        <v>609</v>
      </c>
      <c r="F983" s="5">
        <f t="shared" si="62"/>
        <v>370881</v>
      </c>
      <c r="G983" s="6">
        <f>SQRT(SUM($F$2:F983)/A983)</f>
        <v>1121.4507424852748</v>
      </c>
      <c r="H983" s="5">
        <f t="shared" si="63"/>
        <v>1</v>
      </c>
      <c r="I983" s="5">
        <f t="shared" si="64"/>
        <v>0</v>
      </c>
    </row>
    <row r="984" spans="1:9">
      <c r="A984">
        <v>983</v>
      </c>
      <c r="B984">
        <v>7</v>
      </c>
      <c r="C984">
        <v>5000</v>
      </c>
      <c r="D984">
        <v>5158</v>
      </c>
      <c r="E984" s="5">
        <f t="shared" si="61"/>
        <v>158</v>
      </c>
      <c r="F984" s="5">
        <f t="shared" si="62"/>
        <v>24964</v>
      </c>
      <c r="G984" s="6">
        <f>SQRT(SUM($F$2:F984)/A984)</f>
        <v>1120.8915032032335</v>
      </c>
      <c r="H984" s="5">
        <f t="shared" si="63"/>
        <v>1</v>
      </c>
      <c r="I984" s="5">
        <f t="shared" si="64"/>
        <v>1</v>
      </c>
    </row>
    <row r="985" spans="1:9">
      <c r="A985">
        <v>984</v>
      </c>
      <c r="B985">
        <v>8</v>
      </c>
      <c r="C985">
        <v>5000</v>
      </c>
      <c r="D985">
        <v>5868</v>
      </c>
      <c r="E985" s="5">
        <f t="shared" si="61"/>
        <v>868</v>
      </c>
      <c r="F985" s="5">
        <f t="shared" si="62"/>
        <v>753424</v>
      </c>
      <c r="G985" s="6">
        <f>SQRT(SUM($F$2:F985)/A985)</f>
        <v>1120.6634685560593</v>
      </c>
      <c r="H985" s="5">
        <f t="shared" si="63"/>
        <v>1</v>
      </c>
      <c r="I985" s="5">
        <f t="shared" si="64"/>
        <v>0</v>
      </c>
    </row>
    <row r="986" spans="1:9">
      <c r="A986">
        <v>985</v>
      </c>
      <c r="B986">
        <v>7</v>
      </c>
      <c r="C986">
        <v>5000</v>
      </c>
      <c r="D986">
        <v>5125</v>
      </c>
      <c r="E986" s="5">
        <f t="shared" si="61"/>
        <v>125</v>
      </c>
      <c r="F986" s="5">
        <f t="shared" si="62"/>
        <v>15625</v>
      </c>
      <c r="G986" s="6">
        <f>SQRT(SUM($F$2:F986)/A986)</f>
        <v>1120.1015404478765</v>
      </c>
      <c r="H986" s="5">
        <f t="shared" si="63"/>
        <v>1</v>
      </c>
      <c r="I986" s="5">
        <f t="shared" si="64"/>
        <v>1</v>
      </c>
    </row>
    <row r="987" spans="1:9">
      <c r="A987">
        <v>986</v>
      </c>
      <c r="B987">
        <v>8</v>
      </c>
      <c r="C987">
        <v>5000</v>
      </c>
      <c r="D987">
        <v>5743</v>
      </c>
      <c r="E987" s="5">
        <f t="shared" si="61"/>
        <v>743</v>
      </c>
      <c r="F987" s="5">
        <f t="shared" si="62"/>
        <v>552049</v>
      </c>
      <c r="G987" s="6">
        <f>SQRT(SUM($F$2:F987)/A987)</f>
        <v>1119.783419547598</v>
      </c>
      <c r="H987" s="5">
        <f t="shared" si="63"/>
        <v>1</v>
      </c>
      <c r="I987" s="5">
        <f t="shared" si="64"/>
        <v>0</v>
      </c>
    </row>
    <row r="988" spans="1:9">
      <c r="A988">
        <v>987</v>
      </c>
      <c r="B988">
        <v>7</v>
      </c>
      <c r="C988">
        <v>5000</v>
      </c>
      <c r="D988">
        <v>5001</v>
      </c>
      <c r="E988" s="5">
        <f t="shared" si="61"/>
        <v>1</v>
      </c>
      <c r="F988" s="5">
        <f t="shared" si="62"/>
        <v>1</v>
      </c>
      <c r="G988" s="6">
        <f>SQRT(SUM($F$2:F988)/A988)</f>
        <v>1119.216010072965</v>
      </c>
      <c r="H988" s="5">
        <f t="shared" si="63"/>
        <v>1</v>
      </c>
      <c r="I988" s="5">
        <f t="shared" si="64"/>
        <v>1</v>
      </c>
    </row>
    <row r="989" spans="1:9">
      <c r="A989">
        <v>988</v>
      </c>
      <c r="B989">
        <v>8</v>
      </c>
      <c r="C989">
        <v>5000</v>
      </c>
      <c r="D989">
        <v>5845</v>
      </c>
      <c r="E989" s="5">
        <f t="shared" si="61"/>
        <v>845</v>
      </c>
      <c r="F989" s="5">
        <f t="shared" si="62"/>
        <v>714025</v>
      </c>
      <c r="G989" s="6">
        <f>SQRT(SUM($F$2:F989)/A989)</f>
        <v>1118.972437457453</v>
      </c>
      <c r="H989" s="5">
        <f t="shared" si="63"/>
        <v>1</v>
      </c>
      <c r="I989" s="5">
        <f t="shared" si="64"/>
        <v>0</v>
      </c>
    </row>
    <row r="990" spans="1:9">
      <c r="A990">
        <v>989</v>
      </c>
      <c r="B990">
        <v>7</v>
      </c>
      <c r="C990">
        <v>5000</v>
      </c>
      <c r="D990">
        <v>4673</v>
      </c>
      <c r="E990" s="5">
        <f t="shared" si="61"/>
        <v>327</v>
      </c>
      <c r="F990" s="5">
        <f t="shared" si="62"/>
        <v>106929</v>
      </c>
      <c r="G990" s="6">
        <f>SQRT(SUM($F$2:F990)/A990)</f>
        <v>1118.4549201883051</v>
      </c>
      <c r="H990" s="5">
        <f t="shared" si="63"/>
        <v>1</v>
      </c>
      <c r="I990" s="5">
        <f t="shared" si="64"/>
        <v>1</v>
      </c>
    </row>
    <row r="991" spans="1:9">
      <c r="A991">
        <v>990</v>
      </c>
      <c r="B991">
        <v>8</v>
      </c>
      <c r="C991">
        <v>5000</v>
      </c>
      <c r="D991">
        <v>5291</v>
      </c>
      <c r="E991" s="5">
        <f t="shared" si="61"/>
        <v>291</v>
      </c>
      <c r="F991" s="5">
        <f t="shared" si="62"/>
        <v>84681</v>
      </c>
      <c r="G991" s="6">
        <f>SQRT(SUM($F$2:F991)/A991)</f>
        <v>1117.9281585490044</v>
      </c>
      <c r="H991" s="5">
        <f t="shared" si="63"/>
        <v>1</v>
      </c>
      <c r="I991" s="5">
        <f t="shared" si="64"/>
        <v>1</v>
      </c>
    </row>
    <row r="992" spans="1:9">
      <c r="A992">
        <v>991</v>
      </c>
      <c r="B992">
        <v>7</v>
      </c>
      <c r="C992">
        <v>5000</v>
      </c>
      <c r="D992">
        <v>4580</v>
      </c>
      <c r="E992" s="5">
        <f t="shared" si="61"/>
        <v>420</v>
      </c>
      <c r="F992" s="5">
        <f t="shared" si="62"/>
        <v>176400</v>
      </c>
      <c r="G992" s="6">
        <f>SQRT(SUM($F$2:F992)/A992)</f>
        <v>1117.4436255609323</v>
      </c>
      <c r="H992" s="5">
        <f t="shared" si="63"/>
        <v>1</v>
      </c>
      <c r="I992" s="5">
        <f t="shared" si="64"/>
        <v>1</v>
      </c>
    </row>
    <row r="993" spans="1:9">
      <c r="A993">
        <v>992</v>
      </c>
      <c r="B993">
        <v>8</v>
      </c>
      <c r="C993">
        <v>5000</v>
      </c>
      <c r="D993">
        <v>5768</v>
      </c>
      <c r="E993" s="5">
        <f t="shared" si="61"/>
        <v>768</v>
      </c>
      <c r="F993" s="5">
        <f t="shared" si="62"/>
        <v>589824</v>
      </c>
      <c r="G993" s="6">
        <f>SQRT(SUM($F$2:F993)/A993)</f>
        <v>1117.1464034286412</v>
      </c>
      <c r="H993" s="5">
        <f t="shared" si="63"/>
        <v>1</v>
      </c>
      <c r="I993" s="5">
        <f t="shared" si="64"/>
        <v>0</v>
      </c>
    </row>
    <row r="994" spans="1:9">
      <c r="A994">
        <v>993</v>
      </c>
      <c r="B994">
        <v>7</v>
      </c>
      <c r="C994">
        <v>5000</v>
      </c>
      <c r="D994">
        <v>4515</v>
      </c>
      <c r="E994" s="5">
        <f t="shared" si="61"/>
        <v>485</v>
      </c>
      <c r="F994" s="5">
        <f t="shared" si="62"/>
        <v>235225</v>
      </c>
      <c r="G994" s="6">
        <f>SQRT(SUM($F$2:F994)/A994)</f>
        <v>1116.6898208959587</v>
      </c>
      <c r="H994" s="5">
        <f t="shared" si="63"/>
        <v>1</v>
      </c>
      <c r="I994" s="5">
        <f t="shared" si="64"/>
        <v>1</v>
      </c>
    </row>
    <row r="995" spans="1:9">
      <c r="A995">
        <v>994</v>
      </c>
      <c r="B995">
        <v>8</v>
      </c>
      <c r="C995">
        <v>5000</v>
      </c>
      <c r="D995">
        <v>5265</v>
      </c>
      <c r="E995" s="5">
        <f t="shared" si="61"/>
        <v>265</v>
      </c>
      <c r="F995" s="5">
        <f t="shared" si="62"/>
        <v>70225</v>
      </c>
      <c r="G995" s="6">
        <f>SQRT(SUM($F$2:F995)/A995)</f>
        <v>1116.1596129990285</v>
      </c>
      <c r="H995" s="5">
        <f t="shared" si="63"/>
        <v>1</v>
      </c>
      <c r="I995" s="5">
        <f t="shared" si="64"/>
        <v>1</v>
      </c>
    </row>
    <row r="996" spans="1:9">
      <c r="A996">
        <v>995</v>
      </c>
      <c r="B996">
        <v>7</v>
      </c>
      <c r="C996">
        <v>5000</v>
      </c>
      <c r="D996">
        <v>4572</v>
      </c>
      <c r="E996" s="5">
        <f t="shared" si="61"/>
        <v>428</v>
      </c>
      <c r="F996" s="5">
        <f t="shared" si="62"/>
        <v>183184</v>
      </c>
      <c r="G996" s="6">
        <f>SQRT(SUM($F$2:F996)/A996)</f>
        <v>1115.6810985079201</v>
      </c>
      <c r="H996" s="5">
        <f t="shared" si="63"/>
        <v>1</v>
      </c>
      <c r="I996" s="5">
        <f t="shared" si="64"/>
        <v>1</v>
      </c>
    </row>
    <row r="997" spans="1:9">
      <c r="A997">
        <v>996</v>
      </c>
      <c r="B997">
        <v>8</v>
      </c>
      <c r="C997">
        <v>5000</v>
      </c>
      <c r="D997">
        <v>5541</v>
      </c>
      <c r="E997" s="5">
        <f t="shared" si="61"/>
        <v>541</v>
      </c>
      <c r="F997" s="5">
        <f t="shared" si="62"/>
        <v>292681</v>
      </c>
      <c r="G997" s="6">
        <f>SQRT(SUM($F$2:F997)/A997)</f>
        <v>1115.252629096577</v>
      </c>
      <c r="H997" s="5">
        <f t="shared" si="63"/>
        <v>1</v>
      </c>
      <c r="I997" s="5">
        <f t="shared" si="64"/>
        <v>0</v>
      </c>
    </row>
    <row r="998" spans="1:9">
      <c r="A998">
        <v>997</v>
      </c>
      <c r="B998">
        <v>7</v>
      </c>
      <c r="C998">
        <v>5000</v>
      </c>
      <c r="D998">
        <v>4617</v>
      </c>
      <c r="E998" s="5">
        <f t="shared" si="61"/>
        <v>383</v>
      </c>
      <c r="F998" s="5">
        <f t="shared" si="62"/>
        <v>146689</v>
      </c>
      <c r="G998" s="6">
        <f>SQRT(SUM($F$2:F998)/A998)</f>
        <v>1114.7591785126663</v>
      </c>
      <c r="H998" s="5">
        <f t="shared" si="63"/>
        <v>1</v>
      </c>
      <c r="I998" s="5">
        <f t="shared" si="64"/>
        <v>1</v>
      </c>
    </row>
    <row r="999" spans="1:9">
      <c r="A999">
        <v>998</v>
      </c>
      <c r="B999">
        <v>8</v>
      </c>
      <c r="C999">
        <v>5000</v>
      </c>
      <c r="D999">
        <v>5128</v>
      </c>
      <c r="E999" s="5">
        <f t="shared" si="61"/>
        <v>128</v>
      </c>
      <c r="F999" s="5">
        <f t="shared" si="62"/>
        <v>16384</v>
      </c>
      <c r="G999" s="6">
        <f>SQRT(SUM($F$2:F999)/A999)</f>
        <v>1114.207909022844</v>
      </c>
      <c r="H999" s="5">
        <f t="shared" si="63"/>
        <v>1</v>
      </c>
      <c r="I999" s="5">
        <f t="shared" si="64"/>
        <v>1</v>
      </c>
    </row>
    <row r="1000" spans="1:9">
      <c r="A1000">
        <v>999</v>
      </c>
      <c r="B1000">
        <v>7</v>
      </c>
      <c r="C1000">
        <v>5000</v>
      </c>
      <c r="D1000">
        <v>5229</v>
      </c>
      <c r="E1000" s="5">
        <f t="shared" si="61"/>
        <v>229</v>
      </c>
      <c r="F1000" s="5">
        <f t="shared" si="62"/>
        <v>52441</v>
      </c>
      <c r="G1000" s="6">
        <f>SQRT(SUM($F$2:F1000)/A1000)</f>
        <v>1113.6736757488957</v>
      </c>
      <c r="H1000" s="5">
        <f t="shared" si="63"/>
        <v>1</v>
      </c>
      <c r="I1000" s="5">
        <f t="shared" si="64"/>
        <v>1</v>
      </c>
    </row>
    <row r="1001" spans="1:9">
      <c r="A1001">
        <v>1000</v>
      </c>
      <c r="B1001">
        <v>7</v>
      </c>
      <c r="C1001">
        <v>5000</v>
      </c>
      <c r="D1001">
        <v>4875</v>
      </c>
      <c r="E1001" s="5">
        <f t="shared" si="61"/>
        <v>125</v>
      </c>
      <c r="F1001" s="5">
        <f t="shared" si="62"/>
        <v>15625</v>
      </c>
      <c r="G1001" s="6">
        <f>SQRT(SUM($F$2:F1001)/A1001)</f>
        <v>1113.1237181912888</v>
      </c>
      <c r="H1001" s="5">
        <f t="shared" si="63"/>
        <v>1</v>
      </c>
      <c r="I1001" s="5">
        <f t="shared" si="64"/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1"/>
  <sheetViews>
    <sheetView workbookViewId="0">
      <selection activeCell="A2" sqref="A2:D1001"/>
    </sheetView>
  </sheetViews>
  <sheetFormatPr defaultRowHeight="14.5"/>
  <sheetData>
    <row r="1" spans="1:9" ht="43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</row>
    <row r="2" spans="1:9">
      <c r="A2">
        <v>1</v>
      </c>
      <c r="B2">
        <v>1</v>
      </c>
      <c r="C2">
        <v>5000</v>
      </c>
      <c r="D2">
        <v>1533</v>
      </c>
      <c r="E2" s="5">
        <f>ABS(C2-D2)</f>
        <v>3467</v>
      </c>
      <c r="F2" s="5">
        <f>POWER(E2,2)</f>
        <v>12020089</v>
      </c>
      <c r="G2" s="6">
        <f>SQRT(SUM($F$2:F2)/A2)</f>
        <v>3467</v>
      </c>
      <c r="H2" s="5">
        <f t="shared" ref="H2" si="0">IF(ABS(E2)/C2&gt;0.2,0,1)</f>
        <v>0</v>
      </c>
      <c r="I2" s="5">
        <f>IF(ABS(E2)/C2&gt;0.1,0,1)</f>
        <v>0</v>
      </c>
    </row>
    <row r="3" spans="1:9">
      <c r="A3">
        <v>2</v>
      </c>
      <c r="B3">
        <v>4</v>
      </c>
      <c r="C3">
        <v>5000</v>
      </c>
      <c r="D3">
        <v>3674</v>
      </c>
      <c r="E3" s="5">
        <f t="shared" ref="E3:E66" si="1">ABS(C3-D3)</f>
        <v>1326</v>
      </c>
      <c r="F3" s="5">
        <f t="shared" ref="F3:F66" si="2">POWER(E3,2)</f>
        <v>1758276</v>
      </c>
      <c r="G3" s="6">
        <f>SQRT(SUM($F$2:F3)/A3)</f>
        <v>2624.7252237139032</v>
      </c>
      <c r="H3" s="5">
        <f t="shared" ref="H3:H66" si="3">IF(ABS(E3)/C3&gt;0.2,0,1)</f>
        <v>0</v>
      </c>
      <c r="I3" s="5">
        <f t="shared" ref="I3:I66" si="4">IF(ABS(E3)/C3&gt;0.1,0,1)</f>
        <v>0</v>
      </c>
    </row>
    <row r="4" spans="1:9">
      <c r="A4">
        <v>3</v>
      </c>
      <c r="B4">
        <v>3</v>
      </c>
      <c r="C4">
        <v>5000</v>
      </c>
      <c r="D4">
        <v>2769</v>
      </c>
      <c r="E4" s="5">
        <f t="shared" si="1"/>
        <v>2231</v>
      </c>
      <c r="F4" s="5">
        <f t="shared" si="2"/>
        <v>4977361</v>
      </c>
      <c r="G4" s="6">
        <f>SQRT(SUM($F$2:F4)/A4)</f>
        <v>2500.381704193715</v>
      </c>
      <c r="H4" s="5">
        <f t="shared" si="3"/>
        <v>0</v>
      </c>
      <c r="I4" s="5">
        <f t="shared" si="4"/>
        <v>0</v>
      </c>
    </row>
    <row r="5" spans="1:9">
      <c r="A5">
        <v>4</v>
      </c>
      <c r="B5">
        <v>4</v>
      </c>
      <c r="C5">
        <v>5000</v>
      </c>
      <c r="D5">
        <v>3273</v>
      </c>
      <c r="E5" s="5">
        <f t="shared" si="1"/>
        <v>1727</v>
      </c>
      <c r="F5" s="5">
        <f t="shared" si="2"/>
        <v>2982529</v>
      </c>
      <c r="G5" s="6">
        <f>SQRT(SUM($F$2:F5)/A5)</f>
        <v>2331.215080167422</v>
      </c>
      <c r="H5" s="5">
        <f t="shared" si="3"/>
        <v>0</v>
      </c>
      <c r="I5" s="5">
        <f t="shared" si="4"/>
        <v>0</v>
      </c>
    </row>
    <row r="6" spans="1:9">
      <c r="A6">
        <v>5</v>
      </c>
      <c r="B6">
        <v>4</v>
      </c>
      <c r="C6">
        <v>5000</v>
      </c>
      <c r="D6">
        <v>3170</v>
      </c>
      <c r="E6" s="5">
        <f t="shared" si="1"/>
        <v>1830</v>
      </c>
      <c r="F6" s="5">
        <f t="shared" si="2"/>
        <v>3348900</v>
      </c>
      <c r="G6" s="6">
        <f>SQRT(SUM($F$2:F6)/A6)</f>
        <v>2239.9622764680657</v>
      </c>
      <c r="H6" s="5">
        <f t="shared" si="3"/>
        <v>0</v>
      </c>
      <c r="I6" s="5">
        <f t="shared" si="4"/>
        <v>0</v>
      </c>
    </row>
    <row r="7" spans="1:9">
      <c r="A7">
        <v>6</v>
      </c>
      <c r="B7">
        <v>5</v>
      </c>
      <c r="C7">
        <v>5000</v>
      </c>
      <c r="D7">
        <v>3814</v>
      </c>
      <c r="E7" s="5">
        <f t="shared" si="1"/>
        <v>1186</v>
      </c>
      <c r="F7" s="5">
        <f t="shared" si="2"/>
        <v>1406596</v>
      </c>
      <c r="G7" s="6">
        <f>SQRT(SUM($F$2:F7)/A7)</f>
        <v>2101.338898575541</v>
      </c>
      <c r="H7" s="5">
        <f t="shared" si="3"/>
        <v>0</v>
      </c>
      <c r="I7" s="5">
        <f t="shared" si="4"/>
        <v>0</v>
      </c>
    </row>
    <row r="8" spans="1:9">
      <c r="A8">
        <v>7</v>
      </c>
      <c r="B8">
        <v>4</v>
      </c>
      <c r="C8">
        <v>5000</v>
      </c>
      <c r="D8">
        <v>3567</v>
      </c>
      <c r="E8" s="5">
        <f t="shared" si="1"/>
        <v>1433</v>
      </c>
      <c r="F8" s="5">
        <f t="shared" si="2"/>
        <v>2053489</v>
      </c>
      <c r="G8" s="6">
        <f>SQRT(SUM($F$2:F8)/A8)</f>
        <v>2019.4497128814926</v>
      </c>
      <c r="H8" s="5">
        <f t="shared" si="3"/>
        <v>0</v>
      </c>
      <c r="I8" s="5">
        <f t="shared" si="4"/>
        <v>0</v>
      </c>
    </row>
    <row r="9" spans="1:9">
      <c r="A9">
        <v>8</v>
      </c>
      <c r="B9">
        <v>5</v>
      </c>
      <c r="C9">
        <v>5000</v>
      </c>
      <c r="D9">
        <v>4153</v>
      </c>
      <c r="E9" s="5">
        <f t="shared" si="1"/>
        <v>847</v>
      </c>
      <c r="F9" s="5">
        <f t="shared" si="2"/>
        <v>717409</v>
      </c>
      <c r="G9" s="6">
        <f>SQRT(SUM($F$2:F9)/A9)</f>
        <v>1912.6110752058298</v>
      </c>
      <c r="H9" s="5">
        <f t="shared" si="3"/>
        <v>1</v>
      </c>
      <c r="I9" s="5">
        <f t="shared" si="4"/>
        <v>0</v>
      </c>
    </row>
    <row r="10" spans="1:9">
      <c r="A10">
        <v>9</v>
      </c>
      <c r="B10">
        <v>5</v>
      </c>
      <c r="C10">
        <v>5000</v>
      </c>
      <c r="D10">
        <v>4264</v>
      </c>
      <c r="E10" s="5">
        <f t="shared" si="1"/>
        <v>736</v>
      </c>
      <c r="F10" s="5">
        <f t="shared" si="2"/>
        <v>541696</v>
      </c>
      <c r="G10" s="6">
        <f>SQRT(SUM($F$2:F10)/A10)</f>
        <v>1819.8395838949957</v>
      </c>
      <c r="H10" s="5">
        <f t="shared" si="3"/>
        <v>1</v>
      </c>
      <c r="I10" s="5">
        <f t="shared" si="4"/>
        <v>0</v>
      </c>
    </row>
    <row r="11" spans="1:9">
      <c r="A11">
        <v>10</v>
      </c>
      <c r="B11">
        <v>5</v>
      </c>
      <c r="C11">
        <v>5000</v>
      </c>
      <c r="D11">
        <v>4425</v>
      </c>
      <c r="E11" s="5">
        <f t="shared" si="1"/>
        <v>575</v>
      </c>
      <c r="F11" s="5">
        <f t="shared" si="2"/>
        <v>330625</v>
      </c>
      <c r="G11" s="6">
        <f>SQRT(SUM($F$2:F11)/A11)</f>
        <v>1736.0002880184093</v>
      </c>
      <c r="H11" s="5">
        <f t="shared" si="3"/>
        <v>1</v>
      </c>
      <c r="I11" s="5">
        <f t="shared" si="4"/>
        <v>0</v>
      </c>
    </row>
    <row r="12" spans="1:9">
      <c r="A12">
        <v>11</v>
      </c>
      <c r="B12">
        <v>5</v>
      </c>
      <c r="C12">
        <v>5000</v>
      </c>
      <c r="D12">
        <v>3977</v>
      </c>
      <c r="E12" s="5">
        <f t="shared" si="1"/>
        <v>1023</v>
      </c>
      <c r="F12" s="5">
        <f t="shared" si="2"/>
        <v>1046529</v>
      </c>
      <c r="G12" s="6">
        <f>SQRT(SUM($F$2:F12)/A12)</f>
        <v>1683.7053024370225</v>
      </c>
      <c r="H12" s="5">
        <f t="shared" si="3"/>
        <v>0</v>
      </c>
      <c r="I12" s="5">
        <f t="shared" si="4"/>
        <v>0</v>
      </c>
    </row>
    <row r="13" spans="1:9">
      <c r="A13">
        <v>12</v>
      </c>
      <c r="B13">
        <v>6</v>
      </c>
      <c r="C13">
        <v>5000</v>
      </c>
      <c r="D13">
        <v>4597</v>
      </c>
      <c r="E13" s="5">
        <f t="shared" si="1"/>
        <v>403</v>
      </c>
      <c r="F13" s="5">
        <f t="shared" si="2"/>
        <v>162409</v>
      </c>
      <c r="G13" s="6">
        <f>SQRT(SUM($F$2:F13)/A13)</f>
        <v>1616.2174977397071</v>
      </c>
      <c r="H13" s="5">
        <f t="shared" si="3"/>
        <v>1</v>
      </c>
      <c r="I13" s="5">
        <f t="shared" si="4"/>
        <v>1</v>
      </c>
    </row>
    <row r="14" spans="1:9">
      <c r="A14">
        <v>13</v>
      </c>
      <c r="B14">
        <v>5</v>
      </c>
      <c r="C14">
        <v>5000</v>
      </c>
      <c r="D14">
        <v>4316</v>
      </c>
      <c r="E14" s="5">
        <f t="shared" si="1"/>
        <v>684</v>
      </c>
      <c r="F14" s="5">
        <f t="shared" si="2"/>
        <v>467856</v>
      </c>
      <c r="G14" s="6">
        <f>SQRT(SUM($F$2:F14)/A14)</f>
        <v>1564.3569334984313</v>
      </c>
      <c r="H14" s="5">
        <f t="shared" si="3"/>
        <v>1</v>
      </c>
      <c r="I14" s="5">
        <f t="shared" si="4"/>
        <v>0</v>
      </c>
    </row>
    <row r="15" spans="1:9">
      <c r="A15">
        <v>14</v>
      </c>
      <c r="B15">
        <v>6</v>
      </c>
      <c r="C15">
        <v>5000</v>
      </c>
      <c r="D15">
        <v>5042</v>
      </c>
      <c r="E15" s="5">
        <f t="shared" si="1"/>
        <v>42</v>
      </c>
      <c r="F15" s="5">
        <f t="shared" si="2"/>
        <v>1764</v>
      </c>
      <c r="G15" s="6">
        <f>SQRT(SUM($F$2:F15)/A15)</f>
        <v>1507.4938521551967</v>
      </c>
      <c r="H15" s="5">
        <f t="shared" si="3"/>
        <v>1</v>
      </c>
      <c r="I15" s="5">
        <f t="shared" si="4"/>
        <v>1</v>
      </c>
    </row>
    <row r="16" spans="1:9">
      <c r="A16">
        <v>15</v>
      </c>
      <c r="B16">
        <v>5</v>
      </c>
      <c r="C16">
        <v>5000</v>
      </c>
      <c r="D16">
        <v>3950</v>
      </c>
      <c r="E16" s="5">
        <f t="shared" si="1"/>
        <v>1050</v>
      </c>
      <c r="F16" s="5">
        <f t="shared" si="2"/>
        <v>1102500</v>
      </c>
      <c r="G16" s="6">
        <f>SQRT(SUM($F$2:F16)/A16)</f>
        <v>1481.3963682958049</v>
      </c>
      <c r="H16" s="5">
        <f t="shared" si="3"/>
        <v>0</v>
      </c>
      <c r="I16" s="5">
        <f t="shared" si="4"/>
        <v>0</v>
      </c>
    </row>
    <row r="17" spans="1:9">
      <c r="A17">
        <v>16</v>
      </c>
      <c r="B17">
        <v>6</v>
      </c>
      <c r="C17">
        <v>5000</v>
      </c>
      <c r="D17">
        <v>4551</v>
      </c>
      <c r="E17" s="5">
        <f t="shared" si="1"/>
        <v>449</v>
      </c>
      <c r="F17" s="5">
        <f t="shared" si="2"/>
        <v>201601</v>
      </c>
      <c r="G17" s="6">
        <f>SQRT(SUM($F$2:F17)/A17)</f>
        <v>1438.7413987579562</v>
      </c>
      <c r="H17" s="5">
        <f t="shared" si="3"/>
        <v>1</v>
      </c>
      <c r="I17" s="5">
        <f t="shared" si="4"/>
        <v>1</v>
      </c>
    </row>
    <row r="18" spans="1:9">
      <c r="A18">
        <v>17</v>
      </c>
      <c r="B18">
        <v>6</v>
      </c>
      <c r="C18">
        <v>5000</v>
      </c>
      <c r="D18">
        <v>4894</v>
      </c>
      <c r="E18" s="5">
        <f t="shared" si="1"/>
        <v>106</v>
      </c>
      <c r="F18" s="5">
        <f t="shared" si="2"/>
        <v>11236</v>
      </c>
      <c r="G18" s="6">
        <f>SQRT(SUM($F$2:F18)/A18)</f>
        <v>1396.0209209623995</v>
      </c>
      <c r="H18" s="5">
        <f t="shared" si="3"/>
        <v>1</v>
      </c>
      <c r="I18" s="5">
        <f t="shared" si="4"/>
        <v>1</v>
      </c>
    </row>
    <row r="19" spans="1:9">
      <c r="A19">
        <v>18</v>
      </c>
      <c r="B19">
        <v>5</v>
      </c>
      <c r="C19">
        <v>5000</v>
      </c>
      <c r="D19">
        <v>3569</v>
      </c>
      <c r="E19" s="5">
        <f t="shared" si="1"/>
        <v>1431</v>
      </c>
      <c r="F19" s="5">
        <f t="shared" si="2"/>
        <v>2047761</v>
      </c>
      <c r="G19" s="6">
        <f>SQRT(SUM($F$2:F19)/A19)</f>
        <v>1397.9871641439026</v>
      </c>
      <c r="H19" s="5">
        <f t="shared" si="3"/>
        <v>0</v>
      </c>
      <c r="I19" s="5">
        <f t="shared" si="4"/>
        <v>0</v>
      </c>
    </row>
    <row r="20" spans="1:9">
      <c r="A20">
        <v>19</v>
      </c>
      <c r="B20">
        <v>7</v>
      </c>
      <c r="C20">
        <v>5000</v>
      </c>
      <c r="D20">
        <v>5408</v>
      </c>
      <c r="E20" s="5">
        <f t="shared" si="1"/>
        <v>408</v>
      </c>
      <c r="F20" s="5">
        <f t="shared" si="2"/>
        <v>166464</v>
      </c>
      <c r="G20" s="6">
        <f>SQRT(SUM($F$2:F20)/A20)</f>
        <v>1363.9163811380968</v>
      </c>
      <c r="H20" s="5">
        <f t="shared" si="3"/>
        <v>1</v>
      </c>
      <c r="I20" s="5">
        <f t="shared" si="4"/>
        <v>1</v>
      </c>
    </row>
    <row r="21" spans="1:9">
      <c r="A21">
        <v>20</v>
      </c>
      <c r="B21">
        <v>5</v>
      </c>
      <c r="C21">
        <v>5000</v>
      </c>
      <c r="D21">
        <v>4202</v>
      </c>
      <c r="E21" s="5">
        <f t="shared" si="1"/>
        <v>798</v>
      </c>
      <c r="F21" s="5">
        <f t="shared" si="2"/>
        <v>636804</v>
      </c>
      <c r="G21" s="6">
        <f>SQRT(SUM($F$2:F21)/A21)</f>
        <v>1341.3033586776705</v>
      </c>
      <c r="H21" s="5">
        <f t="shared" si="3"/>
        <v>1</v>
      </c>
      <c r="I21" s="5">
        <f t="shared" si="4"/>
        <v>0</v>
      </c>
    </row>
    <row r="22" spans="1:9">
      <c r="A22">
        <v>21</v>
      </c>
      <c r="B22">
        <v>7</v>
      </c>
      <c r="C22">
        <v>5000</v>
      </c>
      <c r="D22">
        <v>5334</v>
      </c>
      <c r="E22" s="5">
        <f t="shared" si="1"/>
        <v>334</v>
      </c>
      <c r="F22" s="5">
        <f t="shared" si="2"/>
        <v>111556</v>
      </c>
      <c r="G22" s="6">
        <f>SQRT(SUM($F$2:F22)/A22)</f>
        <v>1311.0056118437153</v>
      </c>
      <c r="H22" s="5">
        <f t="shared" si="3"/>
        <v>1</v>
      </c>
      <c r="I22" s="5">
        <f t="shared" si="4"/>
        <v>1</v>
      </c>
    </row>
    <row r="23" spans="1:9">
      <c r="A23">
        <v>22</v>
      </c>
      <c r="B23">
        <v>5</v>
      </c>
      <c r="C23">
        <v>5000</v>
      </c>
      <c r="D23">
        <v>4003</v>
      </c>
      <c r="E23" s="5">
        <f t="shared" si="1"/>
        <v>997</v>
      </c>
      <c r="F23" s="5">
        <f t="shared" si="2"/>
        <v>994009</v>
      </c>
      <c r="G23" s="6">
        <f>SQRT(SUM($F$2:F23)/A23)</f>
        <v>1298.3811423881243</v>
      </c>
      <c r="H23" s="5">
        <f t="shared" si="3"/>
        <v>1</v>
      </c>
      <c r="I23" s="5">
        <f t="shared" si="4"/>
        <v>0</v>
      </c>
    </row>
    <row r="24" spans="1:9">
      <c r="A24">
        <v>23</v>
      </c>
      <c r="B24">
        <v>7</v>
      </c>
      <c r="C24">
        <v>5000</v>
      </c>
      <c r="D24">
        <v>6209</v>
      </c>
      <c r="E24" s="5">
        <f t="shared" si="1"/>
        <v>1209</v>
      </c>
      <c r="F24" s="5">
        <f t="shared" si="2"/>
        <v>1461681</v>
      </c>
      <c r="G24" s="6">
        <f>SQRT(SUM($F$2:F24)/A24)</f>
        <v>1294.6233294736317</v>
      </c>
      <c r="H24" s="5">
        <f t="shared" si="3"/>
        <v>0</v>
      </c>
      <c r="I24" s="5">
        <f t="shared" si="4"/>
        <v>0</v>
      </c>
    </row>
    <row r="25" spans="1:9">
      <c r="A25">
        <v>24</v>
      </c>
      <c r="B25">
        <v>4</v>
      </c>
      <c r="C25">
        <v>5000</v>
      </c>
      <c r="D25">
        <v>2780</v>
      </c>
      <c r="E25" s="5">
        <f t="shared" si="1"/>
        <v>2220</v>
      </c>
      <c r="F25" s="5">
        <f t="shared" si="2"/>
        <v>4928400</v>
      </c>
      <c r="G25" s="6">
        <f>SQRT(SUM($F$2:F25)/A25)</f>
        <v>1345.9435971342434</v>
      </c>
      <c r="H25" s="5">
        <f t="shared" si="3"/>
        <v>0</v>
      </c>
      <c r="I25" s="5">
        <f t="shared" si="4"/>
        <v>0</v>
      </c>
    </row>
    <row r="26" spans="1:9">
      <c r="A26">
        <v>25</v>
      </c>
      <c r="B26">
        <v>8</v>
      </c>
      <c r="C26">
        <v>5000</v>
      </c>
      <c r="D26">
        <v>3807</v>
      </c>
      <c r="E26" s="5">
        <f t="shared" si="1"/>
        <v>1193</v>
      </c>
      <c r="F26" s="5">
        <f t="shared" si="2"/>
        <v>1423249</v>
      </c>
      <c r="G26" s="6">
        <f>SQRT(SUM($F$2:F26)/A26)</f>
        <v>1340.1610201763071</v>
      </c>
      <c r="H26" s="5">
        <f t="shared" si="3"/>
        <v>0</v>
      </c>
      <c r="I26" s="5">
        <f t="shared" si="4"/>
        <v>0</v>
      </c>
    </row>
    <row r="27" spans="1:9">
      <c r="A27">
        <v>26</v>
      </c>
      <c r="B27">
        <v>8</v>
      </c>
      <c r="C27">
        <v>5000</v>
      </c>
      <c r="D27">
        <v>1551</v>
      </c>
      <c r="E27" s="5">
        <f t="shared" si="1"/>
        <v>3449</v>
      </c>
      <c r="F27" s="5">
        <f t="shared" si="2"/>
        <v>11895601</v>
      </c>
      <c r="G27" s="6">
        <f>SQRT(SUM($F$2:F27)/A27)</f>
        <v>1477.9974757967411</v>
      </c>
      <c r="H27" s="5">
        <f t="shared" si="3"/>
        <v>0</v>
      </c>
      <c r="I27" s="5">
        <f t="shared" si="4"/>
        <v>0</v>
      </c>
    </row>
    <row r="28" spans="1:9">
      <c r="A28">
        <v>27</v>
      </c>
      <c r="B28">
        <v>11</v>
      </c>
      <c r="C28">
        <v>5000</v>
      </c>
      <c r="D28">
        <v>5330</v>
      </c>
      <c r="E28" s="5">
        <f t="shared" si="1"/>
        <v>330</v>
      </c>
      <c r="F28" s="5">
        <f t="shared" si="2"/>
        <v>108900</v>
      </c>
      <c r="G28" s="6">
        <f>SQRT(SUM($F$2:F28)/A28)</f>
        <v>1451.758703550054</v>
      </c>
      <c r="H28" s="5">
        <f t="shared" si="3"/>
        <v>1</v>
      </c>
      <c r="I28" s="5">
        <f t="shared" si="4"/>
        <v>1</v>
      </c>
    </row>
    <row r="29" spans="1:9">
      <c r="A29">
        <v>28</v>
      </c>
      <c r="B29">
        <v>7</v>
      </c>
      <c r="C29">
        <v>5000</v>
      </c>
      <c r="D29">
        <v>4025</v>
      </c>
      <c r="E29" s="5">
        <f t="shared" si="1"/>
        <v>975</v>
      </c>
      <c r="F29" s="5">
        <f t="shared" si="2"/>
        <v>950625</v>
      </c>
      <c r="G29" s="6">
        <f>SQRT(SUM($F$2:F29)/A29)</f>
        <v>1437.4570179909481</v>
      </c>
      <c r="H29" s="5">
        <f t="shared" si="3"/>
        <v>1</v>
      </c>
      <c r="I29" s="5">
        <f t="shared" si="4"/>
        <v>0</v>
      </c>
    </row>
    <row r="30" spans="1:9">
      <c r="A30">
        <v>29</v>
      </c>
      <c r="B30">
        <v>9</v>
      </c>
      <c r="C30">
        <v>5000</v>
      </c>
      <c r="D30">
        <v>5322</v>
      </c>
      <c r="E30" s="5">
        <f t="shared" si="1"/>
        <v>322</v>
      </c>
      <c r="F30" s="5">
        <f t="shared" si="2"/>
        <v>103684</v>
      </c>
      <c r="G30" s="6">
        <f>SQRT(SUM($F$2:F30)/A30)</f>
        <v>1413.7209279306032</v>
      </c>
      <c r="H30" s="5">
        <f t="shared" si="3"/>
        <v>1</v>
      </c>
      <c r="I30" s="5">
        <f t="shared" si="4"/>
        <v>1</v>
      </c>
    </row>
    <row r="31" spans="1:9">
      <c r="A31">
        <v>30</v>
      </c>
      <c r="B31">
        <v>7</v>
      </c>
      <c r="C31">
        <v>5000</v>
      </c>
      <c r="D31">
        <v>3590</v>
      </c>
      <c r="E31" s="5">
        <f t="shared" si="1"/>
        <v>1410</v>
      </c>
      <c r="F31" s="5">
        <f t="shared" si="2"/>
        <v>1988100</v>
      </c>
      <c r="G31" s="6">
        <f>SQRT(SUM($F$2:F31)/A31)</f>
        <v>1413.5970547979127</v>
      </c>
      <c r="H31" s="5">
        <f t="shared" si="3"/>
        <v>0</v>
      </c>
      <c r="I31" s="5">
        <f t="shared" si="4"/>
        <v>0</v>
      </c>
    </row>
    <row r="32" spans="1:9">
      <c r="A32">
        <v>31</v>
      </c>
      <c r="B32">
        <v>9</v>
      </c>
      <c r="C32">
        <v>5000</v>
      </c>
      <c r="D32">
        <v>5701</v>
      </c>
      <c r="E32" s="5">
        <f t="shared" si="1"/>
        <v>701</v>
      </c>
      <c r="F32" s="5">
        <f t="shared" si="2"/>
        <v>491401</v>
      </c>
      <c r="G32" s="6">
        <f>SQRT(SUM($F$2:F32)/A32)</f>
        <v>1396.2981010861449</v>
      </c>
      <c r="H32" s="5">
        <f t="shared" si="3"/>
        <v>1</v>
      </c>
      <c r="I32" s="5">
        <f t="shared" si="4"/>
        <v>0</v>
      </c>
    </row>
    <row r="33" spans="1:9">
      <c r="A33">
        <v>32</v>
      </c>
      <c r="B33">
        <v>7</v>
      </c>
      <c r="C33">
        <v>5000</v>
      </c>
      <c r="D33">
        <v>4395</v>
      </c>
      <c r="E33" s="5">
        <f t="shared" si="1"/>
        <v>605</v>
      </c>
      <c r="F33" s="5">
        <f t="shared" si="2"/>
        <v>366025</v>
      </c>
      <c r="G33" s="6">
        <f>SQRT(SUM($F$2:F33)/A33)</f>
        <v>1378.4629687626723</v>
      </c>
      <c r="H33" s="5">
        <f t="shared" si="3"/>
        <v>1</v>
      </c>
      <c r="I33" s="5">
        <f t="shared" si="4"/>
        <v>0</v>
      </c>
    </row>
    <row r="34" spans="1:9">
      <c r="A34">
        <v>33</v>
      </c>
      <c r="B34">
        <v>9</v>
      </c>
      <c r="C34">
        <v>5000</v>
      </c>
      <c r="D34">
        <v>6076</v>
      </c>
      <c r="E34" s="5">
        <f t="shared" si="1"/>
        <v>1076</v>
      </c>
      <c r="F34" s="5">
        <f t="shared" si="2"/>
        <v>1157776</v>
      </c>
      <c r="G34" s="6">
        <f>SQRT(SUM($F$2:F34)/A34)</f>
        <v>1370.2786821178627</v>
      </c>
      <c r="H34" s="5">
        <f t="shared" si="3"/>
        <v>0</v>
      </c>
      <c r="I34" s="5">
        <f t="shared" si="4"/>
        <v>0</v>
      </c>
    </row>
    <row r="35" spans="1:9">
      <c r="A35">
        <v>34</v>
      </c>
      <c r="B35">
        <v>7</v>
      </c>
      <c r="C35">
        <v>5000</v>
      </c>
      <c r="D35">
        <v>4290</v>
      </c>
      <c r="E35" s="5">
        <f t="shared" si="1"/>
        <v>710</v>
      </c>
      <c r="F35" s="5">
        <f t="shared" si="2"/>
        <v>504100</v>
      </c>
      <c r="G35" s="6">
        <f>SQRT(SUM($F$2:F35)/A35)</f>
        <v>1355.4573897006567</v>
      </c>
      <c r="H35" s="5">
        <f t="shared" si="3"/>
        <v>1</v>
      </c>
      <c r="I35" s="5">
        <f t="shared" si="4"/>
        <v>0</v>
      </c>
    </row>
    <row r="36" spans="1:9">
      <c r="A36">
        <v>35</v>
      </c>
      <c r="B36">
        <v>9</v>
      </c>
      <c r="C36">
        <v>5000</v>
      </c>
      <c r="D36">
        <v>5710</v>
      </c>
      <c r="E36" s="5">
        <f t="shared" si="1"/>
        <v>710</v>
      </c>
      <c r="F36" s="5">
        <f t="shared" si="2"/>
        <v>504100</v>
      </c>
      <c r="G36" s="6">
        <f>SQRT(SUM($F$2:F36)/A36)</f>
        <v>1341.3330363059408</v>
      </c>
      <c r="H36" s="5">
        <f t="shared" si="3"/>
        <v>1</v>
      </c>
      <c r="I36" s="5">
        <f t="shared" si="4"/>
        <v>0</v>
      </c>
    </row>
    <row r="37" spans="1:9">
      <c r="A37">
        <v>36</v>
      </c>
      <c r="B37">
        <v>7</v>
      </c>
      <c r="C37">
        <v>5000</v>
      </c>
      <c r="D37">
        <v>4680</v>
      </c>
      <c r="E37" s="5">
        <f t="shared" si="1"/>
        <v>320</v>
      </c>
      <c r="F37" s="5">
        <f t="shared" si="2"/>
        <v>102400</v>
      </c>
      <c r="G37" s="6">
        <f>SQRT(SUM($F$2:F37)/A37)</f>
        <v>1323.6471185495191</v>
      </c>
      <c r="H37" s="5">
        <f t="shared" si="3"/>
        <v>1</v>
      </c>
      <c r="I37" s="5">
        <f t="shared" si="4"/>
        <v>1</v>
      </c>
    </row>
    <row r="38" spans="1:9">
      <c r="A38">
        <v>37</v>
      </c>
      <c r="B38">
        <v>8</v>
      </c>
      <c r="C38">
        <v>5000</v>
      </c>
      <c r="D38">
        <v>5545</v>
      </c>
      <c r="E38" s="5">
        <f t="shared" si="1"/>
        <v>545</v>
      </c>
      <c r="F38" s="5">
        <f t="shared" si="2"/>
        <v>297025</v>
      </c>
      <c r="G38" s="6">
        <f>SQRT(SUM($F$2:F38)/A38)</f>
        <v>1308.7081106644516</v>
      </c>
      <c r="H38" s="5">
        <f t="shared" si="3"/>
        <v>1</v>
      </c>
      <c r="I38" s="5">
        <f t="shared" si="4"/>
        <v>0</v>
      </c>
    </row>
    <row r="39" spans="1:9">
      <c r="A39">
        <v>38</v>
      </c>
      <c r="B39">
        <v>7</v>
      </c>
      <c r="C39">
        <v>5000</v>
      </c>
      <c r="D39">
        <v>4833</v>
      </c>
      <c r="E39" s="5">
        <f t="shared" si="1"/>
        <v>167</v>
      </c>
      <c r="F39" s="5">
        <f t="shared" si="2"/>
        <v>27889</v>
      </c>
      <c r="G39" s="6">
        <f>SQRT(SUM($F$2:F39)/A39)</f>
        <v>1291.6575947615772</v>
      </c>
      <c r="H39" s="5">
        <f t="shared" si="3"/>
        <v>1</v>
      </c>
      <c r="I39" s="5">
        <f t="shared" si="4"/>
        <v>1</v>
      </c>
    </row>
    <row r="40" spans="1:9">
      <c r="A40">
        <v>39</v>
      </c>
      <c r="B40">
        <v>8</v>
      </c>
      <c r="C40">
        <v>5000</v>
      </c>
      <c r="D40">
        <v>5774</v>
      </c>
      <c r="E40" s="5">
        <f t="shared" si="1"/>
        <v>774</v>
      </c>
      <c r="F40" s="5">
        <f t="shared" si="2"/>
        <v>599076</v>
      </c>
      <c r="G40" s="6">
        <f>SQRT(SUM($F$2:F40)/A40)</f>
        <v>1281.0001200984752</v>
      </c>
      <c r="H40" s="5">
        <f t="shared" si="3"/>
        <v>1</v>
      </c>
      <c r="I40" s="5">
        <f t="shared" si="4"/>
        <v>0</v>
      </c>
    </row>
    <row r="41" spans="1:9">
      <c r="A41">
        <v>40</v>
      </c>
      <c r="B41">
        <v>7</v>
      </c>
      <c r="C41">
        <v>5000</v>
      </c>
      <c r="D41">
        <v>5580</v>
      </c>
      <c r="E41" s="5">
        <f t="shared" si="1"/>
        <v>580</v>
      </c>
      <c r="F41" s="5">
        <f t="shared" si="2"/>
        <v>336400</v>
      </c>
      <c r="G41" s="6">
        <f>SQRT(SUM($F$2:F41)/A41)</f>
        <v>1268.2063219366162</v>
      </c>
      <c r="H41" s="5">
        <f t="shared" si="3"/>
        <v>1</v>
      </c>
      <c r="I41" s="5">
        <f t="shared" si="4"/>
        <v>0</v>
      </c>
    </row>
    <row r="42" spans="1:9">
      <c r="A42">
        <v>41</v>
      </c>
      <c r="B42">
        <v>7</v>
      </c>
      <c r="C42">
        <v>5000</v>
      </c>
      <c r="D42">
        <v>4801</v>
      </c>
      <c r="E42" s="5">
        <f t="shared" si="1"/>
        <v>199</v>
      </c>
      <c r="F42" s="5">
        <f t="shared" si="2"/>
        <v>39601</v>
      </c>
      <c r="G42" s="6">
        <f>SQRT(SUM($F$2:F42)/A42)</f>
        <v>1253.0303949752006</v>
      </c>
      <c r="H42" s="5">
        <f t="shared" si="3"/>
        <v>1</v>
      </c>
      <c r="I42" s="5">
        <f t="shared" si="4"/>
        <v>1</v>
      </c>
    </row>
    <row r="43" spans="1:9">
      <c r="A43">
        <v>42</v>
      </c>
      <c r="B43">
        <v>8</v>
      </c>
      <c r="C43">
        <v>5000</v>
      </c>
      <c r="D43">
        <v>5846</v>
      </c>
      <c r="E43" s="5">
        <f t="shared" si="1"/>
        <v>846</v>
      </c>
      <c r="F43" s="5">
        <f t="shared" si="2"/>
        <v>715716</v>
      </c>
      <c r="G43" s="6">
        <f>SQRT(SUM($F$2:F43)/A43)</f>
        <v>1244.8867609622362</v>
      </c>
      <c r="H43" s="5">
        <f t="shared" si="3"/>
        <v>1</v>
      </c>
      <c r="I43" s="5">
        <f t="shared" si="4"/>
        <v>0</v>
      </c>
    </row>
    <row r="44" spans="1:9">
      <c r="A44">
        <v>43</v>
      </c>
      <c r="B44">
        <v>6</v>
      </c>
      <c r="C44">
        <v>5000</v>
      </c>
      <c r="D44">
        <v>4705</v>
      </c>
      <c r="E44" s="5">
        <f t="shared" si="1"/>
        <v>295</v>
      </c>
      <c r="F44" s="5">
        <f t="shared" si="2"/>
        <v>87025</v>
      </c>
      <c r="G44" s="6">
        <f>SQRT(SUM($F$2:F44)/A44)</f>
        <v>1231.1483861977033</v>
      </c>
      <c r="H44" s="5">
        <f t="shared" si="3"/>
        <v>1</v>
      </c>
      <c r="I44" s="5">
        <f t="shared" si="4"/>
        <v>1</v>
      </c>
    </row>
    <row r="45" spans="1:9">
      <c r="A45">
        <v>44</v>
      </c>
      <c r="B45">
        <v>8</v>
      </c>
      <c r="C45">
        <v>5000</v>
      </c>
      <c r="D45">
        <v>5689</v>
      </c>
      <c r="E45" s="5">
        <f t="shared" si="1"/>
        <v>689</v>
      </c>
      <c r="F45" s="5">
        <f t="shared" si="2"/>
        <v>474721</v>
      </c>
      <c r="G45" s="6">
        <f>SQRT(SUM($F$2:F45)/A45)</f>
        <v>1221.5020001472108</v>
      </c>
      <c r="H45" s="5">
        <f t="shared" si="3"/>
        <v>1</v>
      </c>
      <c r="I45" s="5">
        <f t="shared" si="4"/>
        <v>0</v>
      </c>
    </row>
    <row r="46" spans="1:9">
      <c r="A46">
        <v>45</v>
      </c>
      <c r="B46">
        <v>6</v>
      </c>
      <c r="C46">
        <v>5000</v>
      </c>
      <c r="D46">
        <v>4608</v>
      </c>
      <c r="E46" s="5">
        <f t="shared" si="1"/>
        <v>392</v>
      </c>
      <c r="F46" s="5">
        <f t="shared" si="2"/>
        <v>153664</v>
      </c>
      <c r="G46" s="6">
        <f>SQRT(SUM($F$2:F46)/A46)</f>
        <v>1209.2662421668954</v>
      </c>
      <c r="H46" s="5">
        <f t="shared" si="3"/>
        <v>1</v>
      </c>
      <c r="I46" s="5">
        <f t="shared" si="4"/>
        <v>1</v>
      </c>
    </row>
    <row r="47" spans="1:9">
      <c r="A47">
        <v>46</v>
      </c>
      <c r="B47">
        <v>8</v>
      </c>
      <c r="C47">
        <v>5000</v>
      </c>
      <c r="D47">
        <v>5199</v>
      </c>
      <c r="E47" s="5">
        <f t="shared" si="1"/>
        <v>199</v>
      </c>
      <c r="F47" s="5">
        <f t="shared" si="2"/>
        <v>39601</v>
      </c>
      <c r="G47" s="6">
        <f>SQRT(SUM($F$2:F47)/A47)</f>
        <v>1196.409656103373</v>
      </c>
      <c r="H47" s="5">
        <f t="shared" si="3"/>
        <v>1</v>
      </c>
      <c r="I47" s="5">
        <f t="shared" si="4"/>
        <v>1</v>
      </c>
    </row>
    <row r="48" spans="1:9">
      <c r="A48">
        <v>47</v>
      </c>
      <c r="B48">
        <v>7</v>
      </c>
      <c r="C48">
        <v>5000</v>
      </c>
      <c r="D48">
        <v>4078</v>
      </c>
      <c r="E48" s="5">
        <f t="shared" si="1"/>
        <v>922</v>
      </c>
      <c r="F48" s="5">
        <f t="shared" si="2"/>
        <v>850084</v>
      </c>
      <c r="G48" s="6">
        <f>SQRT(SUM($F$2:F48)/A48)</f>
        <v>1191.2295007278217</v>
      </c>
      <c r="H48" s="5">
        <f t="shared" si="3"/>
        <v>1</v>
      </c>
      <c r="I48" s="5">
        <f t="shared" si="4"/>
        <v>0</v>
      </c>
    </row>
    <row r="49" spans="1:9">
      <c r="A49">
        <v>48</v>
      </c>
      <c r="B49">
        <v>8</v>
      </c>
      <c r="C49">
        <v>5000</v>
      </c>
      <c r="D49">
        <v>4966</v>
      </c>
      <c r="E49" s="5">
        <f t="shared" si="1"/>
        <v>34</v>
      </c>
      <c r="F49" s="5">
        <f t="shared" si="2"/>
        <v>1156</v>
      </c>
      <c r="G49" s="6">
        <f>SQRT(SUM($F$2:F49)/A49)</f>
        <v>1178.7657651826621</v>
      </c>
      <c r="H49" s="5">
        <f t="shared" si="3"/>
        <v>1</v>
      </c>
      <c r="I49" s="5">
        <f t="shared" si="4"/>
        <v>1</v>
      </c>
    </row>
    <row r="50" spans="1:9">
      <c r="A50">
        <v>49</v>
      </c>
      <c r="B50">
        <v>7</v>
      </c>
      <c r="C50">
        <v>5000</v>
      </c>
      <c r="D50">
        <v>5251</v>
      </c>
      <c r="E50" s="5">
        <f t="shared" si="1"/>
        <v>251</v>
      </c>
      <c r="F50" s="5">
        <f t="shared" si="2"/>
        <v>63001</v>
      </c>
      <c r="G50" s="6">
        <f>SQRT(SUM($F$2:F50)/A50)</f>
        <v>1167.2264351960198</v>
      </c>
      <c r="H50" s="5">
        <f t="shared" si="3"/>
        <v>1</v>
      </c>
      <c r="I50" s="5">
        <f t="shared" si="4"/>
        <v>1</v>
      </c>
    </row>
    <row r="51" spans="1:9">
      <c r="A51">
        <v>50</v>
      </c>
      <c r="B51">
        <v>7</v>
      </c>
      <c r="C51">
        <v>5000</v>
      </c>
      <c r="D51">
        <v>5059</v>
      </c>
      <c r="E51" s="5">
        <f t="shared" si="1"/>
        <v>59</v>
      </c>
      <c r="F51" s="5">
        <f t="shared" si="2"/>
        <v>3481</v>
      </c>
      <c r="G51" s="6">
        <f>SQRT(SUM($F$2:F51)/A51)</f>
        <v>1155.5253437289898</v>
      </c>
      <c r="H51" s="5">
        <f t="shared" si="3"/>
        <v>1</v>
      </c>
      <c r="I51" s="5">
        <f t="shared" si="4"/>
        <v>1</v>
      </c>
    </row>
    <row r="52" spans="1:9">
      <c r="A52">
        <v>51</v>
      </c>
      <c r="B52">
        <v>7</v>
      </c>
      <c r="C52">
        <v>5000</v>
      </c>
      <c r="D52">
        <v>4831</v>
      </c>
      <c r="E52" s="5">
        <f t="shared" si="1"/>
        <v>169</v>
      </c>
      <c r="F52" s="5">
        <f t="shared" si="2"/>
        <v>28561</v>
      </c>
      <c r="G52" s="6">
        <f>SQRT(SUM($F$2:F52)/A52)</f>
        <v>1144.3852875122564</v>
      </c>
      <c r="H52" s="5">
        <f t="shared" si="3"/>
        <v>1</v>
      </c>
      <c r="I52" s="5">
        <f t="shared" si="4"/>
        <v>1</v>
      </c>
    </row>
    <row r="53" spans="1:9">
      <c r="A53">
        <v>52</v>
      </c>
      <c r="B53">
        <v>8</v>
      </c>
      <c r="C53">
        <v>5000</v>
      </c>
      <c r="D53">
        <v>5552</v>
      </c>
      <c r="E53" s="5">
        <f t="shared" si="1"/>
        <v>552</v>
      </c>
      <c r="F53" s="5">
        <f t="shared" si="2"/>
        <v>304704</v>
      </c>
      <c r="G53" s="6">
        <f>SQRT(SUM($F$2:F53)/A53)</f>
        <v>1135.9103939470415</v>
      </c>
      <c r="H53" s="5">
        <f t="shared" si="3"/>
        <v>1</v>
      </c>
      <c r="I53" s="5">
        <f t="shared" si="4"/>
        <v>0</v>
      </c>
    </row>
    <row r="54" spans="1:9">
      <c r="A54">
        <v>53</v>
      </c>
      <c r="B54">
        <v>7</v>
      </c>
      <c r="C54">
        <v>5000</v>
      </c>
      <c r="D54">
        <v>5396</v>
      </c>
      <c r="E54" s="5">
        <f t="shared" si="1"/>
        <v>396</v>
      </c>
      <c r="F54" s="5">
        <f t="shared" si="2"/>
        <v>156816</v>
      </c>
      <c r="G54" s="6">
        <f>SQRT(SUM($F$2:F54)/A54)</f>
        <v>1126.4573118728015</v>
      </c>
      <c r="H54" s="5">
        <f t="shared" si="3"/>
        <v>1</v>
      </c>
      <c r="I54" s="5">
        <f t="shared" si="4"/>
        <v>1</v>
      </c>
    </row>
    <row r="55" spans="1:9">
      <c r="A55">
        <v>54</v>
      </c>
      <c r="B55">
        <v>7</v>
      </c>
      <c r="C55">
        <v>5000</v>
      </c>
      <c r="D55">
        <v>5670</v>
      </c>
      <c r="E55" s="5">
        <f t="shared" si="1"/>
        <v>670</v>
      </c>
      <c r="F55" s="5">
        <f t="shared" si="2"/>
        <v>448900</v>
      </c>
      <c r="G55" s="6">
        <f>SQRT(SUM($F$2:F55)/A55)</f>
        <v>1119.6967347356951</v>
      </c>
      <c r="H55" s="5">
        <f t="shared" si="3"/>
        <v>1</v>
      </c>
      <c r="I55" s="5">
        <f t="shared" si="4"/>
        <v>0</v>
      </c>
    </row>
    <row r="56" spans="1:9">
      <c r="A56">
        <v>55</v>
      </c>
      <c r="B56">
        <v>6</v>
      </c>
      <c r="C56">
        <v>5000</v>
      </c>
      <c r="D56">
        <v>4564</v>
      </c>
      <c r="E56" s="5">
        <f t="shared" si="1"/>
        <v>436</v>
      </c>
      <c r="F56" s="5">
        <f t="shared" si="2"/>
        <v>190096</v>
      </c>
      <c r="G56" s="6">
        <f>SQRT(SUM($F$2:F56)/A56)</f>
        <v>1111.0275178655772</v>
      </c>
      <c r="H56" s="5">
        <f t="shared" si="3"/>
        <v>1</v>
      </c>
      <c r="I56" s="5">
        <f t="shared" si="4"/>
        <v>1</v>
      </c>
    </row>
    <row r="57" spans="1:9">
      <c r="A57">
        <v>56</v>
      </c>
      <c r="B57">
        <v>7</v>
      </c>
      <c r="C57">
        <v>5000</v>
      </c>
      <c r="D57">
        <v>5310</v>
      </c>
      <c r="E57" s="5">
        <f t="shared" si="1"/>
        <v>310</v>
      </c>
      <c r="F57" s="5">
        <f t="shared" si="2"/>
        <v>96100</v>
      </c>
      <c r="G57" s="6">
        <f>SQRT(SUM($F$2:F57)/A57)</f>
        <v>1101.8419480903005</v>
      </c>
      <c r="H57" s="5">
        <f t="shared" si="3"/>
        <v>1</v>
      </c>
      <c r="I57" s="5">
        <f t="shared" si="4"/>
        <v>1</v>
      </c>
    </row>
    <row r="58" spans="1:9">
      <c r="A58">
        <v>57</v>
      </c>
      <c r="B58">
        <v>7</v>
      </c>
      <c r="C58">
        <v>5000</v>
      </c>
      <c r="D58">
        <v>4783</v>
      </c>
      <c r="E58" s="5">
        <f t="shared" si="1"/>
        <v>217</v>
      </c>
      <c r="F58" s="5">
        <f t="shared" si="2"/>
        <v>47089</v>
      </c>
      <c r="G58" s="6">
        <f>SQRT(SUM($F$2:F58)/A58)</f>
        <v>1092.5120497950438</v>
      </c>
      <c r="H58" s="5">
        <f t="shared" si="3"/>
        <v>1</v>
      </c>
      <c r="I58" s="5">
        <f t="shared" si="4"/>
        <v>1</v>
      </c>
    </row>
    <row r="59" spans="1:9">
      <c r="A59">
        <v>58</v>
      </c>
      <c r="B59">
        <v>7</v>
      </c>
      <c r="C59">
        <v>5000</v>
      </c>
      <c r="D59">
        <v>4907</v>
      </c>
      <c r="E59" s="5">
        <f t="shared" si="1"/>
        <v>93</v>
      </c>
      <c r="F59" s="5">
        <f t="shared" si="2"/>
        <v>8649</v>
      </c>
      <c r="G59" s="6">
        <f>SQRT(SUM($F$2:F59)/A59)</f>
        <v>1083.121733534681</v>
      </c>
      <c r="H59" s="5">
        <f t="shared" si="3"/>
        <v>1</v>
      </c>
      <c r="I59" s="5">
        <f t="shared" si="4"/>
        <v>1</v>
      </c>
    </row>
    <row r="60" spans="1:9">
      <c r="A60">
        <v>59</v>
      </c>
      <c r="B60">
        <v>7</v>
      </c>
      <c r="C60">
        <v>5000</v>
      </c>
      <c r="D60">
        <v>5255</v>
      </c>
      <c r="E60" s="5">
        <f t="shared" si="1"/>
        <v>255</v>
      </c>
      <c r="F60" s="5">
        <f t="shared" si="2"/>
        <v>65025</v>
      </c>
      <c r="G60" s="6">
        <f>SQRT(SUM($F$2:F60)/A60)</f>
        <v>1074.4165227726069</v>
      </c>
      <c r="H60" s="5">
        <f t="shared" si="3"/>
        <v>1</v>
      </c>
      <c r="I60" s="5">
        <f t="shared" si="4"/>
        <v>1</v>
      </c>
    </row>
    <row r="61" spans="1:9">
      <c r="A61">
        <v>60</v>
      </c>
      <c r="B61">
        <v>7</v>
      </c>
      <c r="C61">
        <v>5000</v>
      </c>
      <c r="D61">
        <v>5757</v>
      </c>
      <c r="E61" s="5">
        <f t="shared" si="1"/>
        <v>757</v>
      </c>
      <c r="F61" s="5">
        <f t="shared" si="2"/>
        <v>573049</v>
      </c>
      <c r="G61" s="6">
        <f>SQRT(SUM($F$2:F61)/A61)</f>
        <v>1069.8982038804752</v>
      </c>
      <c r="H61" s="5">
        <f t="shared" si="3"/>
        <v>1</v>
      </c>
      <c r="I61" s="5">
        <f t="shared" si="4"/>
        <v>0</v>
      </c>
    </row>
    <row r="62" spans="1:9">
      <c r="A62">
        <v>61</v>
      </c>
      <c r="B62">
        <v>6</v>
      </c>
      <c r="C62">
        <v>5000</v>
      </c>
      <c r="D62">
        <v>4406</v>
      </c>
      <c r="E62" s="5">
        <f t="shared" si="1"/>
        <v>594</v>
      </c>
      <c r="F62" s="5">
        <f t="shared" si="2"/>
        <v>352836</v>
      </c>
      <c r="G62" s="6">
        <f>SQRT(SUM($F$2:F62)/A62)</f>
        <v>1063.8144020303603</v>
      </c>
      <c r="H62" s="5">
        <f t="shared" si="3"/>
        <v>1</v>
      </c>
      <c r="I62" s="5">
        <f t="shared" si="4"/>
        <v>0</v>
      </c>
    </row>
    <row r="63" spans="1:9">
      <c r="A63">
        <v>62</v>
      </c>
      <c r="B63">
        <v>7</v>
      </c>
      <c r="C63">
        <v>5000</v>
      </c>
      <c r="D63">
        <v>5337</v>
      </c>
      <c r="E63" s="5">
        <f t="shared" si="1"/>
        <v>337</v>
      </c>
      <c r="F63" s="5">
        <f t="shared" si="2"/>
        <v>113569</v>
      </c>
      <c r="G63" s="6">
        <f>SQRT(SUM($F$2:F63)/A63)</f>
        <v>1056.0679887082051</v>
      </c>
      <c r="H63" s="5">
        <f t="shared" si="3"/>
        <v>1</v>
      </c>
      <c r="I63" s="5">
        <f t="shared" si="4"/>
        <v>1</v>
      </c>
    </row>
    <row r="64" spans="1:9">
      <c r="A64">
        <v>63</v>
      </c>
      <c r="B64">
        <v>6</v>
      </c>
      <c r="C64">
        <v>5000</v>
      </c>
      <c r="D64">
        <v>5100</v>
      </c>
      <c r="E64" s="5">
        <f t="shared" si="1"/>
        <v>100</v>
      </c>
      <c r="F64" s="5">
        <f t="shared" si="2"/>
        <v>10000</v>
      </c>
      <c r="G64" s="6">
        <f>SQRT(SUM($F$2:F64)/A64)</f>
        <v>1047.7287226140534</v>
      </c>
      <c r="H64" s="5">
        <f t="shared" si="3"/>
        <v>1</v>
      </c>
      <c r="I64" s="5">
        <f t="shared" si="4"/>
        <v>1</v>
      </c>
    </row>
    <row r="65" spans="1:9">
      <c r="A65">
        <v>64</v>
      </c>
      <c r="B65">
        <v>7</v>
      </c>
      <c r="C65">
        <v>5000</v>
      </c>
      <c r="D65">
        <v>5254</v>
      </c>
      <c r="E65" s="5">
        <f t="shared" si="1"/>
        <v>254</v>
      </c>
      <c r="F65" s="5">
        <f t="shared" si="2"/>
        <v>64516</v>
      </c>
      <c r="G65" s="6">
        <f>SQRT(SUM($F$2:F65)/A65)</f>
        <v>1039.9958758932653</v>
      </c>
      <c r="H65" s="5">
        <f t="shared" si="3"/>
        <v>1</v>
      </c>
      <c r="I65" s="5">
        <f t="shared" si="4"/>
        <v>1</v>
      </c>
    </row>
    <row r="66" spans="1:9">
      <c r="A66">
        <v>65</v>
      </c>
      <c r="B66">
        <v>6</v>
      </c>
      <c r="C66">
        <v>5000</v>
      </c>
      <c r="D66">
        <v>4516</v>
      </c>
      <c r="E66" s="5">
        <f t="shared" si="1"/>
        <v>484</v>
      </c>
      <c r="F66" s="5">
        <f t="shared" si="2"/>
        <v>234256</v>
      </c>
      <c r="G66" s="6">
        <f>SQRT(SUM($F$2:F66)/A66)</f>
        <v>1033.709578318636</v>
      </c>
      <c r="H66" s="5">
        <f t="shared" si="3"/>
        <v>1</v>
      </c>
      <c r="I66" s="5">
        <f t="shared" si="4"/>
        <v>1</v>
      </c>
    </row>
    <row r="67" spans="1:9">
      <c r="A67">
        <v>66</v>
      </c>
      <c r="B67">
        <v>7</v>
      </c>
      <c r="C67">
        <v>5000</v>
      </c>
      <c r="D67">
        <v>6005</v>
      </c>
      <c r="E67" s="5">
        <f t="shared" ref="E67:E130" si="5">ABS(C67-D67)</f>
        <v>1005</v>
      </c>
      <c r="F67" s="5">
        <f t="shared" ref="F67:F130" si="6">POWER(E67,2)</f>
        <v>1010025</v>
      </c>
      <c r="G67" s="6">
        <f>SQRT(SUM($F$2:F67)/A67)</f>
        <v>1033.2805362856047</v>
      </c>
      <c r="H67" s="5">
        <f t="shared" ref="H67:H130" si="7">IF(ABS(E67)/C67&gt;0.2,0,1)</f>
        <v>0</v>
      </c>
      <c r="I67" s="5">
        <f t="shared" ref="I67:I130" si="8">IF(ABS(E67)/C67&gt;0.1,0,1)</f>
        <v>0</v>
      </c>
    </row>
    <row r="68" spans="1:9">
      <c r="A68">
        <v>67</v>
      </c>
      <c r="B68">
        <v>6</v>
      </c>
      <c r="C68">
        <v>5000</v>
      </c>
      <c r="D68">
        <v>4883</v>
      </c>
      <c r="E68" s="5">
        <f t="shared" si="5"/>
        <v>117</v>
      </c>
      <c r="F68" s="5">
        <f t="shared" si="6"/>
        <v>13689</v>
      </c>
      <c r="G68" s="6">
        <f>SQRT(SUM($F$2:F68)/A68)</f>
        <v>1025.6401059171153</v>
      </c>
      <c r="H68" s="5">
        <f t="shared" si="7"/>
        <v>1</v>
      </c>
      <c r="I68" s="5">
        <f t="shared" si="8"/>
        <v>1</v>
      </c>
    </row>
    <row r="69" spans="1:9">
      <c r="A69">
        <v>68</v>
      </c>
      <c r="B69">
        <v>7</v>
      </c>
      <c r="C69">
        <v>5000</v>
      </c>
      <c r="D69">
        <v>5119</v>
      </c>
      <c r="E69" s="5">
        <f t="shared" si="5"/>
        <v>119</v>
      </c>
      <c r="F69" s="5">
        <f t="shared" si="6"/>
        <v>14161</v>
      </c>
      <c r="G69" s="6">
        <f>SQRT(SUM($F$2:F69)/A69)</f>
        <v>1018.172974441157</v>
      </c>
      <c r="H69" s="5">
        <f t="shared" si="7"/>
        <v>1</v>
      </c>
      <c r="I69" s="5">
        <f t="shared" si="8"/>
        <v>1</v>
      </c>
    </row>
    <row r="70" spans="1:9">
      <c r="A70">
        <v>69</v>
      </c>
      <c r="B70">
        <v>6</v>
      </c>
      <c r="C70">
        <v>5000</v>
      </c>
      <c r="D70">
        <v>4240</v>
      </c>
      <c r="E70" s="5">
        <f t="shared" si="5"/>
        <v>760</v>
      </c>
      <c r="F70" s="5">
        <f t="shared" si="6"/>
        <v>577600</v>
      </c>
      <c r="G70" s="6">
        <f>SQRT(SUM($F$2:F70)/A70)</f>
        <v>1014.9004520327262</v>
      </c>
      <c r="H70" s="5">
        <f t="shared" si="7"/>
        <v>1</v>
      </c>
      <c r="I70" s="5">
        <f t="shared" si="8"/>
        <v>0</v>
      </c>
    </row>
    <row r="71" spans="1:9">
      <c r="A71">
        <v>70</v>
      </c>
      <c r="B71">
        <v>8</v>
      </c>
      <c r="C71">
        <v>5000</v>
      </c>
      <c r="D71">
        <v>6067</v>
      </c>
      <c r="E71" s="5">
        <f t="shared" si="5"/>
        <v>1067</v>
      </c>
      <c r="F71" s="5">
        <f t="shared" si="6"/>
        <v>1138489</v>
      </c>
      <c r="G71" s="6">
        <f>SQRT(SUM($F$2:F71)/A71)</f>
        <v>1015.6635480596627</v>
      </c>
      <c r="H71" s="5">
        <f t="shared" si="7"/>
        <v>0</v>
      </c>
      <c r="I71" s="5">
        <f t="shared" si="8"/>
        <v>0</v>
      </c>
    </row>
    <row r="72" spans="1:9">
      <c r="A72">
        <v>71</v>
      </c>
      <c r="B72">
        <v>5</v>
      </c>
      <c r="C72">
        <v>5000</v>
      </c>
      <c r="D72">
        <v>4142</v>
      </c>
      <c r="E72" s="5">
        <f t="shared" si="5"/>
        <v>858</v>
      </c>
      <c r="F72" s="5">
        <f t="shared" si="6"/>
        <v>736164</v>
      </c>
      <c r="G72" s="6">
        <f>SQRT(SUM($F$2:F72)/A72)</f>
        <v>1013.6132203969029</v>
      </c>
      <c r="H72" s="5">
        <f t="shared" si="7"/>
        <v>1</v>
      </c>
      <c r="I72" s="5">
        <f t="shared" si="8"/>
        <v>0</v>
      </c>
    </row>
    <row r="73" spans="1:9">
      <c r="A73">
        <v>72</v>
      </c>
      <c r="B73">
        <v>8</v>
      </c>
      <c r="C73">
        <v>5000</v>
      </c>
      <c r="D73">
        <v>5742</v>
      </c>
      <c r="E73" s="5">
        <f t="shared" si="5"/>
        <v>742</v>
      </c>
      <c r="F73" s="5">
        <f t="shared" si="6"/>
        <v>550564</v>
      </c>
      <c r="G73" s="6">
        <f>SQRT(SUM($F$2:F73)/A73)</f>
        <v>1010.34096967311</v>
      </c>
      <c r="H73" s="5">
        <f t="shared" si="7"/>
        <v>1</v>
      </c>
      <c r="I73" s="5">
        <f t="shared" si="8"/>
        <v>0</v>
      </c>
    </row>
    <row r="74" spans="1:9">
      <c r="A74">
        <v>73</v>
      </c>
      <c r="B74">
        <v>6</v>
      </c>
      <c r="C74">
        <v>5000</v>
      </c>
      <c r="D74">
        <v>4231</v>
      </c>
      <c r="E74" s="5">
        <f t="shared" si="5"/>
        <v>769</v>
      </c>
      <c r="F74" s="5">
        <f t="shared" si="6"/>
        <v>591361</v>
      </c>
      <c r="G74" s="6">
        <f>SQRT(SUM($F$2:F74)/A74)</f>
        <v>1007.4255810579077</v>
      </c>
      <c r="H74" s="5">
        <f t="shared" si="7"/>
        <v>1</v>
      </c>
      <c r="I74" s="5">
        <f t="shared" si="8"/>
        <v>0</v>
      </c>
    </row>
    <row r="75" spans="1:9">
      <c r="A75">
        <v>74</v>
      </c>
      <c r="B75">
        <v>7</v>
      </c>
      <c r="C75">
        <v>5000</v>
      </c>
      <c r="D75">
        <v>4819</v>
      </c>
      <c r="E75" s="5">
        <f t="shared" si="5"/>
        <v>181</v>
      </c>
      <c r="F75" s="5">
        <f t="shared" si="6"/>
        <v>32761</v>
      </c>
      <c r="G75" s="6">
        <f>SQRT(SUM($F$2:F75)/A75)</f>
        <v>1000.8167002841068</v>
      </c>
      <c r="H75" s="5">
        <f t="shared" si="7"/>
        <v>1</v>
      </c>
      <c r="I75" s="5">
        <f t="shared" si="8"/>
        <v>1</v>
      </c>
    </row>
    <row r="76" spans="1:9">
      <c r="A76">
        <v>75</v>
      </c>
      <c r="B76">
        <v>7</v>
      </c>
      <c r="C76">
        <v>5000</v>
      </c>
      <c r="D76">
        <v>4513</v>
      </c>
      <c r="E76" s="5">
        <f t="shared" si="5"/>
        <v>487</v>
      </c>
      <c r="F76" s="5">
        <f t="shared" si="6"/>
        <v>237169</v>
      </c>
      <c r="G76" s="6">
        <f>SQRT(SUM($F$2:F76)/A76)</f>
        <v>995.71140397205454</v>
      </c>
      <c r="H76" s="5">
        <f t="shared" si="7"/>
        <v>1</v>
      </c>
      <c r="I76" s="5">
        <f t="shared" si="8"/>
        <v>1</v>
      </c>
    </row>
    <row r="77" spans="1:9">
      <c r="A77">
        <v>76</v>
      </c>
      <c r="B77">
        <v>7</v>
      </c>
      <c r="C77">
        <v>5000</v>
      </c>
      <c r="D77">
        <v>5829</v>
      </c>
      <c r="E77" s="5">
        <f t="shared" si="5"/>
        <v>829</v>
      </c>
      <c r="F77" s="5">
        <f t="shared" si="6"/>
        <v>687241</v>
      </c>
      <c r="G77" s="6">
        <f>SQRT(SUM($F$2:F77)/A77)</f>
        <v>993.69943433086132</v>
      </c>
      <c r="H77" s="5">
        <f t="shared" si="7"/>
        <v>1</v>
      </c>
      <c r="I77" s="5">
        <f t="shared" si="8"/>
        <v>0</v>
      </c>
    </row>
    <row r="78" spans="1:9">
      <c r="A78">
        <v>77</v>
      </c>
      <c r="B78">
        <v>6</v>
      </c>
      <c r="C78">
        <v>5000</v>
      </c>
      <c r="D78">
        <v>4796</v>
      </c>
      <c r="E78" s="5">
        <f t="shared" si="5"/>
        <v>204</v>
      </c>
      <c r="F78" s="5">
        <f t="shared" si="6"/>
        <v>41616</v>
      </c>
      <c r="G78" s="6">
        <f>SQRT(SUM($F$2:F78)/A78)</f>
        <v>987.49944599688547</v>
      </c>
      <c r="H78" s="5">
        <f t="shared" si="7"/>
        <v>1</v>
      </c>
      <c r="I78" s="5">
        <f t="shared" si="8"/>
        <v>1</v>
      </c>
    </row>
    <row r="79" spans="1:9">
      <c r="A79">
        <v>78</v>
      </c>
      <c r="B79">
        <v>7</v>
      </c>
      <c r="C79">
        <v>5000</v>
      </c>
      <c r="D79">
        <v>4620</v>
      </c>
      <c r="E79" s="5">
        <f t="shared" si="5"/>
        <v>380</v>
      </c>
      <c r="F79" s="5">
        <f t="shared" si="6"/>
        <v>144400</v>
      </c>
      <c r="G79" s="6">
        <f>SQRT(SUM($F$2:F79)/A79)</f>
        <v>982.09187386819815</v>
      </c>
      <c r="H79" s="5">
        <f t="shared" si="7"/>
        <v>1</v>
      </c>
      <c r="I79" s="5">
        <f t="shared" si="8"/>
        <v>1</v>
      </c>
    </row>
    <row r="80" spans="1:9">
      <c r="A80">
        <v>79</v>
      </c>
      <c r="B80">
        <v>7</v>
      </c>
      <c r="C80">
        <v>5000</v>
      </c>
      <c r="D80">
        <v>5118</v>
      </c>
      <c r="E80" s="5">
        <f t="shared" si="5"/>
        <v>118</v>
      </c>
      <c r="F80" s="5">
        <f t="shared" si="6"/>
        <v>13924</v>
      </c>
      <c r="G80" s="6">
        <f>SQRT(SUM($F$2:F80)/A80)</f>
        <v>975.94660961044713</v>
      </c>
      <c r="H80" s="5">
        <f t="shared" si="7"/>
        <v>1</v>
      </c>
      <c r="I80" s="5">
        <f t="shared" si="8"/>
        <v>1</v>
      </c>
    </row>
    <row r="81" spans="1:9">
      <c r="A81">
        <v>80</v>
      </c>
      <c r="B81">
        <v>7</v>
      </c>
      <c r="C81">
        <v>5000</v>
      </c>
      <c r="D81">
        <v>5374</v>
      </c>
      <c r="E81" s="5">
        <f t="shared" si="5"/>
        <v>374</v>
      </c>
      <c r="F81" s="5">
        <f t="shared" si="6"/>
        <v>139876</v>
      </c>
      <c r="G81" s="6">
        <f>SQRT(SUM($F$2:F81)/A81)</f>
        <v>970.7287661854881</v>
      </c>
      <c r="H81" s="5">
        <f t="shared" si="7"/>
        <v>1</v>
      </c>
      <c r="I81" s="5">
        <f t="shared" si="8"/>
        <v>1</v>
      </c>
    </row>
    <row r="82" spans="1:9">
      <c r="A82">
        <v>81</v>
      </c>
      <c r="B82">
        <v>6</v>
      </c>
      <c r="C82">
        <v>5000</v>
      </c>
      <c r="D82">
        <v>4289</v>
      </c>
      <c r="E82" s="5">
        <f t="shared" si="5"/>
        <v>711</v>
      </c>
      <c r="F82" s="5">
        <f t="shared" si="6"/>
        <v>505521</v>
      </c>
      <c r="G82" s="6">
        <f>SQRT(SUM($F$2:F82)/A82)</f>
        <v>967.94722333425489</v>
      </c>
      <c r="H82" s="5">
        <f t="shared" si="7"/>
        <v>1</v>
      </c>
      <c r="I82" s="5">
        <f t="shared" si="8"/>
        <v>0</v>
      </c>
    </row>
    <row r="83" spans="1:9">
      <c r="A83">
        <v>82</v>
      </c>
      <c r="B83">
        <v>8</v>
      </c>
      <c r="C83">
        <v>5000</v>
      </c>
      <c r="D83">
        <v>6145</v>
      </c>
      <c r="E83" s="5">
        <f t="shared" si="5"/>
        <v>1145</v>
      </c>
      <c r="F83" s="5">
        <f t="shared" si="6"/>
        <v>1311025</v>
      </c>
      <c r="G83" s="6">
        <f>SQRT(SUM($F$2:F83)/A83)</f>
        <v>970.30101565215818</v>
      </c>
      <c r="H83" s="5">
        <f t="shared" si="7"/>
        <v>0</v>
      </c>
      <c r="I83" s="5">
        <f t="shared" si="8"/>
        <v>0</v>
      </c>
    </row>
    <row r="84" spans="1:9">
      <c r="A84">
        <v>83</v>
      </c>
      <c r="B84">
        <v>5</v>
      </c>
      <c r="C84">
        <v>5000</v>
      </c>
      <c r="D84">
        <v>3535</v>
      </c>
      <c r="E84" s="5">
        <f t="shared" si="5"/>
        <v>1465</v>
      </c>
      <c r="F84" s="5">
        <f t="shared" si="6"/>
        <v>2146225</v>
      </c>
      <c r="G84" s="6">
        <f>SQRT(SUM($F$2:F84)/A84)</f>
        <v>977.75201971061801</v>
      </c>
      <c r="H84" s="5">
        <f t="shared" si="7"/>
        <v>0</v>
      </c>
      <c r="I84" s="5">
        <f t="shared" si="8"/>
        <v>0</v>
      </c>
    </row>
    <row r="85" spans="1:9">
      <c r="A85">
        <v>84</v>
      </c>
      <c r="B85">
        <v>8</v>
      </c>
      <c r="C85">
        <v>5000</v>
      </c>
      <c r="D85">
        <v>4707</v>
      </c>
      <c r="E85" s="5">
        <f t="shared" si="5"/>
        <v>293</v>
      </c>
      <c r="F85" s="5">
        <f t="shared" si="6"/>
        <v>85849</v>
      </c>
      <c r="G85" s="6">
        <f>SQRT(SUM($F$2:F85)/A85)</f>
        <v>972.44027237323598</v>
      </c>
      <c r="H85" s="5">
        <f t="shared" si="7"/>
        <v>1</v>
      </c>
      <c r="I85" s="5">
        <f t="shared" si="8"/>
        <v>1</v>
      </c>
    </row>
    <row r="86" spans="1:9">
      <c r="A86">
        <v>85</v>
      </c>
      <c r="B86">
        <v>7</v>
      </c>
      <c r="C86">
        <v>5000</v>
      </c>
      <c r="D86">
        <v>3558</v>
      </c>
      <c r="E86" s="5">
        <f t="shared" si="5"/>
        <v>1442</v>
      </c>
      <c r="F86" s="5">
        <f t="shared" si="6"/>
        <v>2079364</v>
      </c>
      <c r="G86" s="6">
        <f>SQRT(SUM($F$2:F86)/A86)</f>
        <v>979.27422705016897</v>
      </c>
      <c r="H86" s="5">
        <f t="shared" si="7"/>
        <v>0</v>
      </c>
      <c r="I86" s="5">
        <f t="shared" si="8"/>
        <v>0</v>
      </c>
    </row>
    <row r="87" spans="1:9">
      <c r="A87">
        <v>86</v>
      </c>
      <c r="B87">
        <v>9</v>
      </c>
      <c r="C87">
        <v>5000</v>
      </c>
      <c r="D87">
        <v>1294</v>
      </c>
      <c r="E87" s="5">
        <f t="shared" si="5"/>
        <v>3706</v>
      </c>
      <c r="F87" s="5">
        <f t="shared" si="6"/>
        <v>13734436</v>
      </c>
      <c r="G87" s="6">
        <f>SQRT(SUM($F$2:F87)/A87)</f>
        <v>1052.3924405074417</v>
      </c>
      <c r="H87" s="5">
        <f t="shared" si="7"/>
        <v>0</v>
      </c>
      <c r="I87" s="5">
        <f t="shared" si="8"/>
        <v>0</v>
      </c>
    </row>
    <row r="88" spans="1:9">
      <c r="A88">
        <v>87</v>
      </c>
      <c r="B88">
        <v>12</v>
      </c>
      <c r="C88">
        <v>5000</v>
      </c>
      <c r="D88">
        <v>3287</v>
      </c>
      <c r="E88" s="5">
        <f t="shared" si="5"/>
        <v>1713</v>
      </c>
      <c r="F88" s="5">
        <f t="shared" si="6"/>
        <v>2934369</v>
      </c>
      <c r="G88" s="6">
        <f>SQRT(SUM($F$2:F88)/A88)</f>
        <v>1062.3219850873838</v>
      </c>
      <c r="H88" s="5">
        <f t="shared" si="7"/>
        <v>0</v>
      </c>
      <c r="I88" s="5">
        <f t="shared" si="8"/>
        <v>0</v>
      </c>
    </row>
    <row r="89" spans="1:9">
      <c r="A89">
        <v>88</v>
      </c>
      <c r="B89">
        <v>11</v>
      </c>
      <c r="C89">
        <v>5000</v>
      </c>
      <c r="D89">
        <v>6524</v>
      </c>
      <c r="E89" s="5">
        <f t="shared" si="5"/>
        <v>1524</v>
      </c>
      <c r="F89" s="5">
        <f t="shared" si="6"/>
        <v>2322576</v>
      </c>
      <c r="G89" s="6">
        <f>SQRT(SUM($F$2:F89)/A89)</f>
        <v>1068.6892566470046</v>
      </c>
      <c r="H89" s="5">
        <f t="shared" si="7"/>
        <v>0</v>
      </c>
      <c r="I89" s="5">
        <f t="shared" si="8"/>
        <v>0</v>
      </c>
    </row>
    <row r="90" spans="1:9">
      <c r="A90">
        <v>89</v>
      </c>
      <c r="B90">
        <v>7</v>
      </c>
      <c r="C90">
        <v>5000</v>
      </c>
      <c r="D90">
        <v>3842</v>
      </c>
      <c r="E90" s="5">
        <f t="shared" si="5"/>
        <v>1158</v>
      </c>
      <c r="F90" s="5">
        <f t="shared" si="6"/>
        <v>1340964</v>
      </c>
      <c r="G90" s="6">
        <f>SQRT(SUM($F$2:F90)/A90)</f>
        <v>1069.7341683854154</v>
      </c>
      <c r="H90" s="5">
        <f t="shared" si="7"/>
        <v>0</v>
      </c>
      <c r="I90" s="5">
        <f t="shared" si="8"/>
        <v>0</v>
      </c>
    </row>
    <row r="91" spans="1:9">
      <c r="A91">
        <v>90</v>
      </c>
      <c r="B91">
        <v>10</v>
      </c>
      <c r="C91">
        <v>5000</v>
      </c>
      <c r="D91">
        <v>6055</v>
      </c>
      <c r="E91" s="5">
        <f t="shared" si="5"/>
        <v>1055</v>
      </c>
      <c r="F91" s="5">
        <f t="shared" si="6"/>
        <v>1113025</v>
      </c>
      <c r="G91" s="6">
        <f>SQRT(SUM($F$2:F91)/A91)</f>
        <v>1069.5715705105688</v>
      </c>
      <c r="H91" s="5">
        <f t="shared" si="7"/>
        <v>0</v>
      </c>
      <c r="I91" s="5">
        <f t="shared" si="8"/>
        <v>0</v>
      </c>
    </row>
    <row r="92" spans="1:9">
      <c r="A92">
        <v>91</v>
      </c>
      <c r="B92">
        <v>8</v>
      </c>
      <c r="C92">
        <v>5000</v>
      </c>
      <c r="D92">
        <v>4687</v>
      </c>
      <c r="E92" s="5">
        <f t="shared" si="5"/>
        <v>313</v>
      </c>
      <c r="F92" s="5">
        <f t="shared" si="6"/>
        <v>97969</v>
      </c>
      <c r="G92" s="6">
        <f>SQRT(SUM($F$2:F92)/A92)</f>
        <v>1064.1845146959624</v>
      </c>
      <c r="H92" s="5">
        <f t="shared" si="7"/>
        <v>1</v>
      </c>
      <c r="I92" s="5">
        <f t="shared" si="8"/>
        <v>1</v>
      </c>
    </row>
    <row r="93" spans="1:9">
      <c r="A93">
        <v>92</v>
      </c>
      <c r="B93">
        <v>9</v>
      </c>
      <c r="C93">
        <v>5000</v>
      </c>
      <c r="D93">
        <v>6083</v>
      </c>
      <c r="E93" s="5">
        <f t="shared" si="5"/>
        <v>1083</v>
      </c>
      <c r="F93" s="5">
        <f t="shared" si="6"/>
        <v>1172889</v>
      </c>
      <c r="G93" s="6">
        <f>SQRT(SUM($F$2:F93)/A93)</f>
        <v>1064.3908188336611</v>
      </c>
      <c r="H93" s="5">
        <f t="shared" si="7"/>
        <v>0</v>
      </c>
      <c r="I93" s="5">
        <f t="shared" si="8"/>
        <v>0</v>
      </c>
    </row>
    <row r="94" spans="1:9">
      <c r="A94">
        <v>93</v>
      </c>
      <c r="B94">
        <v>7</v>
      </c>
      <c r="C94">
        <v>5000</v>
      </c>
      <c r="D94">
        <v>4003</v>
      </c>
      <c r="E94" s="5">
        <f t="shared" si="5"/>
        <v>997</v>
      </c>
      <c r="F94" s="5">
        <f t="shared" si="6"/>
        <v>994009</v>
      </c>
      <c r="G94" s="6">
        <f>SQRT(SUM($F$2:F94)/A94)</f>
        <v>1063.6888946097581</v>
      </c>
      <c r="H94" s="5">
        <f t="shared" si="7"/>
        <v>1</v>
      </c>
      <c r="I94" s="5">
        <f t="shared" si="8"/>
        <v>0</v>
      </c>
    </row>
    <row r="95" spans="1:9">
      <c r="A95">
        <v>94</v>
      </c>
      <c r="B95">
        <v>10</v>
      </c>
      <c r="C95">
        <v>5000</v>
      </c>
      <c r="D95">
        <v>6425</v>
      </c>
      <c r="E95" s="5">
        <f t="shared" si="5"/>
        <v>1425</v>
      </c>
      <c r="F95" s="5">
        <f t="shared" si="6"/>
        <v>2030625</v>
      </c>
      <c r="G95" s="6">
        <f>SQRT(SUM($F$2:F95)/A95)</f>
        <v>1068.1759806005352</v>
      </c>
      <c r="H95" s="5">
        <f t="shared" si="7"/>
        <v>0</v>
      </c>
      <c r="I95" s="5">
        <f t="shared" si="8"/>
        <v>0</v>
      </c>
    </row>
    <row r="96" spans="1:9">
      <c r="A96">
        <v>95</v>
      </c>
      <c r="B96">
        <v>7</v>
      </c>
      <c r="C96">
        <v>5000</v>
      </c>
      <c r="D96">
        <v>4580</v>
      </c>
      <c r="E96" s="5">
        <f t="shared" si="5"/>
        <v>420</v>
      </c>
      <c r="F96" s="5">
        <f t="shared" si="6"/>
        <v>176400</v>
      </c>
      <c r="G96" s="6">
        <f>SQRT(SUM($F$2:F96)/A96)</f>
        <v>1063.4125455839155</v>
      </c>
      <c r="H96" s="5">
        <f t="shared" si="7"/>
        <v>1</v>
      </c>
      <c r="I96" s="5">
        <f t="shared" si="8"/>
        <v>1</v>
      </c>
    </row>
    <row r="97" spans="1:9">
      <c r="A97">
        <v>96</v>
      </c>
      <c r="B97">
        <v>9</v>
      </c>
      <c r="C97">
        <v>5000</v>
      </c>
      <c r="D97">
        <v>7207</v>
      </c>
      <c r="E97" s="5">
        <f t="shared" si="5"/>
        <v>2207</v>
      </c>
      <c r="F97" s="5">
        <f t="shared" si="6"/>
        <v>4870849</v>
      </c>
      <c r="G97" s="6">
        <f>SQRT(SUM($F$2:F97)/A97)</f>
        <v>1081.5750571119263</v>
      </c>
      <c r="H97" s="5">
        <f t="shared" si="7"/>
        <v>0</v>
      </c>
      <c r="I97" s="5">
        <f t="shared" si="8"/>
        <v>0</v>
      </c>
    </row>
    <row r="98" spans="1:9">
      <c r="A98">
        <v>97</v>
      </c>
      <c r="B98">
        <v>6</v>
      </c>
      <c r="C98">
        <v>5000</v>
      </c>
      <c r="D98">
        <v>5260</v>
      </c>
      <c r="E98" s="5">
        <f t="shared" si="5"/>
        <v>260</v>
      </c>
      <c r="F98" s="5">
        <f t="shared" si="6"/>
        <v>67600</v>
      </c>
      <c r="G98" s="6">
        <f>SQRT(SUM($F$2:F98)/A98)</f>
        <v>1076.309281806625</v>
      </c>
      <c r="H98" s="5">
        <f t="shared" si="7"/>
        <v>1</v>
      </c>
      <c r="I98" s="5">
        <f t="shared" si="8"/>
        <v>1</v>
      </c>
    </row>
    <row r="99" spans="1:9">
      <c r="A99">
        <v>98</v>
      </c>
      <c r="B99">
        <v>7</v>
      </c>
      <c r="C99">
        <v>5000</v>
      </c>
      <c r="D99">
        <v>5054</v>
      </c>
      <c r="E99" s="5">
        <f t="shared" si="5"/>
        <v>54</v>
      </c>
      <c r="F99" s="5">
        <f t="shared" si="6"/>
        <v>2916</v>
      </c>
      <c r="G99" s="6">
        <f>SQRT(SUM($F$2:F99)/A99)</f>
        <v>1070.8177211069747</v>
      </c>
      <c r="H99" s="5">
        <f t="shared" si="7"/>
        <v>1</v>
      </c>
      <c r="I99" s="5">
        <f t="shared" si="8"/>
        <v>1</v>
      </c>
    </row>
    <row r="100" spans="1:9">
      <c r="A100">
        <v>99</v>
      </c>
      <c r="B100">
        <v>8</v>
      </c>
      <c r="C100">
        <v>5000</v>
      </c>
      <c r="D100">
        <v>5793</v>
      </c>
      <c r="E100" s="5">
        <f t="shared" si="5"/>
        <v>793</v>
      </c>
      <c r="F100" s="5">
        <f t="shared" si="6"/>
        <v>628849</v>
      </c>
      <c r="G100" s="6">
        <f>SQRT(SUM($F$2:F100)/A100)</f>
        <v>1068.3727218191564</v>
      </c>
      <c r="H100" s="5">
        <f t="shared" si="7"/>
        <v>1</v>
      </c>
      <c r="I100" s="5">
        <f t="shared" si="8"/>
        <v>0</v>
      </c>
    </row>
    <row r="101" spans="1:9">
      <c r="A101">
        <v>100</v>
      </c>
      <c r="B101">
        <v>7</v>
      </c>
      <c r="C101">
        <v>5000</v>
      </c>
      <c r="D101">
        <v>4752</v>
      </c>
      <c r="E101" s="5">
        <f t="shared" si="5"/>
        <v>248</v>
      </c>
      <c r="F101" s="5">
        <f t="shared" si="6"/>
        <v>61504</v>
      </c>
      <c r="G101" s="6">
        <f>SQRT(SUM($F$2:F101)/A101)</f>
        <v>1063.3066867089665</v>
      </c>
      <c r="H101" s="5">
        <f t="shared" si="7"/>
        <v>1</v>
      </c>
      <c r="I101" s="5">
        <f t="shared" si="8"/>
        <v>1</v>
      </c>
    </row>
    <row r="102" spans="1:9">
      <c r="A102">
        <v>101</v>
      </c>
      <c r="B102">
        <v>8</v>
      </c>
      <c r="C102">
        <v>6000</v>
      </c>
      <c r="D102">
        <v>5444</v>
      </c>
      <c r="E102" s="5">
        <f t="shared" si="5"/>
        <v>556</v>
      </c>
      <c r="F102" s="5">
        <f t="shared" si="6"/>
        <v>309136</v>
      </c>
      <c r="G102" s="6">
        <f>SQRT(SUM($F$2:F102)/A102)</f>
        <v>1059.4751502793285</v>
      </c>
      <c r="H102" s="5">
        <f t="shared" si="7"/>
        <v>1</v>
      </c>
      <c r="I102" s="5">
        <f t="shared" si="8"/>
        <v>1</v>
      </c>
    </row>
    <row r="103" spans="1:9">
      <c r="A103">
        <v>102</v>
      </c>
      <c r="B103">
        <v>8</v>
      </c>
      <c r="C103">
        <v>6000</v>
      </c>
      <c r="D103">
        <v>6468</v>
      </c>
      <c r="E103" s="5">
        <f t="shared" si="5"/>
        <v>468</v>
      </c>
      <c r="F103" s="5">
        <f t="shared" si="6"/>
        <v>219024</v>
      </c>
      <c r="G103" s="6">
        <f>SQRT(SUM($F$2:F103)/A103)</f>
        <v>1055.2867420010248</v>
      </c>
      <c r="H103" s="5">
        <f t="shared" si="7"/>
        <v>1</v>
      </c>
      <c r="I103" s="5">
        <f t="shared" si="8"/>
        <v>1</v>
      </c>
    </row>
    <row r="104" spans="1:9">
      <c r="A104">
        <v>103</v>
      </c>
      <c r="B104">
        <v>7</v>
      </c>
      <c r="C104">
        <v>6000</v>
      </c>
      <c r="D104">
        <v>5363</v>
      </c>
      <c r="E104" s="5">
        <f t="shared" si="5"/>
        <v>637</v>
      </c>
      <c r="F104" s="5">
        <f t="shared" si="6"/>
        <v>405769</v>
      </c>
      <c r="G104" s="6">
        <f>SQRT(SUM($F$2:F104)/A104)</f>
        <v>1052.0255081997359</v>
      </c>
      <c r="H104" s="5">
        <f t="shared" si="7"/>
        <v>1</v>
      </c>
      <c r="I104" s="5">
        <f t="shared" si="8"/>
        <v>0</v>
      </c>
    </row>
    <row r="105" spans="1:9">
      <c r="A105">
        <v>104</v>
      </c>
      <c r="B105">
        <v>8</v>
      </c>
      <c r="C105">
        <v>6000</v>
      </c>
      <c r="D105">
        <v>5918</v>
      </c>
      <c r="E105" s="5">
        <f t="shared" si="5"/>
        <v>82</v>
      </c>
      <c r="F105" s="5">
        <f t="shared" si="6"/>
        <v>6724</v>
      </c>
      <c r="G105" s="6">
        <f>SQRT(SUM($F$2:F105)/A105)</f>
        <v>1046.986352860878</v>
      </c>
      <c r="H105" s="5">
        <f t="shared" si="7"/>
        <v>1</v>
      </c>
      <c r="I105" s="5">
        <f t="shared" si="8"/>
        <v>1</v>
      </c>
    </row>
    <row r="106" spans="1:9">
      <c r="A106">
        <v>105</v>
      </c>
      <c r="B106">
        <v>8</v>
      </c>
      <c r="C106">
        <v>6000</v>
      </c>
      <c r="D106">
        <v>5095</v>
      </c>
      <c r="E106" s="5">
        <f t="shared" si="5"/>
        <v>905</v>
      </c>
      <c r="F106" s="5">
        <f t="shared" si="6"/>
        <v>819025</v>
      </c>
      <c r="G106" s="6">
        <f>SQRT(SUM($F$2:F106)/A106)</f>
        <v>1045.7250344230301</v>
      </c>
      <c r="H106" s="5">
        <f t="shared" si="7"/>
        <v>1</v>
      </c>
      <c r="I106" s="5">
        <f t="shared" si="8"/>
        <v>0</v>
      </c>
    </row>
    <row r="107" spans="1:9">
      <c r="A107">
        <v>106</v>
      </c>
      <c r="B107">
        <v>9</v>
      </c>
      <c r="C107">
        <v>6000</v>
      </c>
      <c r="D107">
        <v>6424</v>
      </c>
      <c r="E107" s="5">
        <f t="shared" si="5"/>
        <v>424</v>
      </c>
      <c r="F107" s="5">
        <f t="shared" si="6"/>
        <v>179776</v>
      </c>
      <c r="G107" s="6">
        <f>SQRT(SUM($F$2:F107)/A107)</f>
        <v>1041.5951346508402</v>
      </c>
      <c r="H107" s="5">
        <f t="shared" si="7"/>
        <v>1</v>
      </c>
      <c r="I107" s="5">
        <f t="shared" si="8"/>
        <v>1</v>
      </c>
    </row>
    <row r="108" spans="1:9">
      <c r="A108">
        <v>107</v>
      </c>
      <c r="B108">
        <v>7</v>
      </c>
      <c r="C108">
        <v>6000</v>
      </c>
      <c r="D108">
        <v>5259</v>
      </c>
      <c r="E108" s="5">
        <f t="shared" si="5"/>
        <v>741</v>
      </c>
      <c r="F108" s="5">
        <f t="shared" si="6"/>
        <v>549081</v>
      </c>
      <c r="G108" s="6">
        <f>SQRT(SUM($F$2:F108)/A108)</f>
        <v>1039.1884234532506</v>
      </c>
      <c r="H108" s="5">
        <f t="shared" si="7"/>
        <v>1</v>
      </c>
      <c r="I108" s="5">
        <f t="shared" si="8"/>
        <v>0</v>
      </c>
    </row>
    <row r="109" spans="1:9">
      <c r="A109">
        <v>108</v>
      </c>
      <c r="B109">
        <v>9</v>
      </c>
      <c r="C109">
        <v>6000</v>
      </c>
      <c r="D109">
        <v>6504</v>
      </c>
      <c r="E109" s="5">
        <f t="shared" si="5"/>
        <v>504</v>
      </c>
      <c r="F109" s="5">
        <f t="shared" si="6"/>
        <v>254016</v>
      </c>
      <c r="G109" s="6">
        <f>SQRT(SUM($F$2:F109)/A109)</f>
        <v>1035.502481353323</v>
      </c>
      <c r="H109" s="5">
        <f t="shared" si="7"/>
        <v>1</v>
      </c>
      <c r="I109" s="5">
        <f t="shared" si="8"/>
        <v>1</v>
      </c>
    </row>
    <row r="110" spans="1:9">
      <c r="A110">
        <v>109</v>
      </c>
      <c r="B110">
        <v>7</v>
      </c>
      <c r="C110">
        <v>6000</v>
      </c>
      <c r="D110">
        <v>5763</v>
      </c>
      <c r="E110" s="5">
        <f t="shared" si="5"/>
        <v>237</v>
      </c>
      <c r="F110" s="5">
        <f t="shared" si="6"/>
        <v>56169</v>
      </c>
      <c r="G110" s="6">
        <f>SQRT(SUM($F$2:F110)/A110)</f>
        <v>1030.9914663418533</v>
      </c>
      <c r="H110" s="5">
        <f t="shared" si="7"/>
        <v>1</v>
      </c>
      <c r="I110" s="5">
        <f t="shared" si="8"/>
        <v>1</v>
      </c>
    </row>
    <row r="111" spans="1:9">
      <c r="A111">
        <v>110</v>
      </c>
      <c r="B111">
        <v>8</v>
      </c>
      <c r="C111">
        <v>6000</v>
      </c>
      <c r="D111">
        <v>5609</v>
      </c>
      <c r="E111" s="5">
        <f t="shared" si="5"/>
        <v>391</v>
      </c>
      <c r="F111" s="5">
        <f t="shared" si="6"/>
        <v>152881</v>
      </c>
      <c r="G111" s="6">
        <f>SQRT(SUM($F$2:F111)/A111)</f>
        <v>1026.9713282711009</v>
      </c>
      <c r="H111" s="5">
        <f t="shared" si="7"/>
        <v>1</v>
      </c>
      <c r="I111" s="5">
        <f t="shared" si="8"/>
        <v>1</v>
      </c>
    </row>
    <row r="112" spans="1:9">
      <c r="A112">
        <v>111</v>
      </c>
      <c r="B112">
        <v>9</v>
      </c>
      <c r="C112">
        <v>6000</v>
      </c>
      <c r="D112">
        <v>6508</v>
      </c>
      <c r="E112" s="5">
        <f t="shared" si="5"/>
        <v>508</v>
      </c>
      <c r="F112" s="5">
        <f t="shared" si="6"/>
        <v>258064</v>
      </c>
      <c r="G112" s="6">
        <f>SQRT(SUM($F$2:F112)/A112)</f>
        <v>1023.4712880572066</v>
      </c>
      <c r="H112" s="5">
        <f t="shared" si="7"/>
        <v>1</v>
      </c>
      <c r="I112" s="5">
        <f t="shared" si="8"/>
        <v>1</v>
      </c>
    </row>
    <row r="113" spans="1:9">
      <c r="A113">
        <v>112</v>
      </c>
      <c r="B113">
        <v>7</v>
      </c>
      <c r="C113">
        <v>6000</v>
      </c>
      <c r="D113">
        <v>5680</v>
      </c>
      <c r="E113" s="5">
        <f t="shared" si="5"/>
        <v>320</v>
      </c>
      <c r="F113" s="5">
        <f t="shared" si="6"/>
        <v>102400</v>
      </c>
      <c r="G113" s="6">
        <f>SQRT(SUM($F$2:F113)/A113)</f>
        <v>1019.3405431243981</v>
      </c>
      <c r="H113" s="5">
        <f t="shared" si="7"/>
        <v>1</v>
      </c>
      <c r="I113" s="5">
        <f t="shared" si="8"/>
        <v>1</v>
      </c>
    </row>
    <row r="114" spans="1:9">
      <c r="A114">
        <v>113</v>
      </c>
      <c r="B114">
        <v>8</v>
      </c>
      <c r="C114">
        <v>6000</v>
      </c>
      <c r="D114">
        <v>6330</v>
      </c>
      <c r="E114" s="5">
        <f t="shared" si="5"/>
        <v>330</v>
      </c>
      <c r="F114" s="5">
        <f t="shared" si="6"/>
        <v>108900</v>
      </c>
      <c r="G114" s="6">
        <f>SQRT(SUM($F$2:F114)/A114)</f>
        <v>1015.2948741207794</v>
      </c>
      <c r="H114" s="5">
        <f t="shared" si="7"/>
        <v>1</v>
      </c>
      <c r="I114" s="5">
        <f t="shared" si="8"/>
        <v>1</v>
      </c>
    </row>
    <row r="115" spans="1:9">
      <c r="A115">
        <v>114</v>
      </c>
      <c r="B115">
        <v>8</v>
      </c>
      <c r="C115">
        <v>6000</v>
      </c>
      <c r="D115">
        <v>6264</v>
      </c>
      <c r="E115" s="5">
        <f t="shared" si="5"/>
        <v>264</v>
      </c>
      <c r="F115" s="5">
        <f t="shared" si="6"/>
        <v>69696</v>
      </c>
      <c r="G115" s="6">
        <f>SQRT(SUM($F$2:F115)/A115)</f>
        <v>1011.1343811987135</v>
      </c>
      <c r="H115" s="5">
        <f t="shared" si="7"/>
        <v>1</v>
      </c>
      <c r="I115" s="5">
        <f t="shared" si="8"/>
        <v>1</v>
      </c>
    </row>
    <row r="116" spans="1:9">
      <c r="A116">
        <v>115</v>
      </c>
      <c r="B116">
        <v>8</v>
      </c>
      <c r="C116">
        <v>6000</v>
      </c>
      <c r="D116">
        <v>5286</v>
      </c>
      <c r="E116" s="5">
        <f t="shared" si="5"/>
        <v>714</v>
      </c>
      <c r="F116" s="5">
        <f t="shared" si="6"/>
        <v>509796</v>
      </c>
      <c r="G116" s="6">
        <f>SQRT(SUM($F$2:F116)/A116)</f>
        <v>1008.9278338479138</v>
      </c>
      <c r="H116" s="5">
        <f t="shared" si="7"/>
        <v>1</v>
      </c>
      <c r="I116" s="5">
        <f t="shared" si="8"/>
        <v>0</v>
      </c>
    </row>
    <row r="117" spans="1:9">
      <c r="A117">
        <v>116</v>
      </c>
      <c r="B117">
        <v>9</v>
      </c>
      <c r="C117">
        <v>6000</v>
      </c>
      <c r="D117">
        <v>5656</v>
      </c>
      <c r="E117" s="5">
        <f t="shared" si="5"/>
        <v>344</v>
      </c>
      <c r="F117" s="5">
        <f t="shared" si="6"/>
        <v>118336</v>
      </c>
      <c r="G117" s="6">
        <f>SQRT(SUM($F$2:F117)/A117)</f>
        <v>1005.0772143952681</v>
      </c>
      <c r="H117" s="5">
        <f t="shared" si="7"/>
        <v>1</v>
      </c>
      <c r="I117" s="5">
        <f t="shared" si="8"/>
        <v>1</v>
      </c>
    </row>
    <row r="118" spans="1:9">
      <c r="A118">
        <v>117</v>
      </c>
      <c r="B118">
        <v>9</v>
      </c>
      <c r="C118">
        <v>6000</v>
      </c>
      <c r="D118">
        <v>6593</v>
      </c>
      <c r="E118" s="5">
        <f t="shared" si="5"/>
        <v>593</v>
      </c>
      <c r="F118" s="5">
        <f t="shared" si="6"/>
        <v>351649</v>
      </c>
      <c r="G118" s="6">
        <f>SQRT(SUM($F$2:F118)/A118)</f>
        <v>1002.2732836121768</v>
      </c>
      <c r="H118" s="5">
        <f t="shared" si="7"/>
        <v>1</v>
      </c>
      <c r="I118" s="5">
        <f t="shared" si="8"/>
        <v>1</v>
      </c>
    </row>
    <row r="119" spans="1:9">
      <c r="A119">
        <v>118</v>
      </c>
      <c r="B119">
        <v>7</v>
      </c>
      <c r="C119">
        <v>6000</v>
      </c>
      <c r="D119">
        <v>5034</v>
      </c>
      <c r="E119" s="5">
        <f t="shared" si="5"/>
        <v>966</v>
      </c>
      <c r="F119" s="5">
        <f t="shared" si="6"/>
        <v>933156</v>
      </c>
      <c r="G119" s="6">
        <f>SQRT(SUM($F$2:F119)/A119)</f>
        <v>1001.9714000113366</v>
      </c>
      <c r="H119" s="5">
        <f t="shared" si="7"/>
        <v>1</v>
      </c>
      <c r="I119" s="5">
        <f t="shared" si="8"/>
        <v>0</v>
      </c>
    </row>
    <row r="120" spans="1:9">
      <c r="A120">
        <v>119</v>
      </c>
      <c r="B120">
        <v>9</v>
      </c>
      <c r="C120">
        <v>6000</v>
      </c>
      <c r="D120">
        <v>6559</v>
      </c>
      <c r="E120" s="5">
        <f t="shared" si="5"/>
        <v>559</v>
      </c>
      <c r="F120" s="5">
        <f t="shared" si="6"/>
        <v>312481</v>
      </c>
      <c r="G120" s="6">
        <f>SQRT(SUM($F$2:F120)/A120)</f>
        <v>999.06759051636141</v>
      </c>
      <c r="H120" s="5">
        <f t="shared" si="7"/>
        <v>1</v>
      </c>
      <c r="I120" s="5">
        <f t="shared" si="8"/>
        <v>1</v>
      </c>
    </row>
    <row r="121" spans="1:9">
      <c r="A121">
        <v>120</v>
      </c>
      <c r="B121">
        <v>8</v>
      </c>
      <c r="C121">
        <v>6000</v>
      </c>
      <c r="D121">
        <v>6394</v>
      </c>
      <c r="E121" s="5">
        <f t="shared" si="5"/>
        <v>394</v>
      </c>
      <c r="F121" s="5">
        <f t="shared" si="6"/>
        <v>155236</v>
      </c>
      <c r="G121" s="6">
        <f>SQRT(SUM($F$2:F121)/A121)</f>
        <v>995.54602270981593</v>
      </c>
      <c r="H121" s="5">
        <f t="shared" si="7"/>
        <v>1</v>
      </c>
      <c r="I121" s="5">
        <f t="shared" si="8"/>
        <v>1</v>
      </c>
    </row>
    <row r="122" spans="1:9">
      <c r="A122">
        <v>121</v>
      </c>
      <c r="B122">
        <v>8</v>
      </c>
      <c r="C122">
        <v>6000</v>
      </c>
      <c r="D122">
        <v>5727</v>
      </c>
      <c r="E122" s="5">
        <f t="shared" si="5"/>
        <v>273</v>
      </c>
      <c r="F122" s="5">
        <f t="shared" si="6"/>
        <v>74529</v>
      </c>
      <c r="G122" s="6">
        <f>SQRT(SUM($F$2:F122)/A122)</f>
        <v>991.73424776086972</v>
      </c>
      <c r="H122" s="5">
        <f t="shared" si="7"/>
        <v>1</v>
      </c>
      <c r="I122" s="5">
        <f t="shared" si="8"/>
        <v>1</v>
      </c>
    </row>
    <row r="123" spans="1:9">
      <c r="A123">
        <v>122</v>
      </c>
      <c r="B123">
        <v>8</v>
      </c>
      <c r="C123">
        <v>6000</v>
      </c>
      <c r="D123">
        <v>5668</v>
      </c>
      <c r="E123" s="5">
        <f t="shared" si="5"/>
        <v>332</v>
      </c>
      <c r="F123" s="5">
        <f t="shared" si="6"/>
        <v>110224</v>
      </c>
      <c r="G123" s="6">
        <f>SQRT(SUM($F$2:F123)/A123)</f>
        <v>988.11867525790774</v>
      </c>
      <c r="H123" s="5">
        <f t="shared" si="7"/>
        <v>1</v>
      </c>
      <c r="I123" s="5">
        <f t="shared" si="8"/>
        <v>1</v>
      </c>
    </row>
    <row r="124" spans="1:9">
      <c r="A124">
        <v>123</v>
      </c>
      <c r="B124">
        <v>9</v>
      </c>
      <c r="C124">
        <v>6000</v>
      </c>
      <c r="D124">
        <v>5765</v>
      </c>
      <c r="E124" s="5">
        <f t="shared" si="5"/>
        <v>235</v>
      </c>
      <c r="F124" s="5">
        <f t="shared" si="6"/>
        <v>55225</v>
      </c>
      <c r="G124" s="6">
        <f>SQRT(SUM($F$2:F124)/A124)</f>
        <v>984.32182918730098</v>
      </c>
      <c r="H124" s="5">
        <f t="shared" si="7"/>
        <v>1</v>
      </c>
      <c r="I124" s="5">
        <f t="shared" si="8"/>
        <v>1</v>
      </c>
    </row>
    <row r="125" spans="1:9">
      <c r="A125">
        <v>124</v>
      </c>
      <c r="B125">
        <v>9</v>
      </c>
      <c r="C125">
        <v>6000</v>
      </c>
      <c r="D125">
        <v>5578</v>
      </c>
      <c r="E125" s="5">
        <f t="shared" si="5"/>
        <v>422</v>
      </c>
      <c r="F125" s="5">
        <f t="shared" si="6"/>
        <v>178084</v>
      </c>
      <c r="G125" s="6">
        <f>SQRT(SUM($F$2:F125)/A125)</f>
        <v>981.07695926466442</v>
      </c>
      <c r="H125" s="5">
        <f t="shared" si="7"/>
        <v>1</v>
      </c>
      <c r="I125" s="5">
        <f t="shared" si="8"/>
        <v>1</v>
      </c>
    </row>
    <row r="126" spans="1:9">
      <c r="A126">
        <v>125</v>
      </c>
      <c r="B126">
        <v>9</v>
      </c>
      <c r="C126">
        <v>6000</v>
      </c>
      <c r="D126">
        <v>5976</v>
      </c>
      <c r="E126" s="5">
        <f t="shared" si="5"/>
        <v>24</v>
      </c>
      <c r="F126" s="5">
        <f t="shared" si="6"/>
        <v>576</v>
      </c>
      <c r="G126" s="6">
        <f>SQRT(SUM($F$2:F126)/A126)</f>
        <v>977.14712914688539</v>
      </c>
      <c r="H126" s="5">
        <f t="shared" si="7"/>
        <v>1</v>
      </c>
      <c r="I126" s="5">
        <f t="shared" si="8"/>
        <v>1</v>
      </c>
    </row>
    <row r="127" spans="1:9">
      <c r="A127">
        <v>126</v>
      </c>
      <c r="B127">
        <v>8</v>
      </c>
      <c r="C127">
        <v>6000</v>
      </c>
      <c r="D127">
        <v>5277</v>
      </c>
      <c r="E127" s="5">
        <f t="shared" si="5"/>
        <v>723</v>
      </c>
      <c r="F127" s="5">
        <f t="shared" si="6"/>
        <v>522729</v>
      </c>
      <c r="G127" s="6">
        <f>SQRT(SUM($F$2:F127)/A127)</f>
        <v>975.3908170737235</v>
      </c>
      <c r="H127" s="5">
        <f t="shared" si="7"/>
        <v>1</v>
      </c>
      <c r="I127" s="5">
        <f t="shared" si="8"/>
        <v>0</v>
      </c>
    </row>
    <row r="128" spans="1:9">
      <c r="A128">
        <v>127</v>
      </c>
      <c r="B128">
        <v>9</v>
      </c>
      <c r="C128">
        <v>6000</v>
      </c>
      <c r="D128">
        <v>6019</v>
      </c>
      <c r="E128" s="5">
        <f t="shared" si="5"/>
        <v>19</v>
      </c>
      <c r="F128" s="5">
        <f t="shared" si="6"/>
        <v>361</v>
      </c>
      <c r="G128" s="6">
        <f>SQRT(SUM($F$2:F128)/A128)</f>
        <v>971.54456943245827</v>
      </c>
      <c r="H128" s="5">
        <f t="shared" si="7"/>
        <v>1</v>
      </c>
      <c r="I128" s="5">
        <f t="shared" si="8"/>
        <v>1</v>
      </c>
    </row>
    <row r="129" spans="1:9">
      <c r="A129">
        <v>128</v>
      </c>
      <c r="B129">
        <v>9</v>
      </c>
      <c r="C129">
        <v>6000</v>
      </c>
      <c r="D129">
        <v>5486</v>
      </c>
      <c r="E129" s="5">
        <f t="shared" si="5"/>
        <v>514</v>
      </c>
      <c r="F129" s="5">
        <f t="shared" si="6"/>
        <v>264196</v>
      </c>
      <c r="G129" s="6">
        <f>SQRT(SUM($F$2:F129)/A129)</f>
        <v>968.80786117526941</v>
      </c>
      <c r="H129" s="5">
        <f t="shared" si="7"/>
        <v>1</v>
      </c>
      <c r="I129" s="5">
        <f t="shared" si="8"/>
        <v>1</v>
      </c>
    </row>
    <row r="130" spans="1:9">
      <c r="A130">
        <v>129</v>
      </c>
      <c r="B130">
        <v>9</v>
      </c>
      <c r="C130">
        <v>6000</v>
      </c>
      <c r="D130">
        <v>6380</v>
      </c>
      <c r="E130" s="5">
        <f t="shared" si="5"/>
        <v>380</v>
      </c>
      <c r="F130" s="5">
        <f t="shared" si="6"/>
        <v>144400</v>
      </c>
      <c r="G130" s="6">
        <f>SQRT(SUM($F$2:F130)/A130)</f>
        <v>965.62527439096971</v>
      </c>
      <c r="H130" s="5">
        <f t="shared" si="7"/>
        <v>1</v>
      </c>
      <c r="I130" s="5">
        <f t="shared" si="8"/>
        <v>1</v>
      </c>
    </row>
    <row r="131" spans="1:9">
      <c r="A131">
        <v>130</v>
      </c>
      <c r="B131">
        <v>8</v>
      </c>
      <c r="C131">
        <v>6000</v>
      </c>
      <c r="D131">
        <v>5192</v>
      </c>
      <c r="E131" s="5">
        <f t="shared" ref="E131:E194" si="9">ABS(C131-D131)</f>
        <v>808</v>
      </c>
      <c r="F131" s="5">
        <f t="shared" ref="F131:F194" si="10">POWER(E131,2)</f>
        <v>652864</v>
      </c>
      <c r="G131" s="6">
        <f>SQRT(SUM($F$2:F131)/A131)</f>
        <v>964.51109177336377</v>
      </c>
      <c r="H131" s="5">
        <f t="shared" ref="H131:H194" si="11">IF(ABS(E131)/C131&gt;0.2,0,1)</f>
        <v>1</v>
      </c>
      <c r="I131" s="5">
        <f t="shared" ref="I131:I194" si="12">IF(ABS(E131)/C131&gt;0.1,0,1)</f>
        <v>0</v>
      </c>
    </row>
    <row r="132" spans="1:9">
      <c r="A132">
        <v>131</v>
      </c>
      <c r="B132">
        <v>10</v>
      </c>
      <c r="C132">
        <v>6000</v>
      </c>
      <c r="D132">
        <v>6341</v>
      </c>
      <c r="E132" s="5">
        <f t="shared" si="9"/>
        <v>341</v>
      </c>
      <c r="F132" s="5">
        <f t="shared" si="10"/>
        <v>116281</v>
      </c>
      <c r="G132" s="6">
        <f>SQRT(SUM($F$2:F132)/A132)</f>
        <v>961.28450562950343</v>
      </c>
      <c r="H132" s="5">
        <f t="shared" si="11"/>
        <v>1</v>
      </c>
      <c r="I132" s="5">
        <f t="shared" si="12"/>
        <v>1</v>
      </c>
    </row>
    <row r="133" spans="1:9">
      <c r="A133">
        <v>132</v>
      </c>
      <c r="B133">
        <v>8</v>
      </c>
      <c r="C133">
        <v>6000</v>
      </c>
      <c r="D133">
        <v>5007</v>
      </c>
      <c r="E133" s="5">
        <f t="shared" si="9"/>
        <v>993</v>
      </c>
      <c r="F133" s="5">
        <f t="shared" si="10"/>
        <v>986049</v>
      </c>
      <c r="G133" s="6">
        <f>SQRT(SUM($F$2:F133)/A133)</f>
        <v>961.52870708338946</v>
      </c>
      <c r="H133" s="5">
        <f t="shared" si="11"/>
        <v>1</v>
      </c>
      <c r="I133" s="5">
        <f t="shared" si="12"/>
        <v>0</v>
      </c>
    </row>
    <row r="134" spans="1:9">
      <c r="A134">
        <v>133</v>
      </c>
      <c r="B134">
        <v>10</v>
      </c>
      <c r="C134">
        <v>6000</v>
      </c>
      <c r="D134">
        <v>6883</v>
      </c>
      <c r="E134" s="5">
        <f t="shared" si="9"/>
        <v>883</v>
      </c>
      <c r="F134" s="5">
        <f t="shared" si="10"/>
        <v>779689</v>
      </c>
      <c r="G134" s="6">
        <f>SQRT(SUM($F$2:F134)/A134)</f>
        <v>960.96220967374813</v>
      </c>
      <c r="H134" s="5">
        <f t="shared" si="11"/>
        <v>1</v>
      </c>
      <c r="I134" s="5">
        <f t="shared" si="12"/>
        <v>0</v>
      </c>
    </row>
    <row r="135" spans="1:9">
      <c r="A135">
        <v>134</v>
      </c>
      <c r="B135">
        <v>8</v>
      </c>
      <c r="C135">
        <v>6000</v>
      </c>
      <c r="D135">
        <v>4908</v>
      </c>
      <c r="E135" s="5">
        <f t="shared" si="9"/>
        <v>1092</v>
      </c>
      <c r="F135" s="5">
        <f t="shared" si="10"/>
        <v>1192464</v>
      </c>
      <c r="G135" s="6">
        <f>SQRT(SUM($F$2:F135)/A135)</f>
        <v>962.0062098350478</v>
      </c>
      <c r="H135" s="5">
        <f t="shared" si="11"/>
        <v>1</v>
      </c>
      <c r="I135" s="5">
        <f t="shared" si="12"/>
        <v>0</v>
      </c>
    </row>
    <row r="136" spans="1:9">
      <c r="A136">
        <v>135</v>
      </c>
      <c r="B136">
        <v>10</v>
      </c>
      <c r="C136">
        <v>6000</v>
      </c>
      <c r="D136">
        <v>6089</v>
      </c>
      <c r="E136" s="5">
        <f t="shared" si="9"/>
        <v>89</v>
      </c>
      <c r="F136" s="5">
        <f t="shared" si="10"/>
        <v>7921</v>
      </c>
      <c r="G136" s="6">
        <f>SQRT(SUM($F$2:F136)/A136)</f>
        <v>958.46720997256477</v>
      </c>
      <c r="H136" s="5">
        <f t="shared" si="11"/>
        <v>1</v>
      </c>
      <c r="I136" s="5">
        <f t="shared" si="12"/>
        <v>1</v>
      </c>
    </row>
    <row r="137" spans="1:9">
      <c r="A137">
        <v>136</v>
      </c>
      <c r="B137">
        <v>9</v>
      </c>
      <c r="C137">
        <v>6000</v>
      </c>
      <c r="D137">
        <v>6145</v>
      </c>
      <c r="E137" s="5">
        <f t="shared" si="9"/>
        <v>145</v>
      </c>
      <c r="F137" s="5">
        <f t="shared" si="10"/>
        <v>21025</v>
      </c>
      <c r="G137" s="6">
        <f>SQRT(SUM($F$2:F137)/A137)</f>
        <v>955.01787402429409</v>
      </c>
      <c r="H137" s="5">
        <f t="shared" si="11"/>
        <v>1</v>
      </c>
      <c r="I137" s="5">
        <f t="shared" si="12"/>
        <v>1</v>
      </c>
    </row>
    <row r="138" spans="1:9">
      <c r="A138">
        <v>137</v>
      </c>
      <c r="B138">
        <v>9</v>
      </c>
      <c r="C138">
        <v>6000</v>
      </c>
      <c r="D138">
        <v>6061</v>
      </c>
      <c r="E138" s="5">
        <f t="shared" si="9"/>
        <v>61</v>
      </c>
      <c r="F138" s="5">
        <f t="shared" si="10"/>
        <v>3721</v>
      </c>
      <c r="G138" s="6">
        <f>SQRT(SUM($F$2:F138)/A138)</f>
        <v>951.54029568199019</v>
      </c>
      <c r="H138" s="5">
        <f t="shared" si="11"/>
        <v>1</v>
      </c>
      <c r="I138" s="5">
        <f t="shared" si="12"/>
        <v>1</v>
      </c>
    </row>
    <row r="139" spans="1:9">
      <c r="A139">
        <v>138</v>
      </c>
      <c r="B139">
        <v>9</v>
      </c>
      <c r="C139">
        <v>6000</v>
      </c>
      <c r="D139">
        <v>6114</v>
      </c>
      <c r="E139" s="5">
        <f t="shared" si="9"/>
        <v>114</v>
      </c>
      <c r="F139" s="5">
        <f t="shared" si="10"/>
        <v>12996</v>
      </c>
      <c r="G139" s="6">
        <f>SQRT(SUM($F$2:F139)/A139)</f>
        <v>948.13608147011644</v>
      </c>
      <c r="H139" s="5">
        <f t="shared" si="11"/>
        <v>1</v>
      </c>
      <c r="I139" s="5">
        <f t="shared" si="12"/>
        <v>1</v>
      </c>
    </row>
    <row r="140" spans="1:9">
      <c r="A140">
        <v>139</v>
      </c>
      <c r="B140">
        <v>9</v>
      </c>
      <c r="C140">
        <v>6000</v>
      </c>
      <c r="D140">
        <v>6797</v>
      </c>
      <c r="E140" s="5">
        <f t="shared" si="9"/>
        <v>797</v>
      </c>
      <c r="F140" s="5">
        <f t="shared" si="10"/>
        <v>635209</v>
      </c>
      <c r="G140" s="6">
        <f>SQRT(SUM($F$2:F140)/A140)</f>
        <v>947.13490336902703</v>
      </c>
      <c r="H140" s="5">
        <f t="shared" si="11"/>
        <v>1</v>
      </c>
      <c r="I140" s="5">
        <f t="shared" si="12"/>
        <v>0</v>
      </c>
    </row>
    <row r="141" spans="1:9">
      <c r="A141">
        <v>140</v>
      </c>
      <c r="B141">
        <v>8</v>
      </c>
      <c r="C141">
        <v>6000</v>
      </c>
      <c r="D141">
        <v>5494</v>
      </c>
      <c r="E141" s="5">
        <f t="shared" si="9"/>
        <v>506</v>
      </c>
      <c r="F141" s="5">
        <f t="shared" si="10"/>
        <v>256036</v>
      </c>
      <c r="G141" s="6">
        <f>SQRT(SUM($F$2:F141)/A141)</f>
        <v>944.71463945468736</v>
      </c>
      <c r="H141" s="5">
        <f t="shared" si="11"/>
        <v>1</v>
      </c>
      <c r="I141" s="5">
        <f t="shared" si="12"/>
        <v>1</v>
      </c>
    </row>
    <row r="142" spans="1:9">
      <c r="A142">
        <v>141</v>
      </c>
      <c r="B142">
        <v>9</v>
      </c>
      <c r="C142">
        <v>6000</v>
      </c>
      <c r="D142">
        <v>6495</v>
      </c>
      <c r="E142" s="5">
        <f t="shared" si="9"/>
        <v>495</v>
      </c>
      <c r="F142" s="5">
        <f t="shared" si="10"/>
        <v>245025</v>
      </c>
      <c r="G142" s="6">
        <f>SQRT(SUM($F$2:F142)/A142)</f>
        <v>942.28118403544181</v>
      </c>
      <c r="H142" s="5">
        <f t="shared" si="11"/>
        <v>1</v>
      </c>
      <c r="I142" s="5">
        <f t="shared" si="12"/>
        <v>1</v>
      </c>
    </row>
    <row r="143" spans="1:9">
      <c r="A143">
        <v>142</v>
      </c>
      <c r="B143">
        <v>8</v>
      </c>
      <c r="C143">
        <v>6000</v>
      </c>
      <c r="D143">
        <v>4832</v>
      </c>
      <c r="E143" s="5">
        <f t="shared" si="9"/>
        <v>1168</v>
      </c>
      <c r="F143" s="5">
        <f t="shared" si="10"/>
        <v>1364224</v>
      </c>
      <c r="G143" s="6">
        <f>SQRT(SUM($F$2:F143)/A143)</f>
        <v>944.05946190143857</v>
      </c>
      <c r="H143" s="5">
        <f t="shared" si="11"/>
        <v>1</v>
      </c>
      <c r="I143" s="5">
        <f t="shared" si="12"/>
        <v>0</v>
      </c>
    </row>
    <row r="144" spans="1:9">
      <c r="A144">
        <v>143</v>
      </c>
      <c r="B144">
        <v>10</v>
      </c>
      <c r="C144">
        <v>6000</v>
      </c>
      <c r="D144">
        <v>6911</v>
      </c>
      <c r="E144" s="5">
        <f t="shared" si="9"/>
        <v>911</v>
      </c>
      <c r="F144" s="5">
        <f t="shared" si="10"/>
        <v>829921</v>
      </c>
      <c r="G144" s="6">
        <f>SQRT(SUM($F$2:F144)/A144)</f>
        <v>943.83229738889827</v>
      </c>
      <c r="H144" s="5">
        <f t="shared" si="11"/>
        <v>1</v>
      </c>
      <c r="I144" s="5">
        <f t="shared" si="12"/>
        <v>0</v>
      </c>
    </row>
    <row r="145" spans="1:9">
      <c r="A145">
        <v>144</v>
      </c>
      <c r="B145">
        <v>8</v>
      </c>
      <c r="C145">
        <v>6000</v>
      </c>
      <c r="D145">
        <v>4945</v>
      </c>
      <c r="E145" s="5">
        <f t="shared" si="9"/>
        <v>1055</v>
      </c>
      <c r="F145" s="5">
        <f t="shared" si="10"/>
        <v>1113025</v>
      </c>
      <c r="G145" s="6">
        <f>SQRT(SUM($F$2:F145)/A145)</f>
        <v>944.64940586441912</v>
      </c>
      <c r="H145" s="5">
        <f t="shared" si="11"/>
        <v>1</v>
      </c>
      <c r="I145" s="5">
        <f t="shared" si="12"/>
        <v>0</v>
      </c>
    </row>
    <row r="146" spans="1:9">
      <c r="A146">
        <v>145</v>
      </c>
      <c r="B146">
        <v>10</v>
      </c>
      <c r="C146">
        <v>6000</v>
      </c>
      <c r="D146">
        <v>6249</v>
      </c>
      <c r="E146" s="5">
        <f t="shared" si="9"/>
        <v>249</v>
      </c>
      <c r="F146" s="5">
        <f t="shared" si="10"/>
        <v>62001</v>
      </c>
      <c r="G146" s="6">
        <f>SQRT(SUM($F$2:F146)/A146)</f>
        <v>941.61343924432026</v>
      </c>
      <c r="H146" s="5">
        <f t="shared" si="11"/>
        <v>1</v>
      </c>
      <c r="I146" s="5">
        <f t="shared" si="12"/>
        <v>1</v>
      </c>
    </row>
    <row r="147" spans="1:9">
      <c r="A147">
        <v>146</v>
      </c>
      <c r="B147">
        <v>9</v>
      </c>
      <c r="C147">
        <v>6000</v>
      </c>
      <c r="D147">
        <v>2306</v>
      </c>
      <c r="E147" s="5">
        <f t="shared" si="9"/>
        <v>3694</v>
      </c>
      <c r="F147" s="5">
        <f t="shared" si="10"/>
        <v>13645636</v>
      </c>
      <c r="G147" s="6">
        <f>SQRT(SUM($F$2:F147)/A147)</f>
        <v>986.92769786946292</v>
      </c>
      <c r="H147" s="5">
        <f t="shared" si="11"/>
        <v>0</v>
      </c>
      <c r="I147" s="5">
        <f t="shared" si="12"/>
        <v>0</v>
      </c>
    </row>
    <row r="148" spans="1:9">
      <c r="A148">
        <v>147</v>
      </c>
      <c r="B148">
        <v>14</v>
      </c>
      <c r="C148">
        <v>6000</v>
      </c>
      <c r="D148">
        <v>6396</v>
      </c>
      <c r="E148" s="5">
        <f t="shared" si="9"/>
        <v>396</v>
      </c>
      <c r="F148" s="5">
        <f t="shared" si="10"/>
        <v>156816</v>
      </c>
      <c r="G148" s="6">
        <f>SQRT(SUM($F$2:F148)/A148)</f>
        <v>984.10722343192072</v>
      </c>
      <c r="H148" s="5">
        <f t="shared" si="11"/>
        <v>1</v>
      </c>
      <c r="I148" s="5">
        <f t="shared" si="12"/>
        <v>1</v>
      </c>
    </row>
    <row r="149" spans="1:9">
      <c r="A149">
        <v>148</v>
      </c>
      <c r="B149">
        <v>10</v>
      </c>
      <c r="C149">
        <v>6000</v>
      </c>
      <c r="D149">
        <v>6073</v>
      </c>
      <c r="E149" s="5">
        <f t="shared" si="9"/>
        <v>73</v>
      </c>
      <c r="F149" s="5">
        <f t="shared" si="10"/>
        <v>5329</v>
      </c>
      <c r="G149" s="6">
        <f>SQRT(SUM($F$2:F149)/A149)</f>
        <v>980.79525785855935</v>
      </c>
      <c r="H149" s="5">
        <f t="shared" si="11"/>
        <v>1</v>
      </c>
      <c r="I149" s="5">
        <f t="shared" si="12"/>
        <v>1</v>
      </c>
    </row>
    <row r="150" spans="1:9">
      <c r="A150">
        <v>149</v>
      </c>
      <c r="B150">
        <v>10</v>
      </c>
      <c r="C150">
        <v>6000</v>
      </c>
      <c r="D150">
        <v>6475</v>
      </c>
      <c r="E150" s="5">
        <f t="shared" si="9"/>
        <v>475</v>
      </c>
      <c r="F150" s="5">
        <f t="shared" si="10"/>
        <v>225625</v>
      </c>
      <c r="G150" s="6">
        <f>SQRT(SUM($F$2:F150)/A150)</f>
        <v>978.27271077358341</v>
      </c>
      <c r="H150" s="5">
        <f t="shared" si="11"/>
        <v>1</v>
      </c>
      <c r="I150" s="5">
        <f t="shared" si="12"/>
        <v>1</v>
      </c>
    </row>
    <row r="151" spans="1:9">
      <c r="A151">
        <v>150</v>
      </c>
      <c r="B151">
        <v>9</v>
      </c>
      <c r="C151">
        <v>6000</v>
      </c>
      <c r="D151">
        <v>5772</v>
      </c>
      <c r="E151" s="5">
        <f t="shared" si="9"/>
        <v>228</v>
      </c>
      <c r="F151" s="5">
        <f t="shared" si="10"/>
        <v>51984</v>
      </c>
      <c r="G151" s="6">
        <f>SQRT(SUM($F$2:F151)/A151)</f>
        <v>975.18405442254846</v>
      </c>
      <c r="H151" s="5">
        <f t="shared" si="11"/>
        <v>1</v>
      </c>
      <c r="I151" s="5">
        <f t="shared" si="12"/>
        <v>1</v>
      </c>
    </row>
    <row r="152" spans="1:9">
      <c r="A152">
        <v>151</v>
      </c>
      <c r="B152">
        <v>10</v>
      </c>
      <c r="C152">
        <v>6000</v>
      </c>
      <c r="D152">
        <v>6610</v>
      </c>
      <c r="E152" s="5">
        <f t="shared" si="9"/>
        <v>610</v>
      </c>
      <c r="F152" s="5">
        <f t="shared" si="10"/>
        <v>372100</v>
      </c>
      <c r="G152" s="6">
        <f>SQRT(SUM($F$2:F152)/A152)</f>
        <v>973.21645666479503</v>
      </c>
      <c r="H152" s="5">
        <f t="shared" si="11"/>
        <v>1</v>
      </c>
      <c r="I152" s="5">
        <f t="shared" si="12"/>
        <v>0</v>
      </c>
    </row>
    <row r="153" spans="1:9">
      <c r="A153">
        <v>152</v>
      </c>
      <c r="B153">
        <v>9</v>
      </c>
      <c r="C153">
        <v>6000</v>
      </c>
      <c r="D153">
        <v>5161</v>
      </c>
      <c r="E153" s="5">
        <f t="shared" si="9"/>
        <v>839</v>
      </c>
      <c r="F153" s="5">
        <f t="shared" si="10"/>
        <v>703921</v>
      </c>
      <c r="G153" s="6">
        <f>SQRT(SUM($F$2:F153)/A153)</f>
        <v>972.39399368124873</v>
      </c>
      <c r="H153" s="5">
        <f t="shared" si="11"/>
        <v>1</v>
      </c>
      <c r="I153" s="5">
        <f t="shared" si="12"/>
        <v>0</v>
      </c>
    </row>
    <row r="154" spans="1:9">
      <c r="A154">
        <v>153</v>
      </c>
      <c r="B154">
        <v>11</v>
      </c>
      <c r="C154">
        <v>6000</v>
      </c>
      <c r="D154">
        <v>8109</v>
      </c>
      <c r="E154" s="5">
        <f t="shared" si="9"/>
        <v>2109</v>
      </c>
      <c r="F154" s="5">
        <f t="shared" si="10"/>
        <v>4447881</v>
      </c>
      <c r="G154" s="6">
        <f>SQRT(SUM($F$2:F154)/A154)</f>
        <v>984.09406599112981</v>
      </c>
      <c r="H154" s="5">
        <f t="shared" si="11"/>
        <v>0</v>
      </c>
      <c r="I154" s="5">
        <f t="shared" si="12"/>
        <v>0</v>
      </c>
    </row>
    <row r="155" spans="1:9">
      <c r="A155">
        <v>154</v>
      </c>
      <c r="B155">
        <v>7</v>
      </c>
      <c r="C155">
        <v>6000</v>
      </c>
      <c r="D155">
        <v>5335</v>
      </c>
      <c r="E155" s="5">
        <f t="shared" si="9"/>
        <v>665</v>
      </c>
      <c r="F155" s="5">
        <f t="shared" si="10"/>
        <v>442225</v>
      </c>
      <c r="G155" s="6">
        <f>SQRT(SUM($F$2:F155)/A155)</f>
        <v>982.35642353330331</v>
      </c>
      <c r="H155" s="5">
        <f t="shared" si="11"/>
        <v>1</v>
      </c>
      <c r="I155" s="5">
        <f t="shared" si="12"/>
        <v>0</v>
      </c>
    </row>
    <row r="156" spans="1:9">
      <c r="A156">
        <v>155</v>
      </c>
      <c r="B156">
        <v>10</v>
      </c>
      <c r="C156">
        <v>6000</v>
      </c>
      <c r="D156">
        <v>7109</v>
      </c>
      <c r="E156" s="5">
        <f t="shared" si="9"/>
        <v>1109</v>
      </c>
      <c r="F156" s="5">
        <f t="shared" si="10"/>
        <v>1229881</v>
      </c>
      <c r="G156" s="6">
        <f>SQRT(SUM($F$2:F156)/A156)</f>
        <v>983.22576083735396</v>
      </c>
      <c r="H156" s="5">
        <f t="shared" si="11"/>
        <v>1</v>
      </c>
      <c r="I156" s="5">
        <f t="shared" si="12"/>
        <v>0</v>
      </c>
    </row>
    <row r="157" spans="1:9">
      <c r="A157">
        <v>156</v>
      </c>
      <c r="B157">
        <v>8</v>
      </c>
      <c r="C157">
        <v>6000</v>
      </c>
      <c r="D157">
        <v>6537</v>
      </c>
      <c r="E157" s="5">
        <f t="shared" si="9"/>
        <v>537</v>
      </c>
      <c r="F157" s="5">
        <f t="shared" si="10"/>
        <v>288369</v>
      </c>
      <c r="G157" s="6">
        <f>SQRT(SUM($F$2:F157)/A157)</f>
        <v>981.01193176047059</v>
      </c>
      <c r="H157" s="5">
        <f t="shared" si="11"/>
        <v>1</v>
      </c>
      <c r="I157" s="5">
        <f t="shared" si="12"/>
        <v>1</v>
      </c>
    </row>
    <row r="158" spans="1:9">
      <c r="A158">
        <v>157</v>
      </c>
      <c r="B158">
        <v>9</v>
      </c>
      <c r="C158">
        <v>6000</v>
      </c>
      <c r="D158">
        <v>6515</v>
      </c>
      <c r="E158" s="5">
        <f t="shared" si="9"/>
        <v>515</v>
      </c>
      <c r="F158" s="5">
        <f t="shared" si="10"/>
        <v>265225</v>
      </c>
      <c r="G158" s="6">
        <f>SQRT(SUM($F$2:F158)/A158)</f>
        <v>978.74608783820884</v>
      </c>
      <c r="H158" s="5">
        <f t="shared" si="11"/>
        <v>1</v>
      </c>
      <c r="I158" s="5">
        <f t="shared" si="12"/>
        <v>1</v>
      </c>
    </row>
    <row r="159" spans="1:9">
      <c r="A159">
        <v>158</v>
      </c>
      <c r="B159">
        <v>8</v>
      </c>
      <c r="C159">
        <v>6000</v>
      </c>
      <c r="D159">
        <v>6022</v>
      </c>
      <c r="E159" s="5">
        <f t="shared" si="9"/>
        <v>22</v>
      </c>
      <c r="F159" s="5">
        <f t="shared" si="10"/>
        <v>484</v>
      </c>
      <c r="G159" s="6">
        <f>SQRT(SUM($F$2:F159)/A159)</f>
        <v>975.64544361441551</v>
      </c>
      <c r="H159" s="5">
        <f t="shared" si="11"/>
        <v>1</v>
      </c>
      <c r="I159" s="5">
        <f t="shared" si="12"/>
        <v>1</v>
      </c>
    </row>
    <row r="160" spans="1:9">
      <c r="A160">
        <v>159</v>
      </c>
      <c r="B160">
        <v>9</v>
      </c>
      <c r="C160">
        <v>6000</v>
      </c>
      <c r="D160">
        <v>7188</v>
      </c>
      <c r="E160" s="5">
        <f t="shared" si="9"/>
        <v>1188</v>
      </c>
      <c r="F160" s="5">
        <f t="shared" si="10"/>
        <v>1411344</v>
      </c>
      <c r="G160" s="6">
        <f>SQRT(SUM($F$2:F160)/A160)</f>
        <v>977.12523096127859</v>
      </c>
      <c r="H160" s="5">
        <f t="shared" si="11"/>
        <v>1</v>
      </c>
      <c r="I160" s="5">
        <f t="shared" si="12"/>
        <v>0</v>
      </c>
    </row>
    <row r="161" spans="1:9">
      <c r="A161">
        <v>160</v>
      </c>
      <c r="B161">
        <v>7</v>
      </c>
      <c r="C161">
        <v>6000</v>
      </c>
      <c r="D161">
        <v>5403</v>
      </c>
      <c r="E161" s="5">
        <f t="shared" si="9"/>
        <v>597</v>
      </c>
      <c r="F161" s="5">
        <f t="shared" si="10"/>
        <v>356409</v>
      </c>
      <c r="G161" s="6">
        <f>SQRT(SUM($F$2:F161)/A161)</f>
        <v>975.20968899001412</v>
      </c>
      <c r="H161" s="5">
        <f t="shared" si="11"/>
        <v>1</v>
      </c>
      <c r="I161" s="5">
        <f t="shared" si="12"/>
        <v>1</v>
      </c>
    </row>
    <row r="162" spans="1:9">
      <c r="A162">
        <v>161</v>
      </c>
      <c r="B162">
        <v>9</v>
      </c>
      <c r="C162">
        <v>6000</v>
      </c>
      <c r="D162">
        <v>6507</v>
      </c>
      <c r="E162" s="5">
        <f t="shared" si="9"/>
        <v>507</v>
      </c>
      <c r="F162" s="5">
        <f t="shared" si="10"/>
        <v>257049</v>
      </c>
      <c r="G162" s="6">
        <f>SQRT(SUM($F$2:F162)/A162)</f>
        <v>972.99715932251797</v>
      </c>
      <c r="H162" s="5">
        <f t="shared" si="11"/>
        <v>1</v>
      </c>
      <c r="I162" s="5">
        <f t="shared" si="12"/>
        <v>1</v>
      </c>
    </row>
    <row r="163" spans="1:9">
      <c r="A163">
        <v>162</v>
      </c>
      <c r="B163">
        <v>8</v>
      </c>
      <c r="C163">
        <v>6000</v>
      </c>
      <c r="D163">
        <v>5519</v>
      </c>
      <c r="E163" s="5">
        <f t="shared" si="9"/>
        <v>481</v>
      </c>
      <c r="F163" s="5">
        <f t="shared" si="10"/>
        <v>231361</v>
      </c>
      <c r="G163" s="6">
        <f>SQRT(SUM($F$2:F163)/A163)</f>
        <v>970.72532382800625</v>
      </c>
      <c r="H163" s="5">
        <f t="shared" si="11"/>
        <v>1</v>
      </c>
      <c r="I163" s="5">
        <f t="shared" si="12"/>
        <v>1</v>
      </c>
    </row>
    <row r="164" spans="1:9">
      <c r="A164">
        <v>163</v>
      </c>
      <c r="B164">
        <v>9</v>
      </c>
      <c r="C164">
        <v>6000</v>
      </c>
      <c r="D164">
        <v>7245</v>
      </c>
      <c r="E164" s="5">
        <f t="shared" si="9"/>
        <v>1245</v>
      </c>
      <c r="F164" s="5">
        <f t="shared" si="10"/>
        <v>1550025</v>
      </c>
      <c r="G164" s="6">
        <f>SQRT(SUM($F$2:F164)/A164)</f>
        <v>972.64381023840997</v>
      </c>
      <c r="H164" s="5">
        <f t="shared" si="11"/>
        <v>0</v>
      </c>
      <c r="I164" s="5">
        <f t="shared" si="12"/>
        <v>0</v>
      </c>
    </row>
    <row r="165" spans="1:9">
      <c r="A165">
        <v>164</v>
      </c>
      <c r="B165">
        <v>7</v>
      </c>
      <c r="C165">
        <v>6000</v>
      </c>
      <c r="D165">
        <v>5529</v>
      </c>
      <c r="E165" s="5">
        <f t="shared" si="9"/>
        <v>471</v>
      </c>
      <c r="F165" s="5">
        <f t="shared" si="10"/>
        <v>221841</v>
      </c>
      <c r="G165" s="6">
        <f>SQRT(SUM($F$2:F165)/A165)</f>
        <v>970.37114473617021</v>
      </c>
      <c r="H165" s="5">
        <f t="shared" si="11"/>
        <v>1</v>
      </c>
      <c r="I165" s="5">
        <f t="shared" si="12"/>
        <v>1</v>
      </c>
    </row>
    <row r="166" spans="1:9">
      <c r="A166">
        <v>165</v>
      </c>
      <c r="B166">
        <v>9</v>
      </c>
      <c r="C166">
        <v>6000</v>
      </c>
      <c r="D166">
        <v>6362</v>
      </c>
      <c r="E166" s="5">
        <f t="shared" si="9"/>
        <v>362</v>
      </c>
      <c r="F166" s="5">
        <f t="shared" si="10"/>
        <v>131044</v>
      </c>
      <c r="G166" s="6">
        <f>SQRT(SUM($F$2:F166)/A166)</f>
        <v>967.83654392545839</v>
      </c>
      <c r="H166" s="5">
        <f t="shared" si="11"/>
        <v>1</v>
      </c>
      <c r="I166" s="5">
        <f t="shared" si="12"/>
        <v>1</v>
      </c>
    </row>
    <row r="167" spans="1:9">
      <c r="A167">
        <v>166</v>
      </c>
      <c r="B167">
        <v>8</v>
      </c>
      <c r="C167">
        <v>6000</v>
      </c>
      <c r="D167">
        <v>5833</v>
      </c>
      <c r="E167" s="5">
        <f t="shared" si="9"/>
        <v>167</v>
      </c>
      <c r="F167" s="5">
        <f t="shared" si="10"/>
        <v>27889</v>
      </c>
      <c r="G167" s="6">
        <f>SQRT(SUM($F$2:F167)/A167)</f>
        <v>965.00402333888792</v>
      </c>
      <c r="H167" s="5">
        <f t="shared" si="11"/>
        <v>1</v>
      </c>
      <c r="I167" s="5">
        <f t="shared" si="12"/>
        <v>1</v>
      </c>
    </row>
    <row r="168" spans="1:9">
      <c r="A168">
        <v>167</v>
      </c>
      <c r="B168">
        <v>9</v>
      </c>
      <c r="C168">
        <v>6000</v>
      </c>
      <c r="D168">
        <v>6276</v>
      </c>
      <c r="E168" s="5">
        <f t="shared" si="9"/>
        <v>276</v>
      </c>
      <c r="F168" s="5">
        <f t="shared" si="10"/>
        <v>76176</v>
      </c>
      <c r="G168" s="6">
        <f>SQRT(SUM($F$2:F168)/A168)</f>
        <v>962.34747605563894</v>
      </c>
      <c r="H168" s="5">
        <f t="shared" si="11"/>
        <v>1</v>
      </c>
      <c r="I168" s="5">
        <f t="shared" si="12"/>
        <v>1</v>
      </c>
    </row>
    <row r="169" spans="1:9">
      <c r="A169">
        <v>168</v>
      </c>
      <c r="B169">
        <v>8</v>
      </c>
      <c r="C169">
        <v>6000</v>
      </c>
      <c r="D169">
        <v>6044</v>
      </c>
      <c r="E169" s="5">
        <f t="shared" si="9"/>
        <v>44</v>
      </c>
      <c r="F169" s="5">
        <f t="shared" si="10"/>
        <v>1936</v>
      </c>
      <c r="G169" s="6">
        <f>SQRT(SUM($F$2:F169)/A169)</f>
        <v>959.4850770570838</v>
      </c>
      <c r="H169" s="5">
        <f t="shared" si="11"/>
        <v>1</v>
      </c>
      <c r="I169" s="5">
        <f t="shared" si="12"/>
        <v>1</v>
      </c>
    </row>
    <row r="170" spans="1:9">
      <c r="A170">
        <v>169</v>
      </c>
      <c r="B170">
        <v>8</v>
      </c>
      <c r="C170">
        <v>6000</v>
      </c>
      <c r="D170">
        <v>6218</v>
      </c>
      <c r="E170" s="5">
        <f t="shared" si="9"/>
        <v>218</v>
      </c>
      <c r="F170" s="5">
        <f t="shared" si="10"/>
        <v>47524</v>
      </c>
      <c r="G170" s="6">
        <f>SQRT(SUM($F$2:F170)/A170)</f>
        <v>956.78911689106474</v>
      </c>
      <c r="H170" s="5">
        <f t="shared" si="11"/>
        <v>1</v>
      </c>
      <c r="I170" s="5">
        <f t="shared" si="12"/>
        <v>1</v>
      </c>
    </row>
    <row r="171" spans="1:9">
      <c r="A171">
        <v>170</v>
      </c>
      <c r="B171">
        <v>8</v>
      </c>
      <c r="C171">
        <v>6000</v>
      </c>
      <c r="D171">
        <v>5953</v>
      </c>
      <c r="E171" s="5">
        <f t="shared" si="9"/>
        <v>47</v>
      </c>
      <c r="F171" s="5">
        <f t="shared" si="10"/>
        <v>2209</v>
      </c>
      <c r="G171" s="6">
        <f>SQRT(SUM($F$2:F171)/A171)</f>
        <v>953.97769119309999</v>
      </c>
      <c r="H171" s="5">
        <f t="shared" si="11"/>
        <v>1</v>
      </c>
      <c r="I171" s="5">
        <f t="shared" si="12"/>
        <v>1</v>
      </c>
    </row>
    <row r="172" spans="1:9">
      <c r="A172">
        <v>171</v>
      </c>
      <c r="B172">
        <v>8</v>
      </c>
      <c r="C172">
        <v>6000</v>
      </c>
      <c r="D172">
        <v>6388</v>
      </c>
      <c r="E172" s="5">
        <f t="shared" si="9"/>
        <v>388</v>
      </c>
      <c r="F172" s="5">
        <f t="shared" si="10"/>
        <v>150544</v>
      </c>
      <c r="G172" s="6">
        <f>SQRT(SUM($F$2:F172)/A172)</f>
        <v>951.64685818325404</v>
      </c>
      <c r="H172" s="5">
        <f t="shared" si="11"/>
        <v>1</v>
      </c>
      <c r="I172" s="5">
        <f t="shared" si="12"/>
        <v>1</v>
      </c>
    </row>
    <row r="173" spans="1:9">
      <c r="A173">
        <v>172</v>
      </c>
      <c r="B173">
        <v>8</v>
      </c>
      <c r="C173">
        <v>6000</v>
      </c>
      <c r="D173">
        <v>5820</v>
      </c>
      <c r="E173" s="5">
        <f t="shared" si="9"/>
        <v>180</v>
      </c>
      <c r="F173" s="5">
        <f t="shared" si="10"/>
        <v>32400</v>
      </c>
      <c r="G173" s="6">
        <f>SQRT(SUM($F$2:F173)/A173)</f>
        <v>948.97566562767474</v>
      </c>
      <c r="H173" s="5">
        <f t="shared" si="11"/>
        <v>1</v>
      </c>
      <c r="I173" s="5">
        <f t="shared" si="12"/>
        <v>1</v>
      </c>
    </row>
    <row r="174" spans="1:9">
      <c r="A174">
        <v>173</v>
      </c>
      <c r="B174">
        <v>9</v>
      </c>
      <c r="C174">
        <v>6000</v>
      </c>
      <c r="D174">
        <v>6724</v>
      </c>
      <c r="E174" s="5">
        <f t="shared" si="9"/>
        <v>724</v>
      </c>
      <c r="F174" s="5">
        <f t="shared" si="10"/>
        <v>524176</v>
      </c>
      <c r="G174" s="6">
        <f>SQRT(SUM($F$2:F174)/A174)</f>
        <v>947.82868382046365</v>
      </c>
      <c r="H174" s="5">
        <f t="shared" si="11"/>
        <v>1</v>
      </c>
      <c r="I174" s="5">
        <f t="shared" si="12"/>
        <v>0</v>
      </c>
    </row>
    <row r="175" spans="1:9">
      <c r="A175">
        <v>174</v>
      </c>
      <c r="B175">
        <v>7</v>
      </c>
      <c r="C175">
        <v>6000</v>
      </c>
      <c r="D175">
        <v>5440</v>
      </c>
      <c r="E175" s="5">
        <f t="shared" si="9"/>
        <v>560</v>
      </c>
      <c r="F175" s="5">
        <f t="shared" si="10"/>
        <v>313600</v>
      </c>
      <c r="G175" s="6">
        <f>SQRT(SUM($F$2:F175)/A175)</f>
        <v>946.05412836322603</v>
      </c>
      <c r="H175" s="5">
        <f t="shared" si="11"/>
        <v>1</v>
      </c>
      <c r="I175" s="5">
        <f t="shared" si="12"/>
        <v>1</v>
      </c>
    </row>
    <row r="176" spans="1:9">
      <c r="A176">
        <v>175</v>
      </c>
      <c r="B176">
        <v>9</v>
      </c>
      <c r="C176">
        <v>6000</v>
      </c>
      <c r="D176">
        <v>6822</v>
      </c>
      <c r="E176" s="5">
        <f t="shared" si="9"/>
        <v>822</v>
      </c>
      <c r="F176" s="5">
        <f t="shared" si="10"/>
        <v>675684</v>
      </c>
      <c r="G176" s="6">
        <f>SQRT(SUM($F$2:F176)/A176)</f>
        <v>945.39149260278111</v>
      </c>
      <c r="H176" s="5">
        <f t="shared" si="11"/>
        <v>1</v>
      </c>
      <c r="I176" s="5">
        <f t="shared" si="12"/>
        <v>0</v>
      </c>
    </row>
    <row r="177" spans="1:9">
      <c r="A177">
        <v>176</v>
      </c>
      <c r="B177">
        <v>7</v>
      </c>
      <c r="C177">
        <v>6000</v>
      </c>
      <c r="D177">
        <v>5256</v>
      </c>
      <c r="E177" s="5">
        <f t="shared" si="9"/>
        <v>744</v>
      </c>
      <c r="F177" s="5">
        <f t="shared" si="10"/>
        <v>553536</v>
      </c>
      <c r="G177" s="6">
        <f>SQRT(SUM($F$2:F177)/A177)</f>
        <v>944.36854804967675</v>
      </c>
      <c r="H177" s="5">
        <f t="shared" si="11"/>
        <v>1</v>
      </c>
      <c r="I177" s="5">
        <f t="shared" si="12"/>
        <v>0</v>
      </c>
    </row>
    <row r="178" spans="1:9">
      <c r="A178">
        <v>177</v>
      </c>
      <c r="B178">
        <v>9</v>
      </c>
      <c r="C178">
        <v>6000</v>
      </c>
      <c r="D178">
        <v>6851</v>
      </c>
      <c r="E178" s="5">
        <f t="shared" si="9"/>
        <v>851</v>
      </c>
      <c r="F178" s="5">
        <f t="shared" si="10"/>
        <v>724201</v>
      </c>
      <c r="G178" s="6">
        <f>SQRT(SUM($F$2:F178)/A178)</f>
        <v>943.86698586487796</v>
      </c>
      <c r="H178" s="5">
        <f t="shared" si="11"/>
        <v>1</v>
      </c>
      <c r="I178" s="5">
        <f t="shared" si="12"/>
        <v>0</v>
      </c>
    </row>
    <row r="179" spans="1:9">
      <c r="A179">
        <v>178</v>
      </c>
      <c r="B179">
        <v>7</v>
      </c>
      <c r="C179">
        <v>6000</v>
      </c>
      <c r="D179">
        <v>4951</v>
      </c>
      <c r="E179" s="5">
        <f t="shared" si="9"/>
        <v>1049</v>
      </c>
      <c r="F179" s="5">
        <f t="shared" si="10"/>
        <v>1100401</v>
      </c>
      <c r="G179" s="6">
        <f>SQRT(SUM($F$2:F179)/A179)</f>
        <v>944.49030901339836</v>
      </c>
      <c r="H179" s="5">
        <f t="shared" si="11"/>
        <v>1</v>
      </c>
      <c r="I179" s="5">
        <f t="shared" si="12"/>
        <v>0</v>
      </c>
    </row>
    <row r="180" spans="1:9">
      <c r="A180">
        <v>179</v>
      </c>
      <c r="B180">
        <v>9</v>
      </c>
      <c r="C180">
        <v>6000</v>
      </c>
      <c r="D180">
        <v>7151</v>
      </c>
      <c r="E180" s="5">
        <f t="shared" si="9"/>
        <v>1151</v>
      </c>
      <c r="F180" s="5">
        <f t="shared" si="10"/>
        <v>1324801</v>
      </c>
      <c r="G180" s="6">
        <f>SQRT(SUM($F$2:F180)/A180)</f>
        <v>945.76925327847664</v>
      </c>
      <c r="H180" s="5">
        <f t="shared" si="11"/>
        <v>1</v>
      </c>
      <c r="I180" s="5">
        <f t="shared" si="12"/>
        <v>0</v>
      </c>
    </row>
    <row r="181" spans="1:9">
      <c r="A181">
        <v>180</v>
      </c>
      <c r="B181">
        <v>7</v>
      </c>
      <c r="C181">
        <v>6000</v>
      </c>
      <c r="D181">
        <v>5510</v>
      </c>
      <c r="E181" s="5">
        <f t="shared" si="9"/>
        <v>490</v>
      </c>
      <c r="F181" s="5">
        <f t="shared" si="10"/>
        <v>240100</v>
      </c>
      <c r="G181" s="6">
        <f>SQRT(SUM($F$2:F181)/A181)</f>
        <v>943.84534691277088</v>
      </c>
      <c r="H181" s="5">
        <f t="shared" si="11"/>
        <v>1</v>
      </c>
      <c r="I181" s="5">
        <f t="shared" si="12"/>
        <v>1</v>
      </c>
    </row>
    <row r="182" spans="1:9">
      <c r="A182">
        <v>181</v>
      </c>
      <c r="B182">
        <v>9</v>
      </c>
      <c r="C182">
        <v>6000</v>
      </c>
      <c r="D182">
        <v>7013</v>
      </c>
      <c r="E182" s="5">
        <f t="shared" si="9"/>
        <v>1013</v>
      </c>
      <c r="F182" s="5">
        <f t="shared" si="10"/>
        <v>1026169</v>
      </c>
      <c r="G182" s="6">
        <f>SQRT(SUM($F$2:F182)/A182)</f>
        <v>944.24133070298024</v>
      </c>
      <c r="H182" s="5">
        <f t="shared" si="11"/>
        <v>1</v>
      </c>
      <c r="I182" s="5">
        <f t="shared" si="12"/>
        <v>0</v>
      </c>
    </row>
    <row r="183" spans="1:9">
      <c r="A183">
        <v>182</v>
      </c>
      <c r="B183">
        <v>7</v>
      </c>
      <c r="C183">
        <v>6000</v>
      </c>
      <c r="D183">
        <v>5115</v>
      </c>
      <c r="E183" s="5">
        <f t="shared" si="9"/>
        <v>885</v>
      </c>
      <c r="F183" s="5">
        <f t="shared" si="10"/>
        <v>783225</v>
      </c>
      <c r="G183" s="6">
        <f>SQRT(SUM($F$2:F183)/A183)</f>
        <v>943.92598715723955</v>
      </c>
      <c r="H183" s="5">
        <f t="shared" si="11"/>
        <v>1</v>
      </c>
      <c r="I183" s="5">
        <f t="shared" si="12"/>
        <v>0</v>
      </c>
    </row>
    <row r="184" spans="1:9">
      <c r="A184">
        <v>183</v>
      </c>
      <c r="B184">
        <v>9</v>
      </c>
      <c r="C184">
        <v>6000</v>
      </c>
      <c r="D184">
        <v>5806</v>
      </c>
      <c r="E184" s="5">
        <f t="shared" si="9"/>
        <v>194</v>
      </c>
      <c r="F184" s="5">
        <f t="shared" si="10"/>
        <v>37636</v>
      </c>
      <c r="G184" s="6">
        <f>SQRT(SUM($F$2:F184)/A184)</f>
        <v>941.45265327612503</v>
      </c>
      <c r="H184" s="5">
        <f t="shared" si="11"/>
        <v>1</v>
      </c>
      <c r="I184" s="5">
        <f t="shared" si="12"/>
        <v>1</v>
      </c>
    </row>
    <row r="185" spans="1:9">
      <c r="A185">
        <v>184</v>
      </c>
      <c r="B185">
        <v>8</v>
      </c>
      <c r="C185">
        <v>6000</v>
      </c>
      <c r="D185">
        <v>6924</v>
      </c>
      <c r="E185" s="5">
        <f t="shared" si="9"/>
        <v>924</v>
      </c>
      <c r="F185" s="5">
        <f t="shared" si="10"/>
        <v>853776</v>
      </c>
      <c r="G185" s="6">
        <f>SQRT(SUM($F$2:F185)/A185)</f>
        <v>941.35867638679338</v>
      </c>
      <c r="H185" s="5">
        <f t="shared" si="11"/>
        <v>1</v>
      </c>
      <c r="I185" s="5">
        <f t="shared" si="12"/>
        <v>0</v>
      </c>
    </row>
    <row r="186" spans="1:9">
      <c r="A186">
        <v>185</v>
      </c>
      <c r="B186">
        <v>7</v>
      </c>
      <c r="C186">
        <v>6000</v>
      </c>
      <c r="D186">
        <v>5652</v>
      </c>
      <c r="E186" s="5">
        <f t="shared" si="9"/>
        <v>348</v>
      </c>
      <c r="F186" s="5">
        <f t="shared" si="10"/>
        <v>121104</v>
      </c>
      <c r="G186" s="6">
        <f>SQRT(SUM($F$2:F186)/A186)</f>
        <v>939.15959268941106</v>
      </c>
      <c r="H186" s="5">
        <f t="shared" si="11"/>
        <v>1</v>
      </c>
      <c r="I186" s="5">
        <f t="shared" si="12"/>
        <v>1</v>
      </c>
    </row>
    <row r="187" spans="1:9">
      <c r="A187">
        <v>186</v>
      </c>
      <c r="B187">
        <v>8</v>
      </c>
      <c r="C187">
        <v>6000</v>
      </c>
      <c r="D187">
        <v>5805</v>
      </c>
      <c r="E187" s="5">
        <f t="shared" si="9"/>
        <v>195</v>
      </c>
      <c r="F187" s="5">
        <f t="shared" si="10"/>
        <v>38025</v>
      </c>
      <c r="G187" s="6">
        <f>SQRT(SUM($F$2:F187)/A187)</f>
        <v>936.74069466008473</v>
      </c>
      <c r="H187" s="5">
        <f t="shared" si="11"/>
        <v>1</v>
      </c>
      <c r="I187" s="5">
        <f t="shared" si="12"/>
        <v>1</v>
      </c>
    </row>
    <row r="188" spans="1:9">
      <c r="A188">
        <v>187</v>
      </c>
      <c r="B188">
        <v>8</v>
      </c>
      <c r="C188">
        <v>6000</v>
      </c>
      <c r="D188">
        <v>6687</v>
      </c>
      <c r="E188" s="5">
        <f t="shared" si="9"/>
        <v>687</v>
      </c>
      <c r="F188" s="5">
        <f t="shared" si="10"/>
        <v>471969</v>
      </c>
      <c r="G188" s="6">
        <f>SQRT(SUM($F$2:F188)/A188)</f>
        <v>935.58249464067831</v>
      </c>
      <c r="H188" s="5">
        <f t="shared" si="11"/>
        <v>1</v>
      </c>
      <c r="I188" s="5">
        <f t="shared" si="12"/>
        <v>0</v>
      </c>
    </row>
    <row r="189" spans="1:9">
      <c r="A189">
        <v>188</v>
      </c>
      <c r="B189">
        <v>7</v>
      </c>
      <c r="C189">
        <v>6000</v>
      </c>
      <c r="D189">
        <v>5504</v>
      </c>
      <c r="E189" s="5">
        <f t="shared" si="9"/>
        <v>496</v>
      </c>
      <c r="F189" s="5">
        <f t="shared" si="10"/>
        <v>246016</v>
      </c>
      <c r="G189" s="6">
        <f>SQRT(SUM($F$2:F189)/A189)</f>
        <v>933.79187792387427</v>
      </c>
      <c r="H189" s="5">
        <f t="shared" si="11"/>
        <v>1</v>
      </c>
      <c r="I189" s="5">
        <f t="shared" si="12"/>
        <v>1</v>
      </c>
    </row>
    <row r="190" spans="1:9">
      <c r="A190">
        <v>189</v>
      </c>
      <c r="B190">
        <v>8</v>
      </c>
      <c r="C190">
        <v>6000</v>
      </c>
      <c r="D190">
        <v>6176</v>
      </c>
      <c r="E190" s="5">
        <f t="shared" si="9"/>
        <v>176</v>
      </c>
      <c r="F190" s="5">
        <f t="shared" si="10"/>
        <v>30976</v>
      </c>
      <c r="G190" s="6">
        <f>SQRT(SUM($F$2:F190)/A190)</f>
        <v>931.40623897984597</v>
      </c>
      <c r="H190" s="5">
        <f t="shared" si="11"/>
        <v>1</v>
      </c>
      <c r="I190" s="5">
        <f t="shared" si="12"/>
        <v>1</v>
      </c>
    </row>
    <row r="191" spans="1:9">
      <c r="A191">
        <v>190</v>
      </c>
      <c r="B191">
        <v>8</v>
      </c>
      <c r="C191">
        <v>6000</v>
      </c>
      <c r="D191">
        <v>6503</v>
      </c>
      <c r="E191" s="5">
        <f t="shared" si="9"/>
        <v>503</v>
      </c>
      <c r="F191" s="5">
        <f t="shared" si="10"/>
        <v>253009</v>
      </c>
      <c r="G191" s="6">
        <f>SQRT(SUM($F$2:F191)/A191)</f>
        <v>929.66839588951791</v>
      </c>
      <c r="H191" s="5">
        <f t="shared" si="11"/>
        <v>1</v>
      </c>
      <c r="I191" s="5">
        <f t="shared" si="12"/>
        <v>1</v>
      </c>
    </row>
    <row r="192" spans="1:9">
      <c r="A192">
        <v>191</v>
      </c>
      <c r="B192">
        <v>7</v>
      </c>
      <c r="C192">
        <v>6000</v>
      </c>
      <c r="D192">
        <v>5568</v>
      </c>
      <c r="E192" s="5">
        <f t="shared" si="9"/>
        <v>432</v>
      </c>
      <c r="F192" s="5">
        <f t="shared" si="10"/>
        <v>186624</v>
      </c>
      <c r="G192" s="6">
        <f>SQRT(SUM($F$2:F192)/A192)</f>
        <v>927.75825069236043</v>
      </c>
      <c r="H192" s="5">
        <f t="shared" si="11"/>
        <v>1</v>
      </c>
      <c r="I192" s="5">
        <f t="shared" si="12"/>
        <v>1</v>
      </c>
    </row>
    <row r="193" spans="1:9">
      <c r="A193">
        <v>192</v>
      </c>
      <c r="B193">
        <v>8</v>
      </c>
      <c r="C193">
        <v>6000</v>
      </c>
      <c r="D193">
        <v>5376</v>
      </c>
      <c r="E193" s="5">
        <f t="shared" si="9"/>
        <v>624</v>
      </c>
      <c r="F193" s="5">
        <f t="shared" si="10"/>
        <v>389376</v>
      </c>
      <c r="G193" s="6">
        <f>SQRT(SUM($F$2:F193)/A193)</f>
        <v>926.43422594375261</v>
      </c>
      <c r="H193" s="5">
        <f t="shared" si="11"/>
        <v>1</v>
      </c>
      <c r="I193" s="5">
        <f t="shared" si="12"/>
        <v>0</v>
      </c>
    </row>
    <row r="194" spans="1:9">
      <c r="A194">
        <v>193</v>
      </c>
      <c r="B194">
        <v>9</v>
      </c>
      <c r="C194">
        <v>6000</v>
      </c>
      <c r="D194">
        <v>5626</v>
      </c>
      <c r="E194" s="5">
        <f t="shared" si="9"/>
        <v>374</v>
      </c>
      <c r="F194" s="5">
        <f t="shared" si="10"/>
        <v>139876</v>
      </c>
      <c r="G194" s="6">
        <f>SQRT(SUM($F$2:F194)/A194)</f>
        <v>924.4231025557832</v>
      </c>
      <c r="H194" s="5">
        <f t="shared" si="11"/>
        <v>1</v>
      </c>
      <c r="I194" s="5">
        <f t="shared" si="12"/>
        <v>1</v>
      </c>
    </row>
    <row r="195" spans="1:9">
      <c r="A195">
        <v>194</v>
      </c>
      <c r="B195">
        <v>9</v>
      </c>
      <c r="C195">
        <v>6000</v>
      </c>
      <c r="D195">
        <v>5916</v>
      </c>
      <c r="E195" s="5">
        <f t="shared" ref="E195:E258" si="13">ABS(C195-D195)</f>
        <v>84</v>
      </c>
      <c r="F195" s="5">
        <f t="shared" ref="F195:F258" si="14">POWER(E195,2)</f>
        <v>7056</v>
      </c>
      <c r="G195" s="6">
        <f>SQRT(SUM($F$2:F195)/A195)</f>
        <v>922.05721360154178</v>
      </c>
      <c r="H195" s="5">
        <f t="shared" ref="H195:H258" si="15">IF(ABS(E195)/C195&gt;0.2,0,1)</f>
        <v>1</v>
      </c>
      <c r="I195" s="5">
        <f t="shared" ref="I195:I258" si="16">IF(ABS(E195)/C195&gt;0.1,0,1)</f>
        <v>1</v>
      </c>
    </row>
    <row r="196" spans="1:9">
      <c r="A196">
        <v>195</v>
      </c>
      <c r="B196">
        <v>8</v>
      </c>
      <c r="C196">
        <v>6000</v>
      </c>
      <c r="D196">
        <v>4658</v>
      </c>
      <c r="E196" s="5">
        <f t="shared" si="13"/>
        <v>1342</v>
      </c>
      <c r="F196" s="5">
        <f t="shared" si="14"/>
        <v>1800964</v>
      </c>
      <c r="G196" s="6">
        <f>SQRT(SUM($F$2:F196)/A196)</f>
        <v>924.6973947161697</v>
      </c>
      <c r="H196" s="5">
        <f t="shared" si="15"/>
        <v>0</v>
      </c>
      <c r="I196" s="5">
        <f t="shared" si="16"/>
        <v>0</v>
      </c>
    </row>
    <row r="197" spans="1:9">
      <c r="A197">
        <v>196</v>
      </c>
      <c r="B197">
        <v>10</v>
      </c>
      <c r="C197">
        <v>6000</v>
      </c>
      <c r="D197">
        <v>6984</v>
      </c>
      <c r="E197" s="5">
        <f t="shared" si="13"/>
        <v>984</v>
      </c>
      <c r="F197" s="5">
        <f t="shared" si="14"/>
        <v>968256</v>
      </c>
      <c r="G197" s="6">
        <f>SQRT(SUM($F$2:F197)/A197)</f>
        <v>925.00960833399131</v>
      </c>
      <c r="H197" s="5">
        <f t="shared" si="15"/>
        <v>1</v>
      </c>
      <c r="I197" s="5">
        <f t="shared" si="16"/>
        <v>0</v>
      </c>
    </row>
    <row r="198" spans="1:9">
      <c r="A198">
        <v>197</v>
      </c>
      <c r="B198">
        <v>7</v>
      </c>
      <c r="C198">
        <v>6000</v>
      </c>
      <c r="D198">
        <v>4531</v>
      </c>
      <c r="E198" s="5">
        <f t="shared" si="13"/>
        <v>1469</v>
      </c>
      <c r="F198" s="5">
        <f t="shared" si="14"/>
        <v>2157961</v>
      </c>
      <c r="G198" s="6">
        <f>SQRT(SUM($F$2:F198)/A198)</f>
        <v>928.57607546112331</v>
      </c>
      <c r="H198" s="5">
        <f t="shared" si="15"/>
        <v>0</v>
      </c>
      <c r="I198" s="5">
        <f t="shared" si="16"/>
        <v>0</v>
      </c>
    </row>
    <row r="199" spans="1:9">
      <c r="A199">
        <v>198</v>
      </c>
      <c r="B199">
        <v>10</v>
      </c>
      <c r="C199">
        <v>6000</v>
      </c>
      <c r="D199">
        <v>7321</v>
      </c>
      <c r="E199" s="5">
        <f t="shared" si="13"/>
        <v>1321</v>
      </c>
      <c r="F199" s="5">
        <f t="shared" si="14"/>
        <v>1745041</v>
      </c>
      <c r="G199" s="6">
        <f>SQRT(SUM($F$2:F199)/A199)</f>
        <v>930.97371096344625</v>
      </c>
      <c r="H199" s="5">
        <f t="shared" si="15"/>
        <v>0</v>
      </c>
      <c r="I199" s="5">
        <f t="shared" si="16"/>
        <v>0</v>
      </c>
    </row>
    <row r="200" spans="1:9">
      <c r="A200">
        <v>199</v>
      </c>
      <c r="B200">
        <v>7</v>
      </c>
      <c r="C200">
        <v>6000</v>
      </c>
      <c r="D200">
        <v>5865</v>
      </c>
      <c r="E200" s="5">
        <f t="shared" si="13"/>
        <v>135</v>
      </c>
      <c r="F200" s="5">
        <f t="shared" si="14"/>
        <v>18225</v>
      </c>
      <c r="G200" s="6">
        <f>SQRT(SUM($F$2:F200)/A200)</f>
        <v>928.68094439501238</v>
      </c>
      <c r="H200" s="5">
        <f t="shared" si="15"/>
        <v>1</v>
      </c>
      <c r="I200" s="5">
        <f t="shared" si="16"/>
        <v>1</v>
      </c>
    </row>
    <row r="201" spans="1:9">
      <c r="A201">
        <v>200</v>
      </c>
      <c r="B201">
        <v>9</v>
      </c>
      <c r="C201">
        <v>6000</v>
      </c>
      <c r="D201">
        <v>6253</v>
      </c>
      <c r="E201" s="5">
        <f t="shared" si="13"/>
        <v>253</v>
      </c>
      <c r="F201" s="5">
        <f t="shared" si="14"/>
        <v>64009</v>
      </c>
      <c r="G201" s="6">
        <f>SQRT(SUM($F$2:F201)/A201)</f>
        <v>926.52906052643596</v>
      </c>
      <c r="H201" s="5">
        <f t="shared" si="15"/>
        <v>1</v>
      </c>
      <c r="I201" s="5">
        <f t="shared" si="16"/>
        <v>1</v>
      </c>
    </row>
    <row r="202" spans="1:9">
      <c r="A202">
        <v>201</v>
      </c>
      <c r="B202">
        <v>1</v>
      </c>
      <c r="C202">
        <v>9000</v>
      </c>
      <c r="D202">
        <v>1214</v>
      </c>
      <c r="E202" s="5">
        <f t="shared" si="13"/>
        <v>7786</v>
      </c>
      <c r="F202" s="5">
        <f t="shared" si="14"/>
        <v>60621796</v>
      </c>
      <c r="G202" s="6">
        <f>SQRT(SUM($F$2:F202)/A202)</f>
        <v>1075.0749505284416</v>
      </c>
      <c r="H202" s="5">
        <f t="shared" si="15"/>
        <v>0</v>
      </c>
      <c r="I202" s="5">
        <f t="shared" si="16"/>
        <v>0</v>
      </c>
    </row>
    <row r="203" spans="1:9">
      <c r="A203">
        <v>202</v>
      </c>
      <c r="B203">
        <v>9</v>
      </c>
      <c r="C203">
        <v>9000</v>
      </c>
      <c r="D203">
        <v>6187</v>
      </c>
      <c r="E203" s="5">
        <f t="shared" si="13"/>
        <v>2813</v>
      </c>
      <c r="F203" s="5">
        <f t="shared" si="14"/>
        <v>7912969</v>
      </c>
      <c r="G203" s="6">
        <f>SQRT(SUM($F$2:F203)/A203)</f>
        <v>1090.521686856777</v>
      </c>
      <c r="H203" s="5">
        <f t="shared" si="15"/>
        <v>0</v>
      </c>
      <c r="I203" s="5">
        <f t="shared" si="16"/>
        <v>0</v>
      </c>
    </row>
    <row r="204" spans="1:9">
      <c r="A204">
        <v>203</v>
      </c>
      <c r="B204">
        <v>5</v>
      </c>
      <c r="C204">
        <v>9000</v>
      </c>
      <c r="D204">
        <v>4463</v>
      </c>
      <c r="E204" s="5">
        <f t="shared" si="13"/>
        <v>4537</v>
      </c>
      <c r="F204" s="5">
        <f t="shared" si="14"/>
        <v>20584369</v>
      </c>
      <c r="G204" s="6">
        <f>SQRT(SUM($F$2:F204)/A204)</f>
        <v>1133.4813933036207</v>
      </c>
      <c r="H204" s="5">
        <f t="shared" si="15"/>
        <v>0</v>
      </c>
      <c r="I204" s="5">
        <f t="shared" si="16"/>
        <v>0</v>
      </c>
    </row>
    <row r="205" spans="1:9">
      <c r="A205">
        <v>204</v>
      </c>
      <c r="B205">
        <v>8</v>
      </c>
      <c r="C205">
        <v>9000</v>
      </c>
      <c r="D205">
        <v>5866</v>
      </c>
      <c r="E205" s="5">
        <f t="shared" si="13"/>
        <v>3134</v>
      </c>
      <c r="F205" s="5">
        <f t="shared" si="14"/>
        <v>9821956</v>
      </c>
      <c r="G205" s="6">
        <f>SQRT(SUM($F$2:F205)/A205)</f>
        <v>1151.7938055868485</v>
      </c>
      <c r="H205" s="5">
        <f t="shared" si="15"/>
        <v>0</v>
      </c>
      <c r="I205" s="5">
        <f t="shared" si="16"/>
        <v>0</v>
      </c>
    </row>
    <row r="206" spans="1:9">
      <c r="A206">
        <v>205</v>
      </c>
      <c r="B206">
        <v>8</v>
      </c>
      <c r="C206">
        <v>9000</v>
      </c>
      <c r="D206">
        <v>5580</v>
      </c>
      <c r="E206" s="5">
        <f t="shared" si="13"/>
        <v>3420</v>
      </c>
      <c r="F206" s="5">
        <f t="shared" si="14"/>
        <v>11696400</v>
      </c>
      <c r="G206" s="6">
        <f>SQRT(SUM($F$2:F206)/A206)</f>
        <v>1173.547280475821</v>
      </c>
      <c r="H206" s="5">
        <f t="shared" si="15"/>
        <v>0</v>
      </c>
      <c r="I206" s="5">
        <f t="shared" si="16"/>
        <v>0</v>
      </c>
    </row>
    <row r="207" spans="1:9">
      <c r="A207">
        <v>206</v>
      </c>
      <c r="B207">
        <v>9</v>
      </c>
      <c r="C207">
        <v>9000</v>
      </c>
      <c r="D207">
        <v>6902</v>
      </c>
      <c r="E207" s="5">
        <f t="shared" si="13"/>
        <v>2098</v>
      </c>
      <c r="F207" s="5">
        <f t="shared" si="14"/>
        <v>4401604</v>
      </c>
      <c r="G207" s="6">
        <f>SQRT(SUM($F$2:F207)/A207)</f>
        <v>1179.7858823343072</v>
      </c>
      <c r="H207" s="5">
        <f t="shared" si="15"/>
        <v>0</v>
      </c>
      <c r="I207" s="5">
        <f t="shared" si="16"/>
        <v>0</v>
      </c>
    </row>
    <row r="208" spans="1:9">
      <c r="A208">
        <v>207</v>
      </c>
      <c r="B208">
        <v>8</v>
      </c>
      <c r="C208">
        <v>9000</v>
      </c>
      <c r="D208">
        <v>6389</v>
      </c>
      <c r="E208" s="5">
        <f t="shared" si="13"/>
        <v>2611</v>
      </c>
      <c r="F208" s="5">
        <f t="shared" si="14"/>
        <v>6817321</v>
      </c>
      <c r="G208" s="6">
        <f>SQRT(SUM($F$2:F208)/A208)</f>
        <v>1190.8419361561855</v>
      </c>
      <c r="H208" s="5">
        <f t="shared" si="15"/>
        <v>0</v>
      </c>
      <c r="I208" s="5">
        <f t="shared" si="16"/>
        <v>0</v>
      </c>
    </row>
    <row r="209" spans="1:9">
      <c r="A209">
        <v>208</v>
      </c>
      <c r="B209">
        <v>10</v>
      </c>
      <c r="C209">
        <v>9000</v>
      </c>
      <c r="D209">
        <v>6794</v>
      </c>
      <c r="E209" s="5">
        <f t="shared" si="13"/>
        <v>2206</v>
      </c>
      <c r="F209" s="5">
        <f t="shared" si="14"/>
        <v>4866436</v>
      </c>
      <c r="G209" s="6">
        <f>SQRT(SUM($F$2:F209)/A209)</f>
        <v>1197.7825485679136</v>
      </c>
      <c r="H209" s="5">
        <f t="shared" si="15"/>
        <v>0</v>
      </c>
      <c r="I209" s="5">
        <f t="shared" si="16"/>
        <v>0</v>
      </c>
    </row>
    <row r="210" spans="1:9">
      <c r="A210">
        <v>209</v>
      </c>
      <c r="B210">
        <v>10</v>
      </c>
      <c r="C210">
        <v>9000</v>
      </c>
      <c r="D210">
        <v>7173</v>
      </c>
      <c r="E210" s="5">
        <f t="shared" si="13"/>
        <v>1827</v>
      </c>
      <c r="F210" s="5">
        <f t="shared" si="14"/>
        <v>3337929</v>
      </c>
      <c r="G210" s="6">
        <f>SQRT(SUM($F$2:F210)/A210)</f>
        <v>1201.5779099518311</v>
      </c>
      <c r="H210" s="5">
        <f t="shared" si="15"/>
        <v>0</v>
      </c>
      <c r="I210" s="5">
        <f t="shared" si="16"/>
        <v>0</v>
      </c>
    </row>
    <row r="211" spans="1:9">
      <c r="A211">
        <v>210</v>
      </c>
      <c r="B211">
        <v>10</v>
      </c>
      <c r="C211">
        <v>9000</v>
      </c>
      <c r="D211">
        <v>6653</v>
      </c>
      <c r="E211" s="5">
        <f t="shared" si="13"/>
        <v>2347</v>
      </c>
      <c r="F211" s="5">
        <f t="shared" si="14"/>
        <v>5508409</v>
      </c>
      <c r="G211" s="6">
        <f>SQRT(SUM($F$2:F211)/A211)</f>
        <v>1209.605226824812</v>
      </c>
      <c r="H211" s="5">
        <f t="shared" si="15"/>
        <v>0</v>
      </c>
      <c r="I211" s="5">
        <f t="shared" si="16"/>
        <v>0</v>
      </c>
    </row>
    <row r="212" spans="1:9">
      <c r="A212">
        <v>211</v>
      </c>
      <c r="B212">
        <v>11</v>
      </c>
      <c r="C212">
        <v>9000</v>
      </c>
      <c r="D212">
        <v>6699</v>
      </c>
      <c r="E212" s="5">
        <f t="shared" si="13"/>
        <v>2301</v>
      </c>
      <c r="F212" s="5">
        <f t="shared" si="14"/>
        <v>5294601</v>
      </c>
      <c r="G212" s="6">
        <f>SQRT(SUM($F$2:F212)/A212)</f>
        <v>1217.0880678607075</v>
      </c>
      <c r="H212" s="5">
        <f t="shared" si="15"/>
        <v>0</v>
      </c>
      <c r="I212" s="5">
        <f t="shared" si="16"/>
        <v>0</v>
      </c>
    </row>
    <row r="213" spans="1:9">
      <c r="A213">
        <v>212</v>
      </c>
      <c r="B213">
        <v>12</v>
      </c>
      <c r="C213">
        <v>9000</v>
      </c>
      <c r="D213">
        <v>8203</v>
      </c>
      <c r="E213" s="5">
        <f t="shared" si="13"/>
        <v>797</v>
      </c>
      <c r="F213" s="5">
        <f t="shared" si="14"/>
        <v>635209</v>
      </c>
      <c r="G213" s="6">
        <f>SQRT(SUM($F$2:F213)/A213)</f>
        <v>1215.4473883198666</v>
      </c>
      <c r="H213" s="5">
        <f t="shared" si="15"/>
        <v>1</v>
      </c>
      <c r="I213" s="5">
        <f t="shared" si="16"/>
        <v>1</v>
      </c>
    </row>
    <row r="214" spans="1:9">
      <c r="A214">
        <v>213</v>
      </c>
      <c r="B214">
        <v>10</v>
      </c>
      <c r="C214">
        <v>9000</v>
      </c>
      <c r="D214">
        <v>6185</v>
      </c>
      <c r="E214" s="5">
        <f t="shared" si="13"/>
        <v>2815</v>
      </c>
      <c r="F214" s="5">
        <f t="shared" si="14"/>
        <v>7924225</v>
      </c>
      <c r="G214" s="6">
        <f>SQRT(SUM($F$2:F214)/A214)</f>
        <v>1227.8353103310617</v>
      </c>
      <c r="H214" s="5">
        <f t="shared" si="15"/>
        <v>0</v>
      </c>
      <c r="I214" s="5">
        <f t="shared" si="16"/>
        <v>0</v>
      </c>
    </row>
    <row r="215" spans="1:9">
      <c r="A215">
        <v>214</v>
      </c>
      <c r="B215">
        <v>13</v>
      </c>
      <c r="C215">
        <v>9000</v>
      </c>
      <c r="D215">
        <v>8406</v>
      </c>
      <c r="E215" s="5">
        <f t="shared" si="13"/>
        <v>594</v>
      </c>
      <c r="F215" s="5">
        <f t="shared" si="14"/>
        <v>352836</v>
      </c>
      <c r="G215" s="6">
        <f>SQRT(SUM($F$2:F215)/A215)</f>
        <v>1225.6359783401715</v>
      </c>
      <c r="H215" s="5">
        <f t="shared" si="15"/>
        <v>1</v>
      </c>
      <c r="I215" s="5">
        <f t="shared" si="16"/>
        <v>1</v>
      </c>
    </row>
    <row r="216" spans="1:9">
      <c r="A216">
        <v>215</v>
      </c>
      <c r="B216">
        <v>11</v>
      </c>
      <c r="C216">
        <v>9000</v>
      </c>
      <c r="D216">
        <v>6726</v>
      </c>
      <c r="E216" s="5">
        <f t="shared" si="13"/>
        <v>2274</v>
      </c>
      <c r="F216" s="5">
        <f t="shared" si="14"/>
        <v>5171076</v>
      </c>
      <c r="G216" s="6">
        <f>SQRT(SUM($F$2:F216)/A216)</f>
        <v>1232.5778545154301</v>
      </c>
      <c r="H216" s="5">
        <f t="shared" si="15"/>
        <v>0</v>
      </c>
      <c r="I216" s="5">
        <f t="shared" si="16"/>
        <v>0</v>
      </c>
    </row>
    <row r="217" spans="1:9">
      <c r="A217">
        <v>216</v>
      </c>
      <c r="B217">
        <v>13</v>
      </c>
      <c r="C217">
        <v>9000</v>
      </c>
      <c r="D217">
        <v>8572</v>
      </c>
      <c r="E217" s="5">
        <f t="shared" si="13"/>
        <v>428</v>
      </c>
      <c r="F217" s="5">
        <f t="shared" si="14"/>
        <v>183184</v>
      </c>
      <c r="G217" s="6">
        <f>SQRT(SUM($F$2:F217)/A217)</f>
        <v>1230.0661304113632</v>
      </c>
      <c r="H217" s="5">
        <f t="shared" si="15"/>
        <v>1</v>
      </c>
      <c r="I217" s="5">
        <f t="shared" si="16"/>
        <v>1</v>
      </c>
    </row>
    <row r="218" spans="1:9">
      <c r="A218">
        <v>217</v>
      </c>
      <c r="B218">
        <v>12</v>
      </c>
      <c r="C218">
        <v>9000</v>
      </c>
      <c r="D218">
        <v>7450</v>
      </c>
      <c r="E218" s="5">
        <f t="shared" si="13"/>
        <v>1550</v>
      </c>
      <c r="F218" s="5">
        <f t="shared" si="14"/>
        <v>2402500</v>
      </c>
      <c r="G218" s="6">
        <f>SQRT(SUM($F$2:F218)/A218)</f>
        <v>1231.7310886124365</v>
      </c>
      <c r="H218" s="5">
        <f t="shared" si="15"/>
        <v>1</v>
      </c>
      <c r="I218" s="5">
        <f t="shared" si="16"/>
        <v>0</v>
      </c>
    </row>
    <row r="219" spans="1:9">
      <c r="A219">
        <v>218</v>
      </c>
      <c r="B219">
        <v>13</v>
      </c>
      <c r="C219">
        <v>9000</v>
      </c>
      <c r="D219">
        <v>7647</v>
      </c>
      <c r="E219" s="5">
        <f t="shared" si="13"/>
        <v>1353</v>
      </c>
      <c r="F219" s="5">
        <f t="shared" si="14"/>
        <v>1830609</v>
      </c>
      <c r="G219" s="6">
        <f>SQRT(SUM($F$2:F219)/A219)</f>
        <v>1232.3146137815008</v>
      </c>
      <c r="H219" s="5">
        <f t="shared" si="15"/>
        <v>1</v>
      </c>
      <c r="I219" s="5">
        <f t="shared" si="16"/>
        <v>0</v>
      </c>
    </row>
    <row r="220" spans="1:9">
      <c r="A220">
        <v>219</v>
      </c>
      <c r="B220">
        <v>13</v>
      </c>
      <c r="C220">
        <v>9000</v>
      </c>
      <c r="D220">
        <v>8655</v>
      </c>
      <c r="E220" s="5">
        <f t="shared" si="13"/>
        <v>345</v>
      </c>
      <c r="F220" s="5">
        <f t="shared" si="14"/>
        <v>119025</v>
      </c>
      <c r="G220" s="6">
        <f>SQRT(SUM($F$2:F220)/A220)</f>
        <v>1229.7188935190129</v>
      </c>
      <c r="H220" s="5">
        <f t="shared" si="15"/>
        <v>1</v>
      </c>
      <c r="I220" s="5">
        <f t="shared" si="16"/>
        <v>1</v>
      </c>
    </row>
    <row r="221" spans="1:9">
      <c r="A221">
        <v>220</v>
      </c>
      <c r="B221">
        <v>12</v>
      </c>
      <c r="C221">
        <v>9000</v>
      </c>
      <c r="D221">
        <v>7721</v>
      </c>
      <c r="E221" s="5">
        <f t="shared" si="13"/>
        <v>1279</v>
      </c>
      <c r="F221" s="5">
        <f t="shared" si="14"/>
        <v>1635841</v>
      </c>
      <c r="G221" s="6">
        <f>SQRT(SUM($F$2:F221)/A221)</f>
        <v>1229.9473658361453</v>
      </c>
      <c r="H221" s="5">
        <f t="shared" si="15"/>
        <v>1</v>
      </c>
      <c r="I221" s="5">
        <f t="shared" si="16"/>
        <v>0</v>
      </c>
    </row>
    <row r="222" spans="1:9">
      <c r="A222">
        <v>221</v>
      </c>
      <c r="B222">
        <v>14</v>
      </c>
      <c r="C222">
        <v>9000</v>
      </c>
      <c r="D222">
        <v>8816</v>
      </c>
      <c r="E222" s="5">
        <f t="shared" si="13"/>
        <v>184</v>
      </c>
      <c r="F222" s="5">
        <f t="shared" si="14"/>
        <v>33856</v>
      </c>
      <c r="G222" s="6">
        <f>SQRT(SUM($F$2:F222)/A222)</f>
        <v>1227.2239411818671</v>
      </c>
      <c r="H222" s="5">
        <f t="shared" si="15"/>
        <v>1</v>
      </c>
      <c r="I222" s="5">
        <f t="shared" si="16"/>
        <v>1</v>
      </c>
    </row>
    <row r="223" spans="1:9">
      <c r="A223">
        <v>222</v>
      </c>
      <c r="B223">
        <v>13</v>
      </c>
      <c r="C223">
        <v>9000</v>
      </c>
      <c r="D223">
        <v>8643</v>
      </c>
      <c r="E223" s="5">
        <f t="shared" si="13"/>
        <v>357</v>
      </c>
      <c r="F223" s="5">
        <f t="shared" si="14"/>
        <v>127449</v>
      </c>
      <c r="G223" s="6">
        <f>SQRT(SUM($F$2:F223)/A223)</f>
        <v>1224.691209472232</v>
      </c>
      <c r="H223" s="5">
        <f t="shared" si="15"/>
        <v>1</v>
      </c>
      <c r="I223" s="5">
        <f t="shared" si="16"/>
        <v>1</v>
      </c>
    </row>
    <row r="224" spans="1:9">
      <c r="A224">
        <v>223</v>
      </c>
      <c r="B224">
        <v>13</v>
      </c>
      <c r="C224">
        <v>9000</v>
      </c>
      <c r="D224">
        <v>7933</v>
      </c>
      <c r="E224" s="5">
        <f t="shared" si="13"/>
        <v>1067</v>
      </c>
      <c r="F224" s="5">
        <f t="shared" si="14"/>
        <v>1138489</v>
      </c>
      <c r="G224" s="6">
        <f>SQRT(SUM($F$2:F224)/A224)</f>
        <v>1224.029420570243</v>
      </c>
      <c r="H224" s="5">
        <f t="shared" si="15"/>
        <v>1</v>
      </c>
      <c r="I224" s="5">
        <f t="shared" si="16"/>
        <v>0</v>
      </c>
    </row>
    <row r="225" spans="1:9">
      <c r="A225">
        <v>224</v>
      </c>
      <c r="B225">
        <v>14</v>
      </c>
      <c r="C225">
        <v>9000</v>
      </c>
      <c r="D225">
        <v>8991</v>
      </c>
      <c r="E225" s="5">
        <f t="shared" si="13"/>
        <v>9</v>
      </c>
      <c r="F225" s="5">
        <f t="shared" si="14"/>
        <v>81</v>
      </c>
      <c r="G225" s="6">
        <f>SQRT(SUM($F$2:F225)/A225)</f>
        <v>1221.2943039192946</v>
      </c>
      <c r="H225" s="5">
        <f t="shared" si="15"/>
        <v>1</v>
      </c>
      <c r="I225" s="5">
        <f t="shared" si="16"/>
        <v>1</v>
      </c>
    </row>
    <row r="226" spans="1:9">
      <c r="A226">
        <v>225</v>
      </c>
      <c r="B226">
        <v>13</v>
      </c>
      <c r="C226">
        <v>9000</v>
      </c>
      <c r="D226">
        <v>7945</v>
      </c>
      <c r="E226" s="5">
        <f t="shared" si="13"/>
        <v>1055</v>
      </c>
      <c r="F226" s="5">
        <f t="shared" si="14"/>
        <v>1113025</v>
      </c>
      <c r="G226" s="6">
        <f>SQRT(SUM($F$2:F226)/A226)</f>
        <v>1220.6053416235732</v>
      </c>
      <c r="H226" s="5">
        <f t="shared" si="15"/>
        <v>1</v>
      </c>
      <c r="I226" s="5">
        <f t="shared" si="16"/>
        <v>0</v>
      </c>
    </row>
    <row r="227" spans="1:9">
      <c r="A227">
        <v>226</v>
      </c>
      <c r="B227">
        <v>14</v>
      </c>
      <c r="C227">
        <v>9000</v>
      </c>
      <c r="D227">
        <v>9256</v>
      </c>
      <c r="E227" s="5">
        <f t="shared" si="13"/>
        <v>256</v>
      </c>
      <c r="F227" s="5">
        <f t="shared" si="14"/>
        <v>65536</v>
      </c>
      <c r="G227" s="6">
        <f>SQRT(SUM($F$2:F227)/A227)</f>
        <v>1218.0209375970426</v>
      </c>
      <c r="H227" s="5">
        <f t="shared" si="15"/>
        <v>1</v>
      </c>
      <c r="I227" s="5">
        <f t="shared" si="16"/>
        <v>1</v>
      </c>
    </row>
    <row r="228" spans="1:9">
      <c r="A228">
        <v>227</v>
      </c>
      <c r="B228">
        <v>13</v>
      </c>
      <c r="C228">
        <v>9000</v>
      </c>
      <c r="D228">
        <v>8212</v>
      </c>
      <c r="E228" s="5">
        <f t="shared" si="13"/>
        <v>788</v>
      </c>
      <c r="F228" s="5">
        <f t="shared" si="14"/>
        <v>620944</v>
      </c>
      <c r="G228" s="6">
        <f>SQRT(SUM($F$2:F228)/A228)</f>
        <v>1216.4599737933879</v>
      </c>
      <c r="H228" s="5">
        <f t="shared" si="15"/>
        <v>1</v>
      </c>
      <c r="I228" s="5">
        <f t="shared" si="16"/>
        <v>1</v>
      </c>
    </row>
    <row r="229" spans="1:9">
      <c r="A229">
        <v>228</v>
      </c>
      <c r="B229">
        <v>14</v>
      </c>
      <c r="C229">
        <v>9000</v>
      </c>
      <c r="D229">
        <v>9044</v>
      </c>
      <c r="E229" s="5">
        <f t="shared" si="13"/>
        <v>44</v>
      </c>
      <c r="F229" s="5">
        <f t="shared" si="14"/>
        <v>1936</v>
      </c>
      <c r="G229" s="6">
        <f>SQRT(SUM($F$2:F229)/A229)</f>
        <v>1213.7928647100593</v>
      </c>
      <c r="H229" s="5">
        <f t="shared" si="15"/>
        <v>1</v>
      </c>
      <c r="I229" s="5">
        <f t="shared" si="16"/>
        <v>1</v>
      </c>
    </row>
    <row r="230" spans="1:9">
      <c r="A230">
        <v>229</v>
      </c>
      <c r="B230">
        <v>13</v>
      </c>
      <c r="C230">
        <v>9000</v>
      </c>
      <c r="D230">
        <v>8285</v>
      </c>
      <c r="E230" s="5">
        <f t="shared" si="13"/>
        <v>715</v>
      </c>
      <c r="F230" s="5">
        <f t="shared" si="14"/>
        <v>511225</v>
      </c>
      <c r="G230" s="6">
        <f>SQRT(SUM($F$2:F230)/A230)</f>
        <v>1212.0610329510034</v>
      </c>
      <c r="H230" s="5">
        <f t="shared" si="15"/>
        <v>1</v>
      </c>
      <c r="I230" s="5">
        <f t="shared" si="16"/>
        <v>1</v>
      </c>
    </row>
    <row r="231" spans="1:9">
      <c r="A231">
        <v>230</v>
      </c>
      <c r="B231">
        <v>14</v>
      </c>
      <c r="C231">
        <v>9000</v>
      </c>
      <c r="D231">
        <v>8494</v>
      </c>
      <c r="E231" s="5">
        <f t="shared" si="13"/>
        <v>506</v>
      </c>
      <c r="F231" s="5">
        <f t="shared" si="14"/>
        <v>256036</v>
      </c>
      <c r="G231" s="6">
        <f>SQRT(SUM($F$2:F231)/A231)</f>
        <v>1209.8833792165044</v>
      </c>
      <c r="H231" s="5">
        <f t="shared" si="15"/>
        <v>1</v>
      </c>
      <c r="I231" s="5">
        <f t="shared" si="16"/>
        <v>1</v>
      </c>
    </row>
    <row r="232" spans="1:9">
      <c r="A232">
        <v>231</v>
      </c>
      <c r="B232">
        <v>14</v>
      </c>
      <c r="C232">
        <v>9000</v>
      </c>
      <c r="D232">
        <v>9067</v>
      </c>
      <c r="E232" s="5">
        <f t="shared" si="13"/>
        <v>67</v>
      </c>
      <c r="F232" s="5">
        <f t="shared" si="14"/>
        <v>4489</v>
      </c>
      <c r="G232" s="6">
        <f>SQRT(SUM($F$2:F232)/A232)</f>
        <v>1207.2697919890775</v>
      </c>
      <c r="H232" s="5">
        <f t="shared" si="15"/>
        <v>1</v>
      </c>
      <c r="I232" s="5">
        <f t="shared" si="16"/>
        <v>1</v>
      </c>
    </row>
    <row r="233" spans="1:9">
      <c r="A233">
        <v>232</v>
      </c>
      <c r="B233">
        <v>14</v>
      </c>
      <c r="C233">
        <v>9000</v>
      </c>
      <c r="D233">
        <v>8747</v>
      </c>
      <c r="E233" s="5">
        <f t="shared" si="13"/>
        <v>253</v>
      </c>
      <c r="F233" s="5">
        <f t="shared" si="14"/>
        <v>64009</v>
      </c>
      <c r="G233" s="6">
        <f>SQRT(SUM($F$2:F233)/A233)</f>
        <v>1204.7796157031348</v>
      </c>
      <c r="H233" s="5">
        <f t="shared" si="15"/>
        <v>1</v>
      </c>
      <c r="I233" s="5">
        <f t="shared" si="16"/>
        <v>1</v>
      </c>
    </row>
    <row r="234" spans="1:9">
      <c r="A234">
        <v>233</v>
      </c>
      <c r="B234">
        <v>14</v>
      </c>
      <c r="C234">
        <v>9000</v>
      </c>
      <c r="D234">
        <v>9110</v>
      </c>
      <c r="E234" s="5">
        <f t="shared" si="13"/>
        <v>110</v>
      </c>
      <c r="F234" s="5">
        <f t="shared" si="14"/>
        <v>12100</v>
      </c>
      <c r="G234" s="6">
        <f>SQRT(SUM($F$2:F234)/A234)</f>
        <v>1202.2130701728461</v>
      </c>
      <c r="H234" s="5">
        <f t="shared" si="15"/>
        <v>1</v>
      </c>
      <c r="I234" s="5">
        <f t="shared" si="16"/>
        <v>1</v>
      </c>
    </row>
    <row r="235" spans="1:9">
      <c r="A235">
        <v>234</v>
      </c>
      <c r="B235">
        <v>14</v>
      </c>
      <c r="C235">
        <v>9000</v>
      </c>
      <c r="D235">
        <v>9109</v>
      </c>
      <c r="E235" s="5">
        <f t="shared" si="13"/>
        <v>109</v>
      </c>
      <c r="F235" s="5">
        <f t="shared" si="14"/>
        <v>11881</v>
      </c>
      <c r="G235" s="6">
        <f>SQRT(SUM($F$2:F235)/A235)</f>
        <v>1199.6626502308782</v>
      </c>
      <c r="H235" s="5">
        <f t="shared" si="15"/>
        <v>1</v>
      </c>
      <c r="I235" s="5">
        <f t="shared" si="16"/>
        <v>1</v>
      </c>
    </row>
    <row r="236" spans="1:9">
      <c r="A236">
        <v>235</v>
      </c>
      <c r="B236">
        <v>14</v>
      </c>
      <c r="C236">
        <v>9000</v>
      </c>
      <c r="D236">
        <v>8622</v>
      </c>
      <c r="E236" s="5">
        <f t="shared" si="13"/>
        <v>378</v>
      </c>
      <c r="F236" s="5">
        <f t="shared" si="14"/>
        <v>142884</v>
      </c>
      <c r="G236" s="6">
        <f>SQRT(SUM($F$2:F236)/A236)</f>
        <v>1197.3613809521939</v>
      </c>
      <c r="H236" s="5">
        <f t="shared" si="15"/>
        <v>1</v>
      </c>
      <c r="I236" s="5">
        <f t="shared" si="16"/>
        <v>1</v>
      </c>
    </row>
    <row r="237" spans="1:9">
      <c r="A237">
        <v>236</v>
      </c>
      <c r="B237">
        <v>14</v>
      </c>
      <c r="C237">
        <v>9000</v>
      </c>
      <c r="D237">
        <v>9238</v>
      </c>
      <c r="E237" s="5">
        <f t="shared" si="13"/>
        <v>238</v>
      </c>
      <c r="F237" s="5">
        <f t="shared" si="14"/>
        <v>56644</v>
      </c>
      <c r="G237" s="6">
        <f>SQRT(SUM($F$2:F237)/A237)</f>
        <v>1194.9223416366324</v>
      </c>
      <c r="H237" s="5">
        <f t="shared" si="15"/>
        <v>1</v>
      </c>
      <c r="I237" s="5">
        <f t="shared" si="16"/>
        <v>1</v>
      </c>
    </row>
    <row r="238" spans="1:9">
      <c r="A238">
        <v>237</v>
      </c>
      <c r="B238">
        <v>13</v>
      </c>
      <c r="C238">
        <v>9000</v>
      </c>
      <c r="D238">
        <v>8745</v>
      </c>
      <c r="E238" s="5">
        <f t="shared" si="13"/>
        <v>255</v>
      </c>
      <c r="F238" s="5">
        <f t="shared" si="14"/>
        <v>65025</v>
      </c>
      <c r="G238" s="6">
        <f>SQRT(SUM($F$2:F238)/A238)</f>
        <v>1192.5137864199673</v>
      </c>
      <c r="H238" s="5">
        <f t="shared" si="15"/>
        <v>1</v>
      </c>
      <c r="I238" s="5">
        <f t="shared" si="16"/>
        <v>1</v>
      </c>
    </row>
    <row r="239" spans="1:9">
      <c r="A239">
        <v>238</v>
      </c>
      <c r="B239">
        <v>14</v>
      </c>
      <c r="C239">
        <v>9000</v>
      </c>
      <c r="D239">
        <v>9027</v>
      </c>
      <c r="E239" s="5">
        <f t="shared" si="13"/>
        <v>27</v>
      </c>
      <c r="F239" s="5">
        <f t="shared" si="14"/>
        <v>729</v>
      </c>
      <c r="G239" s="6">
        <f>SQRT(SUM($F$2:F239)/A239)</f>
        <v>1190.0071551935159</v>
      </c>
      <c r="H239" s="5">
        <f t="shared" si="15"/>
        <v>1</v>
      </c>
      <c r="I239" s="5">
        <f t="shared" si="16"/>
        <v>1</v>
      </c>
    </row>
    <row r="240" spans="1:9">
      <c r="A240">
        <v>239</v>
      </c>
      <c r="B240">
        <v>14</v>
      </c>
      <c r="C240">
        <v>9000</v>
      </c>
      <c r="D240">
        <v>8744</v>
      </c>
      <c r="E240" s="5">
        <f t="shared" si="13"/>
        <v>256</v>
      </c>
      <c r="F240" s="5">
        <f t="shared" si="14"/>
        <v>65536</v>
      </c>
      <c r="G240" s="6">
        <f>SQRT(SUM($F$2:F240)/A240)</f>
        <v>1187.630440314455</v>
      </c>
      <c r="H240" s="5">
        <f t="shared" si="15"/>
        <v>1</v>
      </c>
      <c r="I240" s="5">
        <f t="shared" si="16"/>
        <v>1</v>
      </c>
    </row>
    <row r="241" spans="1:9">
      <c r="A241">
        <v>240</v>
      </c>
      <c r="B241">
        <v>14</v>
      </c>
      <c r="C241">
        <v>9000</v>
      </c>
      <c r="D241">
        <v>9206</v>
      </c>
      <c r="E241" s="5">
        <f t="shared" si="13"/>
        <v>206</v>
      </c>
      <c r="F241" s="5">
        <f t="shared" si="14"/>
        <v>42436</v>
      </c>
      <c r="G241" s="6">
        <f>SQRT(SUM($F$2:F241)/A241)</f>
        <v>1185.228221694033</v>
      </c>
      <c r="H241" s="5">
        <f t="shared" si="15"/>
        <v>1</v>
      </c>
      <c r="I241" s="5">
        <f t="shared" si="16"/>
        <v>1</v>
      </c>
    </row>
    <row r="242" spans="1:9">
      <c r="A242">
        <v>241</v>
      </c>
      <c r="B242">
        <v>14</v>
      </c>
      <c r="C242">
        <v>9000</v>
      </c>
      <c r="D242">
        <v>8327</v>
      </c>
      <c r="E242" s="5">
        <f t="shared" si="13"/>
        <v>673</v>
      </c>
      <c r="F242" s="5">
        <f t="shared" si="14"/>
        <v>452929</v>
      </c>
      <c r="G242" s="6">
        <f>SQRT(SUM($F$2:F242)/A242)</f>
        <v>1183.560901111136</v>
      </c>
      <c r="H242" s="5">
        <f t="shared" si="15"/>
        <v>1</v>
      </c>
      <c r="I242" s="5">
        <f t="shared" si="16"/>
        <v>1</v>
      </c>
    </row>
    <row r="243" spans="1:9">
      <c r="A243">
        <v>242</v>
      </c>
      <c r="B243">
        <v>15</v>
      </c>
      <c r="C243">
        <v>9000</v>
      </c>
      <c r="D243">
        <v>9025</v>
      </c>
      <c r="E243" s="5">
        <f t="shared" si="13"/>
        <v>25</v>
      </c>
      <c r="F243" s="5">
        <f t="shared" si="14"/>
        <v>625</v>
      </c>
      <c r="G243" s="6">
        <f>SQRT(SUM($F$2:F243)/A243)</f>
        <v>1181.1140892121884</v>
      </c>
      <c r="H243" s="5">
        <f t="shared" si="15"/>
        <v>1</v>
      </c>
      <c r="I243" s="5">
        <f t="shared" si="16"/>
        <v>1</v>
      </c>
    </row>
    <row r="244" spans="1:9">
      <c r="A244">
        <v>243</v>
      </c>
      <c r="B244">
        <v>14</v>
      </c>
      <c r="C244">
        <v>9000</v>
      </c>
      <c r="D244">
        <v>4112</v>
      </c>
      <c r="E244" s="5">
        <f t="shared" si="13"/>
        <v>4888</v>
      </c>
      <c r="F244" s="5">
        <f t="shared" si="14"/>
        <v>23892544</v>
      </c>
      <c r="G244" s="6">
        <f>SQRT(SUM($F$2:F244)/A244)</f>
        <v>1219.6773556362568</v>
      </c>
      <c r="H244" s="5">
        <f t="shared" si="15"/>
        <v>0</v>
      </c>
      <c r="I244" s="5">
        <f t="shared" si="16"/>
        <v>0</v>
      </c>
    </row>
    <row r="245" spans="1:9">
      <c r="A245">
        <v>244</v>
      </c>
      <c r="B245">
        <v>20</v>
      </c>
      <c r="C245">
        <v>9000</v>
      </c>
      <c r="D245">
        <v>11040</v>
      </c>
      <c r="E245" s="5">
        <f t="shared" si="13"/>
        <v>2040</v>
      </c>
      <c r="F245" s="5">
        <f t="shared" si="14"/>
        <v>4161600</v>
      </c>
      <c r="G245" s="6">
        <f>SQRT(SUM($F$2:F245)/A245)</f>
        <v>1224.1616786902662</v>
      </c>
      <c r="H245" s="5">
        <f t="shared" si="15"/>
        <v>0</v>
      </c>
      <c r="I245" s="5">
        <f t="shared" si="16"/>
        <v>0</v>
      </c>
    </row>
    <row r="246" spans="1:9">
      <c r="A246">
        <v>245</v>
      </c>
      <c r="B246">
        <v>13</v>
      </c>
      <c r="C246">
        <v>9000</v>
      </c>
      <c r="D246">
        <v>7949</v>
      </c>
      <c r="E246" s="5">
        <f t="shared" si="13"/>
        <v>1051</v>
      </c>
      <c r="F246" s="5">
        <f t="shared" si="14"/>
        <v>1104601</v>
      </c>
      <c r="G246" s="6">
        <f>SQRT(SUM($F$2:F246)/A246)</f>
        <v>1223.5047083802217</v>
      </c>
      <c r="H246" s="5">
        <f t="shared" si="15"/>
        <v>1</v>
      </c>
      <c r="I246" s="5">
        <f t="shared" si="16"/>
        <v>0</v>
      </c>
    </row>
    <row r="247" spans="1:9">
      <c r="A247">
        <v>246</v>
      </c>
      <c r="B247">
        <v>16</v>
      </c>
      <c r="C247">
        <v>9000</v>
      </c>
      <c r="D247">
        <v>8751</v>
      </c>
      <c r="E247" s="5">
        <f t="shared" si="13"/>
        <v>249</v>
      </c>
      <c r="F247" s="5">
        <f t="shared" si="14"/>
        <v>62001</v>
      </c>
      <c r="G247" s="6">
        <f>SQRT(SUM($F$2:F247)/A247)</f>
        <v>1221.1185812323447</v>
      </c>
      <c r="H247" s="5">
        <f t="shared" si="15"/>
        <v>1</v>
      </c>
      <c r="I247" s="5">
        <f t="shared" si="16"/>
        <v>1</v>
      </c>
    </row>
    <row r="248" spans="1:9">
      <c r="A248">
        <v>247</v>
      </c>
      <c r="B248">
        <v>15</v>
      </c>
      <c r="C248">
        <v>9000</v>
      </c>
      <c r="D248">
        <v>9379</v>
      </c>
      <c r="E248" s="5">
        <f t="shared" si="13"/>
        <v>379</v>
      </c>
      <c r="F248" s="5">
        <f t="shared" si="14"/>
        <v>143641</v>
      </c>
      <c r="G248" s="6">
        <f>SQRT(SUM($F$2:F248)/A248)</f>
        <v>1218.8827531768193</v>
      </c>
      <c r="H248" s="5">
        <f t="shared" si="15"/>
        <v>1</v>
      </c>
      <c r="I248" s="5">
        <f t="shared" si="16"/>
        <v>1</v>
      </c>
    </row>
    <row r="249" spans="1:9">
      <c r="A249">
        <v>248</v>
      </c>
      <c r="B249">
        <v>15</v>
      </c>
      <c r="C249">
        <v>9000</v>
      </c>
      <c r="D249">
        <v>9030</v>
      </c>
      <c r="E249" s="5">
        <f t="shared" si="13"/>
        <v>30</v>
      </c>
      <c r="F249" s="5">
        <f t="shared" si="14"/>
        <v>900</v>
      </c>
      <c r="G249" s="6">
        <f>SQRT(SUM($F$2:F249)/A249)</f>
        <v>1216.4243377024477</v>
      </c>
      <c r="H249" s="5">
        <f t="shared" si="15"/>
        <v>1</v>
      </c>
      <c r="I249" s="5">
        <f t="shared" si="16"/>
        <v>1</v>
      </c>
    </row>
    <row r="250" spans="1:9">
      <c r="A250">
        <v>249</v>
      </c>
      <c r="B250">
        <v>15</v>
      </c>
      <c r="C250">
        <v>9000</v>
      </c>
      <c r="D250">
        <v>9063</v>
      </c>
      <c r="E250" s="5">
        <f t="shared" si="13"/>
        <v>63</v>
      </c>
      <c r="F250" s="5">
        <f t="shared" si="14"/>
        <v>3969</v>
      </c>
      <c r="G250" s="6">
        <f>SQRT(SUM($F$2:F250)/A250)</f>
        <v>1213.9858262539071</v>
      </c>
      <c r="H250" s="5">
        <f t="shared" si="15"/>
        <v>1</v>
      </c>
      <c r="I250" s="5">
        <f t="shared" si="16"/>
        <v>1</v>
      </c>
    </row>
    <row r="251" spans="1:9">
      <c r="A251">
        <v>250</v>
      </c>
      <c r="B251">
        <v>15</v>
      </c>
      <c r="C251">
        <v>9000</v>
      </c>
      <c r="D251">
        <v>9952</v>
      </c>
      <c r="E251" s="5">
        <f t="shared" si="13"/>
        <v>952</v>
      </c>
      <c r="F251" s="5">
        <f t="shared" si="14"/>
        <v>906304</v>
      </c>
      <c r="G251" s="6">
        <f>SQRT(SUM($F$2:F251)/A251)</f>
        <v>1213.0505991095342</v>
      </c>
      <c r="H251" s="5">
        <f t="shared" si="15"/>
        <v>1</v>
      </c>
      <c r="I251" s="5">
        <f t="shared" si="16"/>
        <v>0</v>
      </c>
    </row>
    <row r="252" spans="1:9">
      <c r="A252">
        <v>251</v>
      </c>
      <c r="B252">
        <v>14</v>
      </c>
      <c r="C252">
        <v>9000</v>
      </c>
      <c r="D252">
        <v>9101</v>
      </c>
      <c r="E252" s="5">
        <f t="shared" si="13"/>
        <v>101</v>
      </c>
      <c r="F252" s="5">
        <f t="shared" si="14"/>
        <v>10201</v>
      </c>
      <c r="G252" s="6">
        <f>SQRT(SUM($F$2:F252)/A252)</f>
        <v>1210.6485371395315</v>
      </c>
      <c r="H252" s="5">
        <f t="shared" si="15"/>
        <v>1</v>
      </c>
      <c r="I252" s="5">
        <f t="shared" si="16"/>
        <v>1</v>
      </c>
    </row>
    <row r="253" spans="1:9">
      <c r="A253">
        <v>252</v>
      </c>
      <c r="B253">
        <v>14</v>
      </c>
      <c r="C253">
        <v>9000</v>
      </c>
      <c r="D253">
        <v>9219</v>
      </c>
      <c r="E253" s="5">
        <f t="shared" si="13"/>
        <v>219</v>
      </c>
      <c r="F253" s="5">
        <f t="shared" si="14"/>
        <v>47961</v>
      </c>
      <c r="G253" s="6">
        <f>SQRT(SUM($F$2:F253)/A253)</f>
        <v>1208.3228258984855</v>
      </c>
      <c r="H253" s="5">
        <f t="shared" si="15"/>
        <v>1</v>
      </c>
      <c r="I253" s="5">
        <f t="shared" si="16"/>
        <v>1</v>
      </c>
    </row>
    <row r="254" spans="1:9">
      <c r="A254">
        <v>253</v>
      </c>
      <c r="B254">
        <v>14</v>
      </c>
      <c r="C254">
        <v>9000</v>
      </c>
      <c r="D254">
        <v>8506</v>
      </c>
      <c r="E254" s="5">
        <f t="shared" si="13"/>
        <v>494</v>
      </c>
      <c r="F254" s="5">
        <f t="shared" si="14"/>
        <v>244036</v>
      </c>
      <c r="G254" s="6">
        <f>SQRT(SUM($F$2:F254)/A254)</f>
        <v>1206.3323321755799</v>
      </c>
      <c r="H254" s="5">
        <f t="shared" si="15"/>
        <v>1</v>
      </c>
      <c r="I254" s="5">
        <f t="shared" si="16"/>
        <v>1</v>
      </c>
    </row>
    <row r="255" spans="1:9">
      <c r="A255">
        <v>254</v>
      </c>
      <c r="B255">
        <v>15</v>
      </c>
      <c r="C255">
        <v>9000</v>
      </c>
      <c r="D255">
        <v>9105</v>
      </c>
      <c r="E255" s="5">
        <f t="shared" si="13"/>
        <v>105</v>
      </c>
      <c r="F255" s="5">
        <f t="shared" si="14"/>
        <v>11025</v>
      </c>
      <c r="G255" s="6">
        <f>SQRT(SUM($F$2:F255)/A255)</f>
        <v>1203.9733464232661</v>
      </c>
      <c r="H255" s="5">
        <f t="shared" si="15"/>
        <v>1</v>
      </c>
      <c r="I255" s="5">
        <f t="shared" si="16"/>
        <v>1</v>
      </c>
    </row>
    <row r="256" spans="1:9">
      <c r="A256">
        <v>255</v>
      </c>
      <c r="B256">
        <v>15</v>
      </c>
      <c r="C256">
        <v>9000</v>
      </c>
      <c r="D256">
        <v>9009</v>
      </c>
      <c r="E256" s="5">
        <f t="shared" si="13"/>
        <v>9</v>
      </c>
      <c r="F256" s="5">
        <f t="shared" si="14"/>
        <v>81</v>
      </c>
      <c r="G256" s="6">
        <f>SQRT(SUM($F$2:F256)/A256)</f>
        <v>1201.6104275545561</v>
      </c>
      <c r="H256" s="5">
        <f t="shared" si="15"/>
        <v>1</v>
      </c>
      <c r="I256" s="5">
        <f t="shared" si="16"/>
        <v>1</v>
      </c>
    </row>
    <row r="257" spans="1:9">
      <c r="A257">
        <v>256</v>
      </c>
      <c r="B257">
        <v>15</v>
      </c>
      <c r="C257">
        <v>9000</v>
      </c>
      <c r="D257">
        <v>8528</v>
      </c>
      <c r="E257" s="5">
        <f t="shared" si="13"/>
        <v>472</v>
      </c>
      <c r="F257" s="5">
        <f t="shared" si="14"/>
        <v>222784</v>
      </c>
      <c r="G257" s="6">
        <f>SQRT(SUM($F$2:F257)/A257)</f>
        <v>1199.6240084788026</v>
      </c>
      <c r="H257" s="5">
        <f t="shared" si="15"/>
        <v>1</v>
      </c>
      <c r="I257" s="5">
        <f t="shared" si="16"/>
        <v>1</v>
      </c>
    </row>
    <row r="258" spans="1:9">
      <c r="A258">
        <v>257</v>
      </c>
      <c r="B258">
        <v>15</v>
      </c>
      <c r="C258">
        <v>9000</v>
      </c>
      <c r="D258">
        <v>9169</v>
      </c>
      <c r="E258" s="5">
        <f t="shared" si="13"/>
        <v>169</v>
      </c>
      <c r="F258" s="5">
        <f t="shared" si="14"/>
        <v>28561</v>
      </c>
      <c r="G258" s="6">
        <f>SQRT(SUM($F$2:F258)/A258)</f>
        <v>1197.3342439890348</v>
      </c>
      <c r="H258" s="5">
        <f t="shared" si="15"/>
        <v>1</v>
      </c>
      <c r="I258" s="5">
        <f t="shared" si="16"/>
        <v>1</v>
      </c>
    </row>
    <row r="259" spans="1:9">
      <c r="A259">
        <v>258</v>
      </c>
      <c r="B259">
        <v>15</v>
      </c>
      <c r="C259">
        <v>9000</v>
      </c>
      <c r="D259">
        <v>9699</v>
      </c>
      <c r="E259" s="5">
        <f t="shared" ref="E259:E322" si="17">ABS(C259-D259)</f>
        <v>699</v>
      </c>
      <c r="F259" s="5">
        <f t="shared" ref="F259:F322" si="18">POWER(E259,2)</f>
        <v>488601</v>
      </c>
      <c r="G259" s="6">
        <f>SQRT(SUM($F$2:F259)/A259)</f>
        <v>1195.8036916619083</v>
      </c>
      <c r="H259" s="5">
        <f t="shared" ref="H259:H322" si="19">IF(ABS(E259)/C259&gt;0.2,0,1)</f>
        <v>1</v>
      </c>
      <c r="I259" s="5">
        <f t="shared" ref="I259:I322" si="20">IF(ABS(E259)/C259&gt;0.1,0,1)</f>
        <v>1</v>
      </c>
    </row>
    <row r="260" spans="1:9">
      <c r="A260">
        <v>259</v>
      </c>
      <c r="B260">
        <v>14</v>
      </c>
      <c r="C260">
        <v>9000</v>
      </c>
      <c r="D260">
        <v>9002</v>
      </c>
      <c r="E260" s="5">
        <f t="shared" si="17"/>
        <v>2</v>
      </c>
      <c r="F260" s="5">
        <f t="shared" si="18"/>
        <v>4</v>
      </c>
      <c r="G260" s="6">
        <f>SQRT(SUM($F$2:F260)/A260)</f>
        <v>1193.4929642014886</v>
      </c>
      <c r="H260" s="5">
        <f t="shared" si="19"/>
        <v>1</v>
      </c>
      <c r="I260" s="5">
        <f t="shared" si="20"/>
        <v>1</v>
      </c>
    </row>
    <row r="261" spans="1:9">
      <c r="A261">
        <v>260</v>
      </c>
      <c r="B261">
        <v>15</v>
      </c>
      <c r="C261">
        <v>9000</v>
      </c>
      <c r="D261">
        <v>9285</v>
      </c>
      <c r="E261" s="5">
        <f t="shared" si="17"/>
        <v>285</v>
      </c>
      <c r="F261" s="5">
        <f t="shared" si="18"/>
        <v>81225</v>
      </c>
      <c r="G261" s="6">
        <f>SQRT(SUM($F$2:F261)/A261)</f>
        <v>1191.3266974260252</v>
      </c>
      <c r="H261" s="5">
        <f t="shared" si="19"/>
        <v>1</v>
      </c>
      <c r="I261" s="5">
        <f t="shared" si="20"/>
        <v>1</v>
      </c>
    </row>
    <row r="262" spans="1:9">
      <c r="A262">
        <v>261</v>
      </c>
      <c r="B262">
        <v>14</v>
      </c>
      <c r="C262">
        <v>9000</v>
      </c>
      <c r="D262">
        <v>7973</v>
      </c>
      <c r="E262" s="5">
        <f t="shared" si="17"/>
        <v>1027</v>
      </c>
      <c r="F262" s="5">
        <f t="shared" si="18"/>
        <v>1054729</v>
      </c>
      <c r="G262" s="6">
        <f>SQRT(SUM($F$2:F262)/A262)</f>
        <v>1190.7403714428717</v>
      </c>
      <c r="H262" s="5">
        <f t="shared" si="19"/>
        <v>1</v>
      </c>
      <c r="I262" s="5">
        <f t="shared" si="20"/>
        <v>0</v>
      </c>
    </row>
    <row r="263" spans="1:9">
      <c r="A263">
        <v>262</v>
      </c>
      <c r="B263">
        <v>16</v>
      </c>
      <c r="C263">
        <v>9000</v>
      </c>
      <c r="D263">
        <v>9109</v>
      </c>
      <c r="E263" s="5">
        <f t="shared" si="17"/>
        <v>109</v>
      </c>
      <c r="F263" s="5">
        <f t="shared" si="18"/>
        <v>11881</v>
      </c>
      <c r="G263" s="6">
        <f>SQRT(SUM($F$2:F263)/A263)</f>
        <v>1188.4848716228305</v>
      </c>
      <c r="H263" s="5">
        <f t="shared" si="19"/>
        <v>1</v>
      </c>
      <c r="I263" s="5">
        <f t="shared" si="20"/>
        <v>1</v>
      </c>
    </row>
    <row r="264" spans="1:9">
      <c r="A264">
        <v>263</v>
      </c>
      <c r="B264">
        <v>15</v>
      </c>
      <c r="C264">
        <v>9000</v>
      </c>
      <c r="D264">
        <v>9284</v>
      </c>
      <c r="E264" s="5">
        <f t="shared" si="17"/>
        <v>284</v>
      </c>
      <c r="F264" s="5">
        <f t="shared" si="18"/>
        <v>80656</v>
      </c>
      <c r="G264" s="6">
        <f>SQRT(SUM($F$2:F264)/A264)</f>
        <v>1186.3525018118069</v>
      </c>
      <c r="H264" s="5">
        <f t="shared" si="19"/>
        <v>1</v>
      </c>
      <c r="I264" s="5">
        <f t="shared" si="20"/>
        <v>1</v>
      </c>
    </row>
    <row r="265" spans="1:9">
      <c r="A265">
        <v>264</v>
      </c>
      <c r="B265">
        <v>14</v>
      </c>
      <c r="C265">
        <v>9000</v>
      </c>
      <c r="D265">
        <v>8698</v>
      </c>
      <c r="E265" s="5">
        <f t="shared" si="17"/>
        <v>302</v>
      </c>
      <c r="F265" s="5">
        <f t="shared" si="18"/>
        <v>91204</v>
      </c>
      <c r="G265" s="6">
        <f>SQRT(SUM($F$2:F265)/A265)</f>
        <v>1184.249359490874</v>
      </c>
      <c r="H265" s="5">
        <f t="shared" si="19"/>
        <v>1</v>
      </c>
      <c r="I265" s="5">
        <f t="shared" si="20"/>
        <v>1</v>
      </c>
    </row>
    <row r="266" spans="1:9">
      <c r="A266">
        <v>265</v>
      </c>
      <c r="B266">
        <v>15</v>
      </c>
      <c r="C266">
        <v>9000</v>
      </c>
      <c r="D266">
        <v>9309</v>
      </c>
      <c r="E266" s="5">
        <f t="shared" si="17"/>
        <v>309</v>
      </c>
      <c r="F266" s="5">
        <f t="shared" si="18"/>
        <v>95481</v>
      </c>
      <c r="G266" s="6">
        <f>SQRT(SUM($F$2:F266)/A266)</f>
        <v>1182.1652168796036</v>
      </c>
      <c r="H266" s="5">
        <f t="shared" si="19"/>
        <v>1</v>
      </c>
      <c r="I266" s="5">
        <f t="shared" si="20"/>
        <v>1</v>
      </c>
    </row>
    <row r="267" spans="1:9">
      <c r="A267">
        <v>266</v>
      </c>
      <c r="B267">
        <v>14</v>
      </c>
      <c r="C267">
        <v>9000</v>
      </c>
      <c r="D267">
        <v>8771</v>
      </c>
      <c r="E267" s="5">
        <f t="shared" si="17"/>
        <v>229</v>
      </c>
      <c r="F267" s="5">
        <f t="shared" si="18"/>
        <v>52441</v>
      </c>
      <c r="G267" s="6">
        <f>SQRT(SUM($F$2:F267)/A267)</f>
        <v>1180.0245473424809</v>
      </c>
      <c r="H267" s="5">
        <f t="shared" si="19"/>
        <v>1</v>
      </c>
      <c r="I267" s="5">
        <f t="shared" si="20"/>
        <v>1</v>
      </c>
    </row>
    <row r="268" spans="1:9">
      <c r="A268">
        <v>267</v>
      </c>
      <c r="B268">
        <v>15</v>
      </c>
      <c r="C268">
        <v>9000</v>
      </c>
      <c r="D268">
        <v>9058</v>
      </c>
      <c r="E268" s="5">
        <f t="shared" si="17"/>
        <v>58</v>
      </c>
      <c r="F268" s="5">
        <f t="shared" si="18"/>
        <v>3364</v>
      </c>
      <c r="G268" s="6">
        <f>SQRT(SUM($F$2:F268)/A268)</f>
        <v>1177.8180391441342</v>
      </c>
      <c r="H268" s="5">
        <f t="shared" si="19"/>
        <v>1</v>
      </c>
      <c r="I268" s="5">
        <f t="shared" si="20"/>
        <v>1</v>
      </c>
    </row>
    <row r="269" spans="1:9">
      <c r="A269">
        <v>268</v>
      </c>
      <c r="B269">
        <v>15</v>
      </c>
      <c r="C269">
        <v>9000</v>
      </c>
      <c r="D269">
        <v>9129</v>
      </c>
      <c r="E269" s="5">
        <f t="shared" si="17"/>
        <v>129</v>
      </c>
      <c r="F269" s="5">
        <f t="shared" si="18"/>
        <v>16641</v>
      </c>
      <c r="G269" s="6">
        <f>SQRT(SUM($F$2:F269)/A269)</f>
        <v>1175.6449722370562</v>
      </c>
      <c r="H269" s="5">
        <f t="shared" si="19"/>
        <v>1</v>
      </c>
      <c r="I269" s="5">
        <f t="shared" si="20"/>
        <v>1</v>
      </c>
    </row>
    <row r="270" spans="1:9">
      <c r="A270">
        <v>269</v>
      </c>
      <c r="B270">
        <v>15</v>
      </c>
      <c r="C270">
        <v>9000</v>
      </c>
      <c r="D270">
        <v>9240</v>
      </c>
      <c r="E270" s="5">
        <f t="shared" si="17"/>
        <v>240</v>
      </c>
      <c r="F270" s="5">
        <f t="shared" si="18"/>
        <v>57600</v>
      </c>
      <c r="G270" s="6">
        <f>SQRT(SUM($F$2:F270)/A270)</f>
        <v>1173.5489577064218</v>
      </c>
      <c r="H270" s="5">
        <f t="shared" si="19"/>
        <v>1</v>
      </c>
      <c r="I270" s="5">
        <f t="shared" si="20"/>
        <v>1</v>
      </c>
    </row>
    <row r="271" spans="1:9">
      <c r="A271">
        <v>270</v>
      </c>
      <c r="B271">
        <v>14</v>
      </c>
      <c r="C271">
        <v>9000</v>
      </c>
      <c r="D271">
        <v>8292</v>
      </c>
      <c r="E271" s="5">
        <f t="shared" si="17"/>
        <v>708</v>
      </c>
      <c r="F271" s="5">
        <f t="shared" si="18"/>
        <v>501264</v>
      </c>
      <c r="G271" s="6">
        <f>SQRT(SUM($F$2:F271)/A271)</f>
        <v>1172.1658949078774</v>
      </c>
      <c r="H271" s="5">
        <f t="shared" si="19"/>
        <v>1</v>
      </c>
      <c r="I271" s="5">
        <f t="shared" si="20"/>
        <v>1</v>
      </c>
    </row>
    <row r="272" spans="1:9">
      <c r="A272">
        <v>271</v>
      </c>
      <c r="B272">
        <v>15</v>
      </c>
      <c r="C272">
        <v>9000</v>
      </c>
      <c r="D272">
        <v>9301</v>
      </c>
      <c r="E272" s="5">
        <f t="shared" si="17"/>
        <v>301</v>
      </c>
      <c r="F272" s="5">
        <f t="shared" si="18"/>
        <v>90601</v>
      </c>
      <c r="G272" s="6">
        <f>SQRT(SUM($F$2:F272)/A272)</f>
        <v>1170.1440917989355</v>
      </c>
      <c r="H272" s="5">
        <f t="shared" si="19"/>
        <v>1</v>
      </c>
      <c r="I272" s="5">
        <f t="shared" si="20"/>
        <v>1</v>
      </c>
    </row>
    <row r="273" spans="1:9">
      <c r="A273">
        <v>272</v>
      </c>
      <c r="B273">
        <v>14</v>
      </c>
      <c r="C273">
        <v>9000</v>
      </c>
      <c r="D273">
        <v>8938</v>
      </c>
      <c r="E273" s="5">
        <f t="shared" si="17"/>
        <v>62</v>
      </c>
      <c r="F273" s="5">
        <f t="shared" si="18"/>
        <v>3844</v>
      </c>
      <c r="G273" s="6">
        <f>SQRT(SUM($F$2:F273)/A273)</f>
        <v>1167.9971608043654</v>
      </c>
      <c r="H273" s="5">
        <f t="shared" si="19"/>
        <v>1</v>
      </c>
      <c r="I273" s="5">
        <f t="shared" si="20"/>
        <v>1</v>
      </c>
    </row>
    <row r="274" spans="1:9">
      <c r="A274">
        <v>273</v>
      </c>
      <c r="B274">
        <v>15</v>
      </c>
      <c r="C274">
        <v>9000</v>
      </c>
      <c r="D274">
        <v>9204</v>
      </c>
      <c r="E274" s="5">
        <f t="shared" si="17"/>
        <v>204</v>
      </c>
      <c r="F274" s="5">
        <f t="shared" si="18"/>
        <v>41616</v>
      </c>
      <c r="G274" s="6">
        <f>SQRT(SUM($F$2:F274)/A274)</f>
        <v>1165.921384139031</v>
      </c>
      <c r="H274" s="5">
        <f t="shared" si="19"/>
        <v>1</v>
      </c>
      <c r="I274" s="5">
        <f t="shared" si="20"/>
        <v>1</v>
      </c>
    </row>
    <row r="275" spans="1:9">
      <c r="A275">
        <v>274</v>
      </c>
      <c r="B275">
        <v>14</v>
      </c>
      <c r="C275">
        <v>9000</v>
      </c>
      <c r="D275">
        <v>8322</v>
      </c>
      <c r="E275" s="5">
        <f t="shared" si="17"/>
        <v>678</v>
      </c>
      <c r="F275" s="5">
        <f t="shared" si="18"/>
        <v>459684</v>
      </c>
      <c r="G275" s="6">
        <f>SQRT(SUM($F$2:F275)/A275)</f>
        <v>1164.512403835241</v>
      </c>
      <c r="H275" s="5">
        <f t="shared" si="19"/>
        <v>1</v>
      </c>
      <c r="I275" s="5">
        <f t="shared" si="20"/>
        <v>1</v>
      </c>
    </row>
    <row r="276" spans="1:9">
      <c r="A276">
        <v>275</v>
      </c>
      <c r="B276">
        <v>15</v>
      </c>
      <c r="C276">
        <v>9000</v>
      </c>
      <c r="D276">
        <v>9593</v>
      </c>
      <c r="E276" s="5">
        <f t="shared" si="17"/>
        <v>593</v>
      </c>
      <c r="F276" s="5">
        <f t="shared" si="18"/>
        <v>351649</v>
      </c>
      <c r="G276" s="6">
        <f>SQRT(SUM($F$2:F276)/A276)</f>
        <v>1162.943089360313</v>
      </c>
      <c r="H276" s="5">
        <f t="shared" si="19"/>
        <v>1</v>
      </c>
      <c r="I276" s="5">
        <f t="shared" si="20"/>
        <v>1</v>
      </c>
    </row>
    <row r="277" spans="1:9">
      <c r="A277">
        <v>276</v>
      </c>
      <c r="B277">
        <v>14</v>
      </c>
      <c r="C277">
        <v>9000</v>
      </c>
      <c r="D277">
        <v>9572</v>
      </c>
      <c r="E277" s="5">
        <f t="shared" si="17"/>
        <v>572</v>
      </c>
      <c r="F277" s="5">
        <f t="shared" si="18"/>
        <v>327184</v>
      </c>
      <c r="G277" s="6">
        <f>SQRT(SUM($F$2:F277)/A277)</f>
        <v>1161.3448866086999</v>
      </c>
      <c r="H277" s="5">
        <f t="shared" si="19"/>
        <v>1</v>
      </c>
      <c r="I277" s="5">
        <f t="shared" si="20"/>
        <v>1</v>
      </c>
    </row>
    <row r="278" spans="1:9">
      <c r="A278">
        <v>277</v>
      </c>
      <c r="B278">
        <v>14</v>
      </c>
      <c r="C278">
        <v>9000</v>
      </c>
      <c r="D278">
        <v>8207</v>
      </c>
      <c r="E278" s="5">
        <f t="shared" si="17"/>
        <v>793</v>
      </c>
      <c r="F278" s="5">
        <f t="shared" si="18"/>
        <v>628849</v>
      </c>
      <c r="G278" s="6">
        <f>SQRT(SUM($F$2:F278)/A278)</f>
        <v>1160.2254635861905</v>
      </c>
      <c r="H278" s="5">
        <f t="shared" si="19"/>
        <v>1</v>
      </c>
      <c r="I278" s="5">
        <f t="shared" si="20"/>
        <v>1</v>
      </c>
    </row>
    <row r="279" spans="1:9">
      <c r="A279">
        <v>278</v>
      </c>
      <c r="B279">
        <v>15</v>
      </c>
      <c r="C279">
        <v>9000</v>
      </c>
      <c r="D279">
        <v>8554</v>
      </c>
      <c r="E279" s="5">
        <f t="shared" si="17"/>
        <v>446</v>
      </c>
      <c r="F279" s="5">
        <f t="shared" si="18"/>
        <v>198916</v>
      </c>
      <c r="G279" s="6">
        <f>SQRT(SUM($F$2:F279)/A279)</f>
        <v>1158.4457181993416</v>
      </c>
      <c r="H279" s="5">
        <f t="shared" si="19"/>
        <v>1</v>
      </c>
      <c r="I279" s="5">
        <f t="shared" si="20"/>
        <v>1</v>
      </c>
    </row>
    <row r="280" spans="1:9">
      <c r="A280">
        <v>279</v>
      </c>
      <c r="B280">
        <v>15</v>
      </c>
      <c r="C280">
        <v>9000</v>
      </c>
      <c r="D280">
        <v>9078</v>
      </c>
      <c r="E280" s="5">
        <f t="shared" si="17"/>
        <v>78</v>
      </c>
      <c r="F280" s="5">
        <f t="shared" si="18"/>
        <v>6084</v>
      </c>
      <c r="G280" s="6">
        <f>SQRT(SUM($F$2:F280)/A280)</f>
        <v>1156.3772158050222</v>
      </c>
      <c r="H280" s="5">
        <f t="shared" si="19"/>
        <v>1</v>
      </c>
      <c r="I280" s="5">
        <f t="shared" si="20"/>
        <v>1</v>
      </c>
    </row>
    <row r="281" spans="1:9">
      <c r="A281">
        <v>280</v>
      </c>
      <c r="B281">
        <v>15</v>
      </c>
      <c r="C281">
        <v>9000</v>
      </c>
      <c r="D281">
        <v>9649</v>
      </c>
      <c r="E281" s="5">
        <f t="shared" si="17"/>
        <v>649</v>
      </c>
      <c r="F281" s="5">
        <f t="shared" si="18"/>
        <v>421201</v>
      </c>
      <c r="G281" s="6">
        <f>SQRT(SUM($F$2:F281)/A281)</f>
        <v>1154.9618221890653</v>
      </c>
      <c r="H281" s="5">
        <f t="shared" si="19"/>
        <v>1</v>
      </c>
      <c r="I281" s="5">
        <f t="shared" si="20"/>
        <v>1</v>
      </c>
    </row>
    <row r="282" spans="1:9">
      <c r="A282">
        <v>281</v>
      </c>
      <c r="B282">
        <v>14</v>
      </c>
      <c r="C282">
        <v>9000</v>
      </c>
      <c r="D282">
        <v>8301</v>
      </c>
      <c r="E282" s="5">
        <f t="shared" si="17"/>
        <v>699</v>
      </c>
      <c r="F282" s="5">
        <f t="shared" si="18"/>
        <v>488601</v>
      </c>
      <c r="G282" s="6">
        <f>SQRT(SUM($F$2:F282)/A282)</f>
        <v>1153.6587442656692</v>
      </c>
      <c r="H282" s="5">
        <f t="shared" si="19"/>
        <v>1</v>
      </c>
      <c r="I282" s="5">
        <f t="shared" si="20"/>
        <v>1</v>
      </c>
    </row>
    <row r="283" spans="1:9">
      <c r="A283">
        <v>282</v>
      </c>
      <c r="B283">
        <v>15</v>
      </c>
      <c r="C283">
        <v>9000</v>
      </c>
      <c r="D283">
        <v>9511</v>
      </c>
      <c r="E283" s="5">
        <f t="shared" si="17"/>
        <v>511</v>
      </c>
      <c r="F283" s="5">
        <f t="shared" si="18"/>
        <v>261121</v>
      </c>
      <c r="G283" s="6">
        <f>SQRT(SUM($F$2:F283)/A283)</f>
        <v>1152.0133916799443</v>
      </c>
      <c r="H283" s="5">
        <f t="shared" si="19"/>
        <v>1</v>
      </c>
      <c r="I283" s="5">
        <f t="shared" si="20"/>
        <v>1</v>
      </c>
    </row>
    <row r="284" spans="1:9">
      <c r="A284">
        <v>283</v>
      </c>
      <c r="B284">
        <v>14</v>
      </c>
      <c r="C284">
        <v>9000</v>
      </c>
      <c r="D284">
        <v>8311</v>
      </c>
      <c r="E284" s="5">
        <f t="shared" si="17"/>
        <v>689</v>
      </c>
      <c r="F284" s="5">
        <f t="shared" si="18"/>
        <v>474721</v>
      </c>
      <c r="G284" s="6">
        <f>SQRT(SUM($F$2:F284)/A284)</f>
        <v>1150.7053452206758</v>
      </c>
      <c r="H284" s="5">
        <f t="shared" si="19"/>
        <v>1</v>
      </c>
      <c r="I284" s="5">
        <f t="shared" si="20"/>
        <v>1</v>
      </c>
    </row>
    <row r="285" spans="1:9">
      <c r="A285">
        <v>284</v>
      </c>
      <c r="B285">
        <v>16</v>
      </c>
      <c r="C285">
        <v>9000</v>
      </c>
      <c r="D285">
        <v>10081</v>
      </c>
      <c r="E285" s="5">
        <f t="shared" si="17"/>
        <v>1081</v>
      </c>
      <c r="F285" s="5">
        <f t="shared" si="18"/>
        <v>1168561</v>
      </c>
      <c r="G285" s="6">
        <f>SQRT(SUM($F$2:F285)/A285)</f>
        <v>1150.4673131959876</v>
      </c>
      <c r="H285" s="5">
        <f t="shared" si="19"/>
        <v>1</v>
      </c>
      <c r="I285" s="5">
        <f t="shared" si="20"/>
        <v>0</v>
      </c>
    </row>
    <row r="286" spans="1:9">
      <c r="A286">
        <v>285</v>
      </c>
      <c r="B286">
        <v>14</v>
      </c>
      <c r="C286">
        <v>9000</v>
      </c>
      <c r="D286">
        <v>8317</v>
      </c>
      <c r="E286" s="5">
        <f t="shared" si="17"/>
        <v>683</v>
      </c>
      <c r="F286" s="5">
        <f t="shared" si="18"/>
        <v>466489</v>
      </c>
      <c r="G286" s="6">
        <f>SQRT(SUM($F$2:F286)/A286)</f>
        <v>1149.1595708596112</v>
      </c>
      <c r="H286" s="5">
        <f t="shared" si="19"/>
        <v>1</v>
      </c>
      <c r="I286" s="5">
        <f t="shared" si="20"/>
        <v>1</v>
      </c>
    </row>
    <row r="287" spans="1:9">
      <c r="A287">
        <v>286</v>
      </c>
      <c r="B287">
        <v>15</v>
      </c>
      <c r="C287">
        <v>9000</v>
      </c>
      <c r="D287">
        <v>9230</v>
      </c>
      <c r="E287" s="5">
        <f t="shared" si="17"/>
        <v>230</v>
      </c>
      <c r="F287" s="5">
        <f t="shared" si="18"/>
        <v>52900</v>
      </c>
      <c r="G287" s="6">
        <f>SQRT(SUM($F$2:F287)/A287)</f>
        <v>1147.2294080458862</v>
      </c>
      <c r="H287" s="5">
        <f t="shared" si="19"/>
        <v>1</v>
      </c>
      <c r="I287" s="5">
        <f t="shared" si="20"/>
        <v>1</v>
      </c>
    </row>
    <row r="288" spans="1:9">
      <c r="A288">
        <v>287</v>
      </c>
      <c r="B288">
        <v>14</v>
      </c>
      <c r="C288">
        <v>9000</v>
      </c>
      <c r="D288">
        <v>8354</v>
      </c>
      <c r="E288" s="5">
        <f t="shared" si="17"/>
        <v>646</v>
      </c>
      <c r="F288" s="5">
        <f t="shared" si="18"/>
        <v>417316</v>
      </c>
      <c r="G288" s="6">
        <f>SQRT(SUM($F$2:F288)/A288)</f>
        <v>1145.8636655683285</v>
      </c>
      <c r="H288" s="5">
        <f t="shared" si="19"/>
        <v>1</v>
      </c>
      <c r="I288" s="5">
        <f t="shared" si="20"/>
        <v>1</v>
      </c>
    </row>
    <row r="289" spans="1:9">
      <c r="A289">
        <v>288</v>
      </c>
      <c r="B289">
        <v>15</v>
      </c>
      <c r="C289">
        <v>9000</v>
      </c>
      <c r="D289">
        <v>8859</v>
      </c>
      <c r="E289" s="5">
        <f t="shared" si="17"/>
        <v>141</v>
      </c>
      <c r="F289" s="5">
        <f t="shared" si="18"/>
        <v>19881</v>
      </c>
      <c r="G289" s="6">
        <f>SQRT(SUM($F$2:F289)/A289)</f>
        <v>1143.9027630222772</v>
      </c>
      <c r="H289" s="5">
        <f t="shared" si="19"/>
        <v>1</v>
      </c>
      <c r="I289" s="5">
        <f t="shared" si="20"/>
        <v>1</v>
      </c>
    </row>
    <row r="290" spans="1:9">
      <c r="A290">
        <v>289</v>
      </c>
      <c r="B290">
        <v>15</v>
      </c>
      <c r="C290">
        <v>9000</v>
      </c>
      <c r="D290">
        <v>9202</v>
      </c>
      <c r="E290" s="5">
        <f t="shared" si="17"/>
        <v>202</v>
      </c>
      <c r="F290" s="5">
        <f t="shared" si="18"/>
        <v>40804</v>
      </c>
      <c r="G290" s="6">
        <f>SQRT(SUM($F$2:F290)/A290)</f>
        <v>1141.9837972053654</v>
      </c>
      <c r="H290" s="5">
        <f t="shared" si="19"/>
        <v>1</v>
      </c>
      <c r="I290" s="5">
        <f t="shared" si="20"/>
        <v>1</v>
      </c>
    </row>
    <row r="291" spans="1:9">
      <c r="A291">
        <v>290</v>
      </c>
      <c r="B291">
        <v>15</v>
      </c>
      <c r="C291">
        <v>9000</v>
      </c>
      <c r="D291">
        <v>8804</v>
      </c>
      <c r="E291" s="5">
        <f t="shared" si="17"/>
        <v>196</v>
      </c>
      <c r="F291" s="5">
        <f t="shared" si="18"/>
        <v>38416</v>
      </c>
      <c r="G291" s="6">
        <f>SQRT(SUM($F$2:F291)/A291)</f>
        <v>1140.0712576035733</v>
      </c>
      <c r="H291" s="5">
        <f t="shared" si="19"/>
        <v>1</v>
      </c>
      <c r="I291" s="5">
        <f t="shared" si="20"/>
        <v>1</v>
      </c>
    </row>
    <row r="292" spans="1:9">
      <c r="A292">
        <v>291</v>
      </c>
      <c r="B292">
        <v>15</v>
      </c>
      <c r="C292">
        <v>9000</v>
      </c>
      <c r="D292">
        <v>9384</v>
      </c>
      <c r="E292" s="5">
        <f t="shared" si="17"/>
        <v>384</v>
      </c>
      <c r="F292" s="5">
        <f t="shared" si="18"/>
        <v>147456</v>
      </c>
      <c r="G292" s="6">
        <f>SQRT(SUM($F$2:F292)/A292)</f>
        <v>1138.3332800008038</v>
      </c>
      <c r="H292" s="5">
        <f t="shared" si="19"/>
        <v>1</v>
      </c>
      <c r="I292" s="5">
        <f t="shared" si="20"/>
        <v>1</v>
      </c>
    </row>
    <row r="293" spans="1:9">
      <c r="A293">
        <v>292</v>
      </c>
      <c r="B293">
        <v>14</v>
      </c>
      <c r="C293">
        <v>9000</v>
      </c>
      <c r="D293">
        <v>8422</v>
      </c>
      <c r="E293" s="5">
        <f t="shared" si="17"/>
        <v>578</v>
      </c>
      <c r="F293" s="5">
        <f t="shared" si="18"/>
        <v>334084</v>
      </c>
      <c r="G293" s="6">
        <f>SQRT(SUM($F$2:F293)/A293)</f>
        <v>1136.8857019573552</v>
      </c>
      <c r="H293" s="5">
        <f t="shared" si="19"/>
        <v>1</v>
      </c>
      <c r="I293" s="5">
        <f t="shared" si="20"/>
        <v>1</v>
      </c>
    </row>
    <row r="294" spans="1:9">
      <c r="A294">
        <v>293</v>
      </c>
      <c r="B294">
        <v>16</v>
      </c>
      <c r="C294">
        <v>9000</v>
      </c>
      <c r="D294">
        <v>9469</v>
      </c>
      <c r="E294" s="5">
        <f t="shared" si="17"/>
        <v>469</v>
      </c>
      <c r="F294" s="5">
        <f t="shared" si="18"/>
        <v>219961</v>
      </c>
      <c r="G294" s="6">
        <f>SQRT(SUM($F$2:F294)/A294)</f>
        <v>1135.2746476501929</v>
      </c>
      <c r="H294" s="5">
        <f t="shared" si="19"/>
        <v>1</v>
      </c>
      <c r="I294" s="5">
        <f t="shared" si="20"/>
        <v>1</v>
      </c>
    </row>
    <row r="295" spans="1:9">
      <c r="A295">
        <v>294</v>
      </c>
      <c r="B295">
        <v>14</v>
      </c>
      <c r="C295">
        <v>9000</v>
      </c>
      <c r="D295">
        <v>8383</v>
      </c>
      <c r="E295" s="5">
        <f t="shared" si="17"/>
        <v>617</v>
      </c>
      <c r="F295" s="5">
        <f t="shared" si="18"/>
        <v>380689</v>
      </c>
      <c r="G295" s="6">
        <f>SQRT(SUM($F$2:F295)/A295)</f>
        <v>1133.913377476008</v>
      </c>
      <c r="H295" s="5">
        <f t="shared" si="19"/>
        <v>1</v>
      </c>
      <c r="I295" s="5">
        <f t="shared" si="20"/>
        <v>1</v>
      </c>
    </row>
    <row r="296" spans="1:9">
      <c r="A296">
        <v>295</v>
      </c>
      <c r="B296">
        <v>16</v>
      </c>
      <c r="C296">
        <v>9000</v>
      </c>
      <c r="D296">
        <v>9080</v>
      </c>
      <c r="E296" s="5">
        <f t="shared" si="17"/>
        <v>80</v>
      </c>
      <c r="F296" s="5">
        <f t="shared" si="18"/>
        <v>6400</v>
      </c>
      <c r="G296" s="6">
        <f>SQRT(SUM($F$2:F296)/A296)</f>
        <v>1131.9994415163023</v>
      </c>
      <c r="H296" s="5">
        <f t="shared" si="19"/>
        <v>1</v>
      </c>
      <c r="I296" s="5">
        <f t="shared" si="20"/>
        <v>1</v>
      </c>
    </row>
    <row r="297" spans="1:9">
      <c r="A297">
        <v>296</v>
      </c>
      <c r="B297">
        <v>15</v>
      </c>
      <c r="C297">
        <v>9000</v>
      </c>
      <c r="D297">
        <v>9756</v>
      </c>
      <c r="E297" s="5">
        <f t="shared" si="17"/>
        <v>756</v>
      </c>
      <c r="F297" s="5">
        <f t="shared" si="18"/>
        <v>571536</v>
      </c>
      <c r="G297" s="6">
        <f>SQRT(SUM($F$2:F297)/A297)</f>
        <v>1130.939640119929</v>
      </c>
      <c r="H297" s="5">
        <f t="shared" si="19"/>
        <v>1</v>
      </c>
      <c r="I297" s="5">
        <f t="shared" si="20"/>
        <v>1</v>
      </c>
    </row>
    <row r="298" spans="1:9">
      <c r="A298">
        <v>297</v>
      </c>
      <c r="B298">
        <v>14</v>
      </c>
      <c r="C298">
        <v>9000</v>
      </c>
      <c r="D298">
        <v>8467</v>
      </c>
      <c r="E298" s="5">
        <f t="shared" si="17"/>
        <v>533</v>
      </c>
      <c r="F298" s="5">
        <f t="shared" si="18"/>
        <v>284089</v>
      </c>
      <c r="G298" s="6">
        <f>SQRT(SUM($F$2:F298)/A298)</f>
        <v>1129.4576213911341</v>
      </c>
      <c r="H298" s="5">
        <f t="shared" si="19"/>
        <v>1</v>
      </c>
      <c r="I298" s="5">
        <f t="shared" si="20"/>
        <v>1</v>
      </c>
    </row>
    <row r="299" spans="1:9">
      <c r="A299">
        <v>298</v>
      </c>
      <c r="B299">
        <v>15</v>
      </c>
      <c r="C299">
        <v>9000</v>
      </c>
      <c r="D299">
        <v>8957</v>
      </c>
      <c r="E299" s="5">
        <f t="shared" si="17"/>
        <v>43</v>
      </c>
      <c r="F299" s="5">
        <f t="shared" si="18"/>
        <v>1849</v>
      </c>
      <c r="G299" s="6">
        <f>SQRT(SUM($F$2:F299)/A299)</f>
        <v>1127.5637171537628</v>
      </c>
      <c r="H299" s="5">
        <f t="shared" si="19"/>
        <v>1</v>
      </c>
      <c r="I299" s="5">
        <f t="shared" si="20"/>
        <v>1</v>
      </c>
    </row>
    <row r="300" spans="1:9">
      <c r="A300">
        <v>299</v>
      </c>
      <c r="B300">
        <v>15</v>
      </c>
      <c r="C300">
        <v>9000</v>
      </c>
      <c r="D300">
        <v>9150</v>
      </c>
      <c r="E300" s="5">
        <f t="shared" si="17"/>
        <v>150</v>
      </c>
      <c r="F300" s="5">
        <f t="shared" si="18"/>
        <v>22500</v>
      </c>
      <c r="G300" s="6">
        <f>SQRT(SUM($F$2:F300)/A300)</f>
        <v>1125.7100041209221</v>
      </c>
      <c r="H300" s="5">
        <f t="shared" si="19"/>
        <v>1</v>
      </c>
      <c r="I300" s="5">
        <f t="shared" si="20"/>
        <v>1</v>
      </c>
    </row>
    <row r="301" spans="1:9">
      <c r="A301">
        <v>300</v>
      </c>
      <c r="B301">
        <v>15</v>
      </c>
      <c r="C301">
        <v>9000</v>
      </c>
      <c r="D301">
        <v>9093</v>
      </c>
      <c r="E301" s="5">
        <f t="shared" si="17"/>
        <v>93</v>
      </c>
      <c r="F301" s="5">
        <f t="shared" si="18"/>
        <v>8649</v>
      </c>
      <c r="G301" s="6">
        <f>SQRT(SUM($F$2:F301)/A301)</f>
        <v>1123.8450812574954</v>
      </c>
      <c r="H301" s="5">
        <f t="shared" si="19"/>
        <v>1</v>
      </c>
      <c r="I301" s="5">
        <f t="shared" si="20"/>
        <v>1</v>
      </c>
    </row>
    <row r="302" spans="1:9">
      <c r="A302">
        <v>301</v>
      </c>
      <c r="B302">
        <v>15</v>
      </c>
      <c r="C302">
        <v>5000</v>
      </c>
      <c r="D302">
        <v>7952</v>
      </c>
      <c r="E302" s="5">
        <f t="shared" si="17"/>
        <v>2952</v>
      </c>
      <c r="F302" s="5">
        <f t="shared" si="18"/>
        <v>8714304</v>
      </c>
      <c r="G302" s="6">
        <f>SQRT(SUM($F$2:F302)/A302)</f>
        <v>1134.8051979125325</v>
      </c>
      <c r="H302" s="5">
        <f t="shared" si="19"/>
        <v>0</v>
      </c>
      <c r="I302" s="5">
        <f t="shared" si="20"/>
        <v>0</v>
      </c>
    </row>
    <row r="303" spans="1:9">
      <c r="A303">
        <v>302</v>
      </c>
      <c r="B303">
        <v>11</v>
      </c>
      <c r="C303">
        <v>5000</v>
      </c>
      <c r="D303">
        <v>4906</v>
      </c>
      <c r="E303" s="5">
        <f t="shared" si="17"/>
        <v>94</v>
      </c>
      <c r="F303" s="5">
        <f t="shared" si="18"/>
        <v>8836</v>
      </c>
      <c r="G303" s="6">
        <f>SQRT(SUM($F$2:F303)/A303)</f>
        <v>1132.9377361123095</v>
      </c>
      <c r="H303" s="5">
        <f t="shared" si="19"/>
        <v>1</v>
      </c>
      <c r="I303" s="5">
        <f t="shared" si="20"/>
        <v>1</v>
      </c>
    </row>
    <row r="304" spans="1:9">
      <c r="A304">
        <v>303</v>
      </c>
      <c r="B304">
        <v>14</v>
      </c>
      <c r="C304">
        <v>5000</v>
      </c>
      <c r="D304">
        <v>2520</v>
      </c>
      <c r="E304" s="5">
        <f t="shared" si="17"/>
        <v>2480</v>
      </c>
      <c r="F304" s="5">
        <f t="shared" si="18"/>
        <v>6150400</v>
      </c>
      <c r="G304" s="6">
        <f>SQRT(SUM($F$2:F304)/A304)</f>
        <v>1140.0044438567777</v>
      </c>
      <c r="H304" s="5">
        <f t="shared" si="19"/>
        <v>0</v>
      </c>
      <c r="I304" s="5">
        <f t="shared" si="20"/>
        <v>0</v>
      </c>
    </row>
    <row r="305" spans="1:9">
      <c r="A305">
        <v>304</v>
      </c>
      <c r="B305">
        <v>17</v>
      </c>
      <c r="C305">
        <v>5000</v>
      </c>
      <c r="D305">
        <v>5984</v>
      </c>
      <c r="E305" s="5">
        <f t="shared" si="17"/>
        <v>984</v>
      </c>
      <c r="F305" s="5">
        <f t="shared" si="18"/>
        <v>968256</v>
      </c>
      <c r="G305" s="6">
        <f>SQRT(SUM($F$2:F305)/A305)</f>
        <v>1139.5262837318801</v>
      </c>
      <c r="H305" s="5">
        <f t="shared" si="19"/>
        <v>1</v>
      </c>
      <c r="I305" s="5">
        <f t="shared" si="20"/>
        <v>0</v>
      </c>
    </row>
    <row r="306" spans="1:9">
      <c r="A306">
        <v>305</v>
      </c>
      <c r="B306">
        <v>14</v>
      </c>
      <c r="C306">
        <v>5000</v>
      </c>
      <c r="D306">
        <v>8057</v>
      </c>
      <c r="E306" s="5">
        <f t="shared" si="17"/>
        <v>3057</v>
      </c>
      <c r="F306" s="5">
        <f t="shared" si="18"/>
        <v>9345249</v>
      </c>
      <c r="G306" s="6">
        <f>SQRT(SUM($F$2:F306)/A306)</f>
        <v>1151.0442514744857</v>
      </c>
      <c r="H306" s="5">
        <f t="shared" si="19"/>
        <v>0</v>
      </c>
      <c r="I306" s="5">
        <f t="shared" si="20"/>
        <v>0</v>
      </c>
    </row>
    <row r="307" spans="1:9">
      <c r="A307">
        <v>306</v>
      </c>
      <c r="B307">
        <v>11</v>
      </c>
      <c r="C307">
        <v>5000</v>
      </c>
      <c r="D307">
        <v>6403</v>
      </c>
      <c r="E307" s="5">
        <f t="shared" si="17"/>
        <v>1403</v>
      </c>
      <c r="F307" s="5">
        <f t="shared" si="18"/>
        <v>1968409</v>
      </c>
      <c r="G307" s="6">
        <f>SQRT(SUM($F$2:F307)/A307)</f>
        <v>1151.9573907334243</v>
      </c>
      <c r="H307" s="5">
        <f t="shared" si="19"/>
        <v>0</v>
      </c>
      <c r="I307" s="5">
        <f t="shared" si="20"/>
        <v>0</v>
      </c>
    </row>
    <row r="308" spans="1:9">
      <c r="A308">
        <v>307</v>
      </c>
      <c r="B308">
        <v>12</v>
      </c>
      <c r="C308">
        <v>5000</v>
      </c>
      <c r="D308">
        <v>7542</v>
      </c>
      <c r="E308" s="5">
        <f t="shared" si="17"/>
        <v>2542</v>
      </c>
      <c r="F308" s="5">
        <f t="shared" si="18"/>
        <v>6461764</v>
      </c>
      <c r="G308" s="6">
        <f>SQRT(SUM($F$2:F308)/A308)</f>
        <v>1159.1943006718493</v>
      </c>
      <c r="H308" s="5">
        <f t="shared" si="19"/>
        <v>0</v>
      </c>
      <c r="I308" s="5">
        <f t="shared" si="20"/>
        <v>0</v>
      </c>
    </row>
    <row r="309" spans="1:9">
      <c r="A309">
        <v>308</v>
      </c>
      <c r="B309">
        <v>10</v>
      </c>
      <c r="C309">
        <v>5000</v>
      </c>
      <c r="D309">
        <v>6463</v>
      </c>
      <c r="E309" s="5">
        <f t="shared" si="17"/>
        <v>1463</v>
      </c>
      <c r="F309" s="5">
        <f t="shared" si="18"/>
        <v>2140369</v>
      </c>
      <c r="G309" s="6">
        <f>SQRT(SUM($F$2:F309)/A309)</f>
        <v>1160.3094037099168</v>
      </c>
      <c r="H309" s="5">
        <f t="shared" si="19"/>
        <v>0</v>
      </c>
      <c r="I309" s="5">
        <f t="shared" si="20"/>
        <v>0</v>
      </c>
    </row>
    <row r="310" spans="1:9">
      <c r="A310">
        <v>309</v>
      </c>
      <c r="B310">
        <v>11</v>
      </c>
      <c r="C310">
        <v>5000</v>
      </c>
      <c r="D310">
        <v>7160</v>
      </c>
      <c r="E310" s="5">
        <f t="shared" si="17"/>
        <v>2160</v>
      </c>
      <c r="F310" s="5">
        <f t="shared" si="18"/>
        <v>4665600</v>
      </c>
      <c r="G310" s="6">
        <f>SQRT(SUM($F$2:F310)/A310)</f>
        <v>1164.9291504492207</v>
      </c>
      <c r="H310" s="5">
        <f t="shared" si="19"/>
        <v>0</v>
      </c>
      <c r="I310" s="5">
        <f t="shared" si="20"/>
        <v>0</v>
      </c>
    </row>
    <row r="311" spans="1:9">
      <c r="A311">
        <v>310</v>
      </c>
      <c r="B311">
        <v>10</v>
      </c>
      <c r="C311">
        <v>5000</v>
      </c>
      <c r="D311">
        <v>6139</v>
      </c>
      <c r="E311" s="5">
        <f t="shared" si="17"/>
        <v>1139</v>
      </c>
      <c r="F311" s="5">
        <f t="shared" si="18"/>
        <v>1297321</v>
      </c>
      <c r="G311" s="6">
        <f>SQRT(SUM($F$2:F311)/A311)</f>
        <v>1164.846435954044</v>
      </c>
      <c r="H311" s="5">
        <f t="shared" si="19"/>
        <v>0</v>
      </c>
      <c r="I311" s="5">
        <f t="shared" si="20"/>
        <v>0</v>
      </c>
    </row>
    <row r="312" spans="1:9">
      <c r="A312">
        <v>311</v>
      </c>
      <c r="B312">
        <v>10</v>
      </c>
      <c r="C312">
        <v>5000</v>
      </c>
      <c r="D312">
        <v>6258</v>
      </c>
      <c r="E312" s="5">
        <f t="shared" si="17"/>
        <v>1258</v>
      </c>
      <c r="F312" s="5">
        <f t="shared" si="18"/>
        <v>1582564</v>
      </c>
      <c r="G312" s="6">
        <f>SQRT(SUM($F$2:F312)/A312)</f>
        <v>1165.1579002332192</v>
      </c>
      <c r="H312" s="5">
        <f t="shared" si="19"/>
        <v>0</v>
      </c>
      <c r="I312" s="5">
        <f t="shared" si="20"/>
        <v>0</v>
      </c>
    </row>
    <row r="313" spans="1:9">
      <c r="A313">
        <v>312</v>
      </c>
      <c r="B313">
        <v>10</v>
      </c>
      <c r="C313">
        <v>5000</v>
      </c>
      <c r="D313">
        <v>6346</v>
      </c>
      <c r="E313" s="5">
        <f t="shared" si="17"/>
        <v>1346</v>
      </c>
      <c r="F313" s="5">
        <f t="shared" si="18"/>
        <v>1811716</v>
      </c>
      <c r="G313" s="6">
        <f>SQRT(SUM($F$2:F313)/A313)</f>
        <v>1165.7823360851739</v>
      </c>
      <c r="H313" s="5">
        <f t="shared" si="19"/>
        <v>0</v>
      </c>
      <c r="I313" s="5">
        <f t="shared" si="20"/>
        <v>0</v>
      </c>
    </row>
    <row r="314" spans="1:9">
      <c r="A314">
        <v>313</v>
      </c>
      <c r="B314">
        <v>9</v>
      </c>
      <c r="C314">
        <v>5000</v>
      </c>
      <c r="D314">
        <v>5323</v>
      </c>
      <c r="E314" s="5">
        <f t="shared" si="17"/>
        <v>323</v>
      </c>
      <c r="F314" s="5">
        <f t="shared" si="18"/>
        <v>104329</v>
      </c>
      <c r="G314" s="6">
        <f>SQRT(SUM($F$2:F314)/A314)</f>
        <v>1164.0617538486363</v>
      </c>
      <c r="H314" s="5">
        <f t="shared" si="19"/>
        <v>1</v>
      </c>
      <c r="I314" s="5">
        <f t="shared" si="20"/>
        <v>1</v>
      </c>
    </row>
    <row r="315" spans="1:9">
      <c r="A315">
        <v>314</v>
      </c>
      <c r="B315">
        <v>10</v>
      </c>
      <c r="C315">
        <v>5000</v>
      </c>
      <c r="D315">
        <v>6612</v>
      </c>
      <c r="E315" s="5">
        <f t="shared" si="17"/>
        <v>1612</v>
      </c>
      <c r="F315" s="5">
        <f t="shared" si="18"/>
        <v>2598544</v>
      </c>
      <c r="G315" s="6">
        <f>SQRT(SUM($F$2:F315)/A315)</f>
        <v>1165.7615413700951</v>
      </c>
      <c r="H315" s="5">
        <f t="shared" si="19"/>
        <v>0</v>
      </c>
      <c r="I315" s="5">
        <f t="shared" si="20"/>
        <v>0</v>
      </c>
    </row>
    <row r="316" spans="1:9">
      <c r="A316">
        <v>315</v>
      </c>
      <c r="B316">
        <v>9</v>
      </c>
      <c r="C316">
        <v>5000</v>
      </c>
      <c r="D316">
        <v>5654</v>
      </c>
      <c r="E316" s="5">
        <f t="shared" si="17"/>
        <v>654</v>
      </c>
      <c r="F316" s="5">
        <f t="shared" si="18"/>
        <v>427716</v>
      </c>
      <c r="G316" s="6">
        <f>SQRT(SUM($F$2:F316)/A316)</f>
        <v>1164.4928141838036</v>
      </c>
      <c r="H316" s="5">
        <f t="shared" si="19"/>
        <v>1</v>
      </c>
      <c r="I316" s="5">
        <f t="shared" si="20"/>
        <v>0</v>
      </c>
    </row>
    <row r="317" spans="1:9">
      <c r="A317">
        <v>316</v>
      </c>
      <c r="B317">
        <v>9</v>
      </c>
      <c r="C317">
        <v>5000</v>
      </c>
      <c r="D317">
        <v>5499</v>
      </c>
      <c r="E317" s="5">
        <f t="shared" si="17"/>
        <v>499</v>
      </c>
      <c r="F317" s="5">
        <f t="shared" si="18"/>
        <v>249001</v>
      </c>
      <c r="G317" s="6">
        <f>SQRT(SUM($F$2:F317)/A317)</f>
        <v>1162.987624693347</v>
      </c>
      <c r="H317" s="5">
        <f t="shared" si="19"/>
        <v>1</v>
      </c>
      <c r="I317" s="5">
        <f t="shared" si="20"/>
        <v>1</v>
      </c>
    </row>
    <row r="318" spans="1:9">
      <c r="A318">
        <v>317</v>
      </c>
      <c r="B318">
        <v>9</v>
      </c>
      <c r="C318">
        <v>5000</v>
      </c>
      <c r="D318">
        <v>5541</v>
      </c>
      <c r="E318" s="5">
        <f t="shared" si="17"/>
        <v>541</v>
      </c>
      <c r="F318" s="5">
        <f t="shared" si="18"/>
        <v>292681</v>
      </c>
      <c r="G318" s="6">
        <f>SQRT(SUM($F$2:F318)/A318)</f>
        <v>1161.5493148056833</v>
      </c>
      <c r="H318" s="5">
        <f t="shared" si="19"/>
        <v>1</v>
      </c>
      <c r="I318" s="5">
        <f t="shared" si="20"/>
        <v>0</v>
      </c>
    </row>
    <row r="319" spans="1:9">
      <c r="A319">
        <v>318</v>
      </c>
      <c r="B319">
        <v>9</v>
      </c>
      <c r="C319">
        <v>5000</v>
      </c>
      <c r="D319">
        <v>4963</v>
      </c>
      <c r="E319" s="5">
        <f t="shared" si="17"/>
        <v>37</v>
      </c>
      <c r="F319" s="5">
        <f t="shared" si="18"/>
        <v>1369</v>
      </c>
      <c r="G319" s="6">
        <f>SQRT(SUM($F$2:F319)/A319)</f>
        <v>1159.7233974058495</v>
      </c>
      <c r="H319" s="5">
        <f t="shared" si="19"/>
        <v>1</v>
      </c>
      <c r="I319" s="5">
        <f t="shared" si="20"/>
        <v>1</v>
      </c>
    </row>
    <row r="320" spans="1:9">
      <c r="A320">
        <v>319</v>
      </c>
      <c r="B320">
        <v>10</v>
      </c>
      <c r="C320">
        <v>5000</v>
      </c>
      <c r="D320">
        <v>6105</v>
      </c>
      <c r="E320" s="5">
        <f t="shared" si="17"/>
        <v>1105</v>
      </c>
      <c r="F320" s="5">
        <f t="shared" si="18"/>
        <v>1221025</v>
      </c>
      <c r="G320" s="6">
        <f>SQRT(SUM($F$2:F320)/A320)</f>
        <v>1159.5558859600415</v>
      </c>
      <c r="H320" s="5">
        <f t="shared" si="19"/>
        <v>0</v>
      </c>
      <c r="I320" s="5">
        <f t="shared" si="20"/>
        <v>0</v>
      </c>
    </row>
    <row r="321" spans="1:9">
      <c r="A321">
        <v>320</v>
      </c>
      <c r="B321">
        <v>8</v>
      </c>
      <c r="C321">
        <v>5000</v>
      </c>
      <c r="D321">
        <v>5355</v>
      </c>
      <c r="E321" s="5">
        <f t="shared" si="17"/>
        <v>355</v>
      </c>
      <c r="F321" s="5">
        <f t="shared" si="18"/>
        <v>126025</v>
      </c>
      <c r="G321" s="6">
        <f>SQRT(SUM($F$2:F321)/A321)</f>
        <v>1157.9127341902756</v>
      </c>
      <c r="H321" s="5">
        <f t="shared" si="19"/>
        <v>1</v>
      </c>
      <c r="I321" s="5">
        <f t="shared" si="20"/>
        <v>1</v>
      </c>
    </row>
    <row r="322" spans="1:9">
      <c r="A322">
        <v>321</v>
      </c>
      <c r="B322">
        <v>9</v>
      </c>
      <c r="C322">
        <v>5000</v>
      </c>
      <c r="D322">
        <v>6381</v>
      </c>
      <c r="E322" s="5">
        <f t="shared" si="17"/>
        <v>1381</v>
      </c>
      <c r="F322" s="5">
        <f t="shared" si="18"/>
        <v>1907161</v>
      </c>
      <c r="G322" s="6">
        <f>SQRT(SUM($F$2:F322)/A322)</f>
        <v>1158.6744077511896</v>
      </c>
      <c r="H322" s="5">
        <f t="shared" si="19"/>
        <v>0</v>
      </c>
      <c r="I322" s="5">
        <f t="shared" si="20"/>
        <v>0</v>
      </c>
    </row>
    <row r="323" spans="1:9">
      <c r="A323">
        <v>322</v>
      </c>
      <c r="B323">
        <v>8</v>
      </c>
      <c r="C323">
        <v>5000</v>
      </c>
      <c r="D323">
        <v>6197</v>
      </c>
      <c r="E323" s="5">
        <f t="shared" ref="E323:E386" si="21">ABS(C323-D323)</f>
        <v>1197</v>
      </c>
      <c r="F323" s="5">
        <f t="shared" ref="F323:F386" si="22">POWER(E323,2)</f>
        <v>1432809</v>
      </c>
      <c r="G323" s="6">
        <f>SQRT(SUM($F$2:F323)/A323)</f>
        <v>1158.795393490652</v>
      </c>
      <c r="H323" s="5">
        <f t="shared" ref="H323:H386" si="23">IF(ABS(E323)/C323&gt;0.2,0,1)</f>
        <v>0</v>
      </c>
      <c r="I323" s="5">
        <f t="shared" ref="I323:I386" si="24">IF(ABS(E323)/C323&gt;0.1,0,1)</f>
        <v>0</v>
      </c>
    </row>
    <row r="324" spans="1:9">
      <c r="A324">
        <v>323</v>
      </c>
      <c r="B324">
        <v>7</v>
      </c>
      <c r="C324">
        <v>5000</v>
      </c>
      <c r="D324">
        <v>5157</v>
      </c>
      <c r="E324" s="5">
        <f t="shared" si="21"/>
        <v>157</v>
      </c>
      <c r="F324" s="5">
        <f t="shared" si="22"/>
        <v>24649</v>
      </c>
      <c r="G324" s="6">
        <f>SQRT(SUM($F$2:F324)/A324)</f>
        <v>1157.0331802440926</v>
      </c>
      <c r="H324" s="5">
        <f t="shared" si="23"/>
        <v>1</v>
      </c>
      <c r="I324" s="5">
        <f t="shared" si="24"/>
        <v>1</v>
      </c>
    </row>
    <row r="325" spans="1:9">
      <c r="A325">
        <v>324</v>
      </c>
      <c r="B325">
        <v>8</v>
      </c>
      <c r="C325">
        <v>5000</v>
      </c>
      <c r="D325">
        <v>6333</v>
      </c>
      <c r="E325" s="5">
        <f t="shared" si="21"/>
        <v>1333</v>
      </c>
      <c r="F325" s="5">
        <f t="shared" si="22"/>
        <v>1776889</v>
      </c>
      <c r="G325" s="6">
        <f>SQRT(SUM($F$2:F325)/A325)</f>
        <v>1157.6174393133811</v>
      </c>
      <c r="H325" s="5">
        <f t="shared" si="23"/>
        <v>0</v>
      </c>
      <c r="I325" s="5">
        <f t="shared" si="24"/>
        <v>0</v>
      </c>
    </row>
    <row r="326" spans="1:9">
      <c r="A326">
        <v>325</v>
      </c>
      <c r="B326">
        <v>7</v>
      </c>
      <c r="C326">
        <v>5000</v>
      </c>
      <c r="D326">
        <v>4895</v>
      </c>
      <c r="E326" s="5">
        <f t="shared" si="21"/>
        <v>105</v>
      </c>
      <c r="F326" s="5">
        <f t="shared" si="22"/>
        <v>11025</v>
      </c>
      <c r="G326" s="6">
        <f>SQRT(SUM($F$2:F326)/A326)</f>
        <v>1155.8497919446374</v>
      </c>
      <c r="H326" s="5">
        <f t="shared" si="23"/>
        <v>1</v>
      </c>
      <c r="I326" s="5">
        <f t="shared" si="24"/>
        <v>1</v>
      </c>
    </row>
    <row r="327" spans="1:9">
      <c r="A327">
        <v>326</v>
      </c>
      <c r="B327">
        <v>8</v>
      </c>
      <c r="C327">
        <v>5000</v>
      </c>
      <c r="D327">
        <v>5585</v>
      </c>
      <c r="E327" s="5">
        <f t="shared" si="21"/>
        <v>585</v>
      </c>
      <c r="F327" s="5">
        <f t="shared" si="22"/>
        <v>342225</v>
      </c>
      <c r="G327" s="6">
        <f>SQRT(SUM($F$2:F327)/A327)</f>
        <v>1154.5303748724273</v>
      </c>
      <c r="H327" s="5">
        <f t="shared" si="23"/>
        <v>1</v>
      </c>
      <c r="I327" s="5">
        <f t="shared" si="24"/>
        <v>0</v>
      </c>
    </row>
    <row r="328" spans="1:9">
      <c r="A328">
        <v>327</v>
      </c>
      <c r="B328">
        <v>8</v>
      </c>
      <c r="C328">
        <v>5000</v>
      </c>
      <c r="D328">
        <v>5546</v>
      </c>
      <c r="E328" s="5">
        <f t="shared" si="21"/>
        <v>546</v>
      </c>
      <c r="F328" s="5">
        <f t="shared" si="22"/>
        <v>298116</v>
      </c>
      <c r="G328" s="6">
        <f>SQRT(SUM($F$2:F328)/A328)</f>
        <v>1153.1590462432846</v>
      </c>
      <c r="H328" s="5">
        <f t="shared" si="23"/>
        <v>1</v>
      </c>
      <c r="I328" s="5">
        <f t="shared" si="24"/>
        <v>0</v>
      </c>
    </row>
    <row r="329" spans="1:9">
      <c r="A329">
        <v>328</v>
      </c>
      <c r="B329">
        <v>7</v>
      </c>
      <c r="C329">
        <v>5000</v>
      </c>
      <c r="D329">
        <v>5531</v>
      </c>
      <c r="E329" s="5">
        <f t="shared" si="21"/>
        <v>531</v>
      </c>
      <c r="F329" s="5">
        <f t="shared" si="22"/>
        <v>281961</v>
      </c>
      <c r="G329" s="6">
        <f>SQRT(SUM($F$2:F329)/A329)</f>
        <v>1151.7730803671948</v>
      </c>
      <c r="H329" s="5">
        <f t="shared" si="23"/>
        <v>1</v>
      </c>
      <c r="I329" s="5">
        <f t="shared" si="24"/>
        <v>0</v>
      </c>
    </row>
    <row r="330" spans="1:9">
      <c r="A330">
        <v>329</v>
      </c>
      <c r="B330">
        <v>7</v>
      </c>
      <c r="C330">
        <v>5000</v>
      </c>
      <c r="D330">
        <v>5885</v>
      </c>
      <c r="E330" s="5">
        <f t="shared" si="21"/>
        <v>885</v>
      </c>
      <c r="F330" s="5">
        <f t="shared" si="22"/>
        <v>783225</v>
      </c>
      <c r="G330" s="6">
        <f>SQRT(SUM($F$2:F330)/A330)</f>
        <v>1151.0559021913771</v>
      </c>
      <c r="H330" s="5">
        <f t="shared" si="23"/>
        <v>1</v>
      </c>
      <c r="I330" s="5">
        <f t="shared" si="24"/>
        <v>0</v>
      </c>
    </row>
    <row r="331" spans="1:9">
      <c r="A331">
        <v>330</v>
      </c>
      <c r="B331">
        <v>7</v>
      </c>
      <c r="C331">
        <v>5000</v>
      </c>
      <c r="D331">
        <v>4943</v>
      </c>
      <c r="E331" s="5">
        <f t="shared" si="21"/>
        <v>57</v>
      </c>
      <c r="F331" s="5">
        <f t="shared" si="22"/>
        <v>3249</v>
      </c>
      <c r="G331" s="6">
        <f>SQRT(SUM($F$2:F331)/A331)</f>
        <v>1149.314838053393</v>
      </c>
      <c r="H331" s="5">
        <f t="shared" si="23"/>
        <v>1</v>
      </c>
      <c r="I331" s="5">
        <f t="shared" si="24"/>
        <v>1</v>
      </c>
    </row>
    <row r="332" spans="1:9">
      <c r="A332">
        <v>331</v>
      </c>
      <c r="B332">
        <v>8</v>
      </c>
      <c r="C332">
        <v>5000</v>
      </c>
      <c r="D332">
        <v>6595</v>
      </c>
      <c r="E332" s="5">
        <f t="shared" si="21"/>
        <v>1595</v>
      </c>
      <c r="F332" s="5">
        <f t="shared" si="22"/>
        <v>2544025</v>
      </c>
      <c r="G332" s="6">
        <f>SQRT(SUM($F$2:F332)/A332)</f>
        <v>1150.921267659284</v>
      </c>
      <c r="H332" s="5">
        <f t="shared" si="23"/>
        <v>0</v>
      </c>
      <c r="I332" s="5">
        <f t="shared" si="24"/>
        <v>0</v>
      </c>
    </row>
    <row r="333" spans="1:9">
      <c r="A333">
        <v>332</v>
      </c>
      <c r="B333">
        <v>6</v>
      </c>
      <c r="C333">
        <v>5000</v>
      </c>
      <c r="D333">
        <v>4442</v>
      </c>
      <c r="E333" s="5">
        <f t="shared" si="21"/>
        <v>558</v>
      </c>
      <c r="F333" s="5">
        <f t="shared" si="22"/>
        <v>311364</v>
      </c>
      <c r="G333" s="6">
        <f>SQRT(SUM($F$2:F333)/A333)</f>
        <v>1149.594619488377</v>
      </c>
      <c r="H333" s="5">
        <f t="shared" si="23"/>
        <v>1</v>
      </c>
      <c r="I333" s="5">
        <f t="shared" si="24"/>
        <v>0</v>
      </c>
    </row>
    <row r="334" spans="1:9">
      <c r="A334">
        <v>333</v>
      </c>
      <c r="B334">
        <v>8</v>
      </c>
      <c r="C334">
        <v>5000</v>
      </c>
      <c r="D334">
        <v>5364</v>
      </c>
      <c r="E334" s="5">
        <f t="shared" si="21"/>
        <v>364</v>
      </c>
      <c r="F334" s="5">
        <f t="shared" si="22"/>
        <v>132496</v>
      </c>
      <c r="G334" s="6">
        <f>SQRT(SUM($F$2:F334)/A334)</f>
        <v>1148.0405058198091</v>
      </c>
      <c r="H334" s="5">
        <f t="shared" si="23"/>
        <v>1</v>
      </c>
      <c r="I334" s="5">
        <f t="shared" si="24"/>
        <v>1</v>
      </c>
    </row>
    <row r="335" spans="1:9">
      <c r="A335">
        <v>334</v>
      </c>
      <c r="B335">
        <v>7</v>
      </c>
      <c r="C335">
        <v>5000</v>
      </c>
      <c r="D335">
        <v>5033</v>
      </c>
      <c r="E335" s="5">
        <f t="shared" si="21"/>
        <v>33</v>
      </c>
      <c r="F335" s="5">
        <f t="shared" si="22"/>
        <v>1089</v>
      </c>
      <c r="G335" s="6">
        <f>SQRT(SUM($F$2:F335)/A335)</f>
        <v>1146.3220161327527</v>
      </c>
      <c r="H335" s="5">
        <f t="shared" si="23"/>
        <v>1</v>
      </c>
      <c r="I335" s="5">
        <f t="shared" si="24"/>
        <v>1</v>
      </c>
    </row>
    <row r="336" spans="1:9">
      <c r="A336">
        <v>335</v>
      </c>
      <c r="B336">
        <v>7</v>
      </c>
      <c r="C336">
        <v>5000</v>
      </c>
      <c r="D336">
        <v>5201</v>
      </c>
      <c r="E336" s="5">
        <f t="shared" si="21"/>
        <v>201</v>
      </c>
      <c r="F336" s="5">
        <f t="shared" si="22"/>
        <v>40401</v>
      </c>
      <c r="G336" s="6">
        <f>SQRT(SUM($F$2:F336)/A336)</f>
        <v>1144.6624895249138</v>
      </c>
      <c r="H336" s="5">
        <f t="shared" si="23"/>
        <v>1</v>
      </c>
      <c r="I336" s="5">
        <f t="shared" si="24"/>
        <v>1</v>
      </c>
    </row>
    <row r="337" spans="1:9">
      <c r="A337">
        <v>336</v>
      </c>
      <c r="B337">
        <v>7</v>
      </c>
      <c r="C337">
        <v>5000</v>
      </c>
      <c r="D337">
        <v>4713</v>
      </c>
      <c r="E337" s="5">
        <f t="shared" si="21"/>
        <v>287</v>
      </c>
      <c r="F337" s="5">
        <f t="shared" si="22"/>
        <v>82369</v>
      </c>
      <c r="G337" s="6">
        <f>SQRT(SUM($F$2:F337)/A337)</f>
        <v>1143.0650902705577</v>
      </c>
      <c r="H337" s="5">
        <f t="shared" si="23"/>
        <v>1</v>
      </c>
      <c r="I337" s="5">
        <f t="shared" si="24"/>
        <v>1</v>
      </c>
    </row>
    <row r="338" spans="1:9">
      <c r="A338">
        <v>337</v>
      </c>
      <c r="B338">
        <v>7</v>
      </c>
      <c r="C338">
        <v>5000</v>
      </c>
      <c r="D338">
        <v>4685</v>
      </c>
      <c r="E338" s="5">
        <f t="shared" si="21"/>
        <v>315</v>
      </c>
      <c r="F338" s="5">
        <f t="shared" si="22"/>
        <v>99225</v>
      </c>
      <c r="G338" s="6">
        <f>SQRT(SUM($F$2:F338)/A338)</f>
        <v>1141.496864642269</v>
      </c>
      <c r="H338" s="5">
        <f t="shared" si="23"/>
        <v>1</v>
      </c>
      <c r="I338" s="5">
        <f t="shared" si="24"/>
        <v>1</v>
      </c>
    </row>
    <row r="339" spans="1:9">
      <c r="A339">
        <v>338</v>
      </c>
      <c r="B339">
        <v>8</v>
      </c>
      <c r="C339">
        <v>5000</v>
      </c>
      <c r="D339">
        <v>5797</v>
      </c>
      <c r="E339" s="5">
        <f t="shared" si="21"/>
        <v>797</v>
      </c>
      <c r="F339" s="5">
        <f t="shared" si="22"/>
        <v>635209</v>
      </c>
      <c r="G339" s="6">
        <f>SQRT(SUM($F$2:F339)/A339)</f>
        <v>1140.6311122880729</v>
      </c>
      <c r="H339" s="5">
        <f t="shared" si="23"/>
        <v>1</v>
      </c>
      <c r="I339" s="5">
        <f t="shared" si="24"/>
        <v>0</v>
      </c>
    </row>
    <row r="340" spans="1:9">
      <c r="A340">
        <v>339</v>
      </c>
      <c r="B340">
        <v>6</v>
      </c>
      <c r="C340">
        <v>5000</v>
      </c>
      <c r="D340">
        <v>4012</v>
      </c>
      <c r="E340" s="5">
        <f t="shared" si="21"/>
        <v>988</v>
      </c>
      <c r="F340" s="5">
        <f t="shared" si="22"/>
        <v>976144</v>
      </c>
      <c r="G340" s="6">
        <f>SQRT(SUM($F$2:F340)/A340)</f>
        <v>1140.2109195245193</v>
      </c>
      <c r="H340" s="5">
        <f t="shared" si="23"/>
        <v>1</v>
      </c>
      <c r="I340" s="5">
        <f t="shared" si="24"/>
        <v>0</v>
      </c>
    </row>
    <row r="341" spans="1:9">
      <c r="A341">
        <v>340</v>
      </c>
      <c r="B341">
        <v>8</v>
      </c>
      <c r="C341">
        <v>5000</v>
      </c>
      <c r="D341">
        <v>5461</v>
      </c>
      <c r="E341" s="5">
        <f t="shared" si="21"/>
        <v>461</v>
      </c>
      <c r="F341" s="5">
        <f t="shared" si="22"/>
        <v>212521</v>
      </c>
      <c r="G341" s="6">
        <f>SQRT(SUM($F$2:F341)/A341)</f>
        <v>1138.8073740954251</v>
      </c>
      <c r="H341" s="5">
        <f t="shared" si="23"/>
        <v>1</v>
      </c>
      <c r="I341" s="5">
        <f t="shared" si="24"/>
        <v>1</v>
      </c>
    </row>
    <row r="342" spans="1:9">
      <c r="A342">
        <v>341</v>
      </c>
      <c r="B342">
        <v>7</v>
      </c>
      <c r="C342">
        <v>5000</v>
      </c>
      <c r="D342">
        <v>5161</v>
      </c>
      <c r="E342" s="5">
        <f t="shared" si="21"/>
        <v>161</v>
      </c>
      <c r="F342" s="5">
        <f t="shared" si="22"/>
        <v>25921</v>
      </c>
      <c r="G342" s="6">
        <f>SQRT(SUM($F$2:F342)/A342)</f>
        <v>1137.1697657985524</v>
      </c>
      <c r="H342" s="5">
        <f t="shared" si="23"/>
        <v>1</v>
      </c>
      <c r="I342" s="5">
        <f t="shared" si="24"/>
        <v>1</v>
      </c>
    </row>
    <row r="343" spans="1:9">
      <c r="A343">
        <v>342</v>
      </c>
      <c r="B343">
        <v>7</v>
      </c>
      <c r="C343">
        <v>5000</v>
      </c>
      <c r="D343">
        <v>5520</v>
      </c>
      <c r="E343" s="5">
        <f t="shared" si="21"/>
        <v>520</v>
      </c>
      <c r="F343" s="5">
        <f t="shared" si="22"/>
        <v>270400</v>
      </c>
      <c r="G343" s="6">
        <f>SQRT(SUM($F$2:F343)/A343)</f>
        <v>1135.8541122553922</v>
      </c>
      <c r="H343" s="5">
        <f t="shared" si="23"/>
        <v>1</v>
      </c>
      <c r="I343" s="5">
        <f t="shared" si="24"/>
        <v>0</v>
      </c>
    </row>
    <row r="344" spans="1:9">
      <c r="A344">
        <v>343</v>
      </c>
      <c r="B344">
        <v>7</v>
      </c>
      <c r="C344">
        <v>5000</v>
      </c>
      <c r="D344">
        <v>5531</v>
      </c>
      <c r="E344" s="5">
        <f t="shared" si="21"/>
        <v>531</v>
      </c>
      <c r="F344" s="5">
        <f t="shared" si="22"/>
        <v>281961</v>
      </c>
      <c r="G344" s="6">
        <f>SQRT(SUM($F$2:F344)/A344)</f>
        <v>1134.5594719252388</v>
      </c>
      <c r="H344" s="5">
        <f t="shared" si="23"/>
        <v>1</v>
      </c>
      <c r="I344" s="5">
        <f t="shared" si="24"/>
        <v>0</v>
      </c>
    </row>
    <row r="345" spans="1:9">
      <c r="A345">
        <v>344</v>
      </c>
      <c r="B345">
        <v>6</v>
      </c>
      <c r="C345">
        <v>5000</v>
      </c>
      <c r="D345">
        <v>4438</v>
      </c>
      <c r="E345" s="5">
        <f t="shared" si="21"/>
        <v>562</v>
      </c>
      <c r="F345" s="5">
        <f t="shared" si="22"/>
        <v>315844</v>
      </c>
      <c r="G345" s="6">
        <f>SQRT(SUM($F$2:F345)/A345)</f>
        <v>1133.3143486212014</v>
      </c>
      <c r="H345" s="5">
        <f t="shared" si="23"/>
        <v>1</v>
      </c>
      <c r="I345" s="5">
        <f t="shared" si="24"/>
        <v>0</v>
      </c>
    </row>
    <row r="346" spans="1:9">
      <c r="A346">
        <v>345</v>
      </c>
      <c r="B346">
        <v>8</v>
      </c>
      <c r="C346">
        <v>5000</v>
      </c>
      <c r="D346">
        <v>5097</v>
      </c>
      <c r="E346" s="5">
        <f t="shared" si="21"/>
        <v>97</v>
      </c>
      <c r="F346" s="5">
        <f t="shared" si="22"/>
        <v>9409</v>
      </c>
      <c r="G346" s="6">
        <f>SQRT(SUM($F$2:F346)/A346)</f>
        <v>1131.6827217063515</v>
      </c>
      <c r="H346" s="5">
        <f t="shared" si="23"/>
        <v>1</v>
      </c>
      <c r="I346" s="5">
        <f t="shared" si="24"/>
        <v>1</v>
      </c>
    </row>
    <row r="347" spans="1:9">
      <c r="A347">
        <v>346</v>
      </c>
      <c r="B347">
        <v>7</v>
      </c>
      <c r="C347">
        <v>5000</v>
      </c>
      <c r="D347">
        <v>4746</v>
      </c>
      <c r="E347" s="5">
        <f t="shared" si="21"/>
        <v>254</v>
      </c>
      <c r="F347" s="5">
        <f t="shared" si="22"/>
        <v>64516</v>
      </c>
      <c r="G347" s="6">
        <f>SQRT(SUM($F$2:F347)/A347)</f>
        <v>1130.1286578248487</v>
      </c>
      <c r="H347" s="5">
        <f t="shared" si="23"/>
        <v>1</v>
      </c>
      <c r="I347" s="5">
        <f t="shared" si="24"/>
        <v>1</v>
      </c>
    </row>
    <row r="348" spans="1:9">
      <c r="A348">
        <v>347</v>
      </c>
      <c r="B348">
        <v>7</v>
      </c>
      <c r="C348">
        <v>5000</v>
      </c>
      <c r="D348">
        <v>4972</v>
      </c>
      <c r="E348" s="5">
        <f t="shared" si="21"/>
        <v>28</v>
      </c>
      <c r="F348" s="5">
        <f t="shared" si="22"/>
        <v>784</v>
      </c>
      <c r="G348" s="6">
        <f>SQRT(SUM($F$2:F348)/A348)</f>
        <v>1128.5000565004921</v>
      </c>
      <c r="H348" s="5">
        <f t="shared" si="23"/>
        <v>1</v>
      </c>
      <c r="I348" s="5">
        <f t="shared" si="24"/>
        <v>1</v>
      </c>
    </row>
    <row r="349" spans="1:9">
      <c r="A349">
        <v>348</v>
      </c>
      <c r="B349">
        <v>7</v>
      </c>
      <c r="C349">
        <v>5000</v>
      </c>
      <c r="D349">
        <v>5149</v>
      </c>
      <c r="E349" s="5">
        <f t="shared" si="21"/>
        <v>149</v>
      </c>
      <c r="F349" s="5">
        <f t="shared" si="22"/>
        <v>22201</v>
      </c>
      <c r="G349" s="6">
        <f>SQRT(SUM($F$2:F349)/A349)</f>
        <v>1126.9057880641192</v>
      </c>
      <c r="H349" s="5">
        <f t="shared" si="23"/>
        <v>1</v>
      </c>
      <c r="I349" s="5">
        <f t="shared" si="24"/>
        <v>1</v>
      </c>
    </row>
    <row r="350" spans="1:9">
      <c r="A350">
        <v>349</v>
      </c>
      <c r="B350">
        <v>7</v>
      </c>
      <c r="C350">
        <v>5000</v>
      </c>
      <c r="D350">
        <v>5542</v>
      </c>
      <c r="E350" s="5">
        <f t="shared" si="21"/>
        <v>542</v>
      </c>
      <c r="F350" s="5">
        <f t="shared" si="22"/>
        <v>293764</v>
      </c>
      <c r="G350" s="6">
        <f>SQRT(SUM($F$2:F350)/A350)</f>
        <v>1125.6640956166534</v>
      </c>
      <c r="H350" s="5">
        <f t="shared" si="23"/>
        <v>1</v>
      </c>
      <c r="I350" s="5">
        <f t="shared" si="24"/>
        <v>0</v>
      </c>
    </row>
    <row r="351" spans="1:9">
      <c r="A351">
        <v>350</v>
      </c>
      <c r="B351">
        <v>6</v>
      </c>
      <c r="C351">
        <v>5000</v>
      </c>
      <c r="D351">
        <v>3851</v>
      </c>
      <c r="E351" s="5">
        <f t="shared" si="21"/>
        <v>1149</v>
      </c>
      <c r="F351" s="5">
        <f t="shared" si="22"/>
        <v>1320201</v>
      </c>
      <c r="G351" s="6">
        <f>SQRT(SUM($F$2:F351)/A351)</f>
        <v>1125.7314587160017</v>
      </c>
      <c r="H351" s="5">
        <f t="shared" si="23"/>
        <v>0</v>
      </c>
      <c r="I351" s="5">
        <f t="shared" si="24"/>
        <v>0</v>
      </c>
    </row>
    <row r="352" spans="1:9">
      <c r="A352">
        <v>351</v>
      </c>
      <c r="B352">
        <v>8</v>
      </c>
      <c r="C352">
        <v>5000</v>
      </c>
      <c r="D352">
        <v>5570</v>
      </c>
      <c r="E352" s="5">
        <f t="shared" si="21"/>
        <v>570</v>
      </c>
      <c r="F352" s="5">
        <f t="shared" si="22"/>
        <v>324900</v>
      </c>
      <c r="G352" s="6">
        <f>SQRT(SUM($F$2:F352)/A352)</f>
        <v>1124.5383490906383</v>
      </c>
      <c r="H352" s="5">
        <f t="shared" si="23"/>
        <v>1</v>
      </c>
      <c r="I352" s="5">
        <f t="shared" si="24"/>
        <v>0</v>
      </c>
    </row>
    <row r="353" spans="1:9">
      <c r="A353">
        <v>352</v>
      </c>
      <c r="B353">
        <v>7</v>
      </c>
      <c r="C353">
        <v>5000</v>
      </c>
      <c r="D353">
        <v>5120</v>
      </c>
      <c r="E353" s="5">
        <f t="shared" si="21"/>
        <v>120</v>
      </c>
      <c r="F353" s="5">
        <f t="shared" si="22"/>
        <v>14400</v>
      </c>
      <c r="G353" s="6">
        <f>SQRT(SUM($F$2:F353)/A353)</f>
        <v>1122.9580724080322</v>
      </c>
      <c r="H353" s="5">
        <f t="shared" si="23"/>
        <v>1</v>
      </c>
      <c r="I353" s="5">
        <f t="shared" si="24"/>
        <v>1</v>
      </c>
    </row>
    <row r="354" spans="1:9">
      <c r="A354">
        <v>353</v>
      </c>
      <c r="B354">
        <v>7</v>
      </c>
      <c r="C354">
        <v>5000</v>
      </c>
      <c r="D354">
        <v>5335</v>
      </c>
      <c r="E354" s="5">
        <f t="shared" si="21"/>
        <v>335</v>
      </c>
      <c r="F354" s="5">
        <f t="shared" si="22"/>
        <v>112225</v>
      </c>
      <c r="G354" s="6">
        <f>SQRT(SUM($F$2:F354)/A354)</f>
        <v>1121.508097874346</v>
      </c>
      <c r="H354" s="5">
        <f t="shared" si="23"/>
        <v>1</v>
      </c>
      <c r="I354" s="5">
        <f t="shared" si="24"/>
        <v>1</v>
      </c>
    </row>
    <row r="355" spans="1:9">
      <c r="A355">
        <v>354</v>
      </c>
      <c r="B355">
        <v>7</v>
      </c>
      <c r="C355">
        <v>5000</v>
      </c>
      <c r="D355">
        <v>5065</v>
      </c>
      <c r="E355" s="5">
        <f t="shared" si="21"/>
        <v>65</v>
      </c>
      <c r="F355" s="5">
        <f t="shared" si="22"/>
        <v>4225</v>
      </c>
      <c r="G355" s="6">
        <f>SQRT(SUM($F$2:F355)/A355)</f>
        <v>1119.9282551173399</v>
      </c>
      <c r="H355" s="5">
        <f t="shared" si="23"/>
        <v>1</v>
      </c>
      <c r="I355" s="5">
        <f t="shared" si="24"/>
        <v>1</v>
      </c>
    </row>
    <row r="356" spans="1:9">
      <c r="A356">
        <v>355</v>
      </c>
      <c r="B356">
        <v>7</v>
      </c>
      <c r="C356">
        <v>5000</v>
      </c>
      <c r="D356">
        <v>5599</v>
      </c>
      <c r="E356" s="5">
        <f t="shared" si="21"/>
        <v>599</v>
      </c>
      <c r="F356" s="5">
        <f t="shared" si="22"/>
        <v>358801</v>
      </c>
      <c r="G356" s="6">
        <f>SQRT(SUM($F$2:F356)/A356)</f>
        <v>1118.8015620346923</v>
      </c>
      <c r="H356" s="5">
        <f t="shared" si="23"/>
        <v>1</v>
      </c>
      <c r="I356" s="5">
        <f t="shared" si="24"/>
        <v>0</v>
      </c>
    </row>
    <row r="357" spans="1:9">
      <c r="A357">
        <v>356</v>
      </c>
      <c r="B357">
        <v>6</v>
      </c>
      <c r="C357">
        <v>5000</v>
      </c>
      <c r="D357">
        <v>4322</v>
      </c>
      <c r="E357" s="5">
        <f t="shared" si="21"/>
        <v>678</v>
      </c>
      <c r="F357" s="5">
        <f t="shared" si="22"/>
        <v>459684</v>
      </c>
      <c r="G357" s="6">
        <f>SQRT(SUM($F$2:F357)/A357)</f>
        <v>1117.8068364415676</v>
      </c>
      <c r="H357" s="5">
        <f t="shared" si="23"/>
        <v>1</v>
      </c>
      <c r="I357" s="5">
        <f t="shared" si="24"/>
        <v>0</v>
      </c>
    </row>
    <row r="358" spans="1:9">
      <c r="A358">
        <v>357</v>
      </c>
      <c r="B358">
        <v>8</v>
      </c>
      <c r="C358">
        <v>5000</v>
      </c>
      <c r="D358">
        <v>5284</v>
      </c>
      <c r="E358" s="5">
        <f t="shared" si="21"/>
        <v>284</v>
      </c>
      <c r="F358" s="5">
        <f t="shared" si="22"/>
        <v>80656</v>
      </c>
      <c r="G358" s="6">
        <f>SQRT(SUM($F$2:F358)/A358)</f>
        <v>1116.3413782661339</v>
      </c>
      <c r="H358" s="5">
        <f t="shared" si="23"/>
        <v>1</v>
      </c>
      <c r="I358" s="5">
        <f t="shared" si="24"/>
        <v>1</v>
      </c>
    </row>
    <row r="359" spans="1:9">
      <c r="A359">
        <v>358</v>
      </c>
      <c r="B359">
        <v>7</v>
      </c>
      <c r="C359">
        <v>5000</v>
      </c>
      <c r="D359">
        <v>5152</v>
      </c>
      <c r="E359" s="5">
        <f t="shared" si="21"/>
        <v>152</v>
      </c>
      <c r="F359" s="5">
        <f t="shared" si="22"/>
        <v>23104</v>
      </c>
      <c r="G359" s="6">
        <f>SQRT(SUM($F$2:F359)/A359)</f>
        <v>1114.81009731372</v>
      </c>
      <c r="H359" s="5">
        <f t="shared" si="23"/>
        <v>1</v>
      </c>
      <c r="I359" s="5">
        <f t="shared" si="24"/>
        <v>1</v>
      </c>
    </row>
    <row r="360" spans="1:9">
      <c r="A360">
        <v>359</v>
      </c>
      <c r="B360">
        <v>7</v>
      </c>
      <c r="C360">
        <v>5000</v>
      </c>
      <c r="D360">
        <v>5154</v>
      </c>
      <c r="E360" s="5">
        <f t="shared" si="21"/>
        <v>154</v>
      </c>
      <c r="F360" s="5">
        <f t="shared" si="22"/>
        <v>23716</v>
      </c>
      <c r="G360" s="6">
        <f>SQRT(SUM($F$2:F360)/A360)</f>
        <v>1113.2860241589956</v>
      </c>
      <c r="H360" s="5">
        <f t="shared" si="23"/>
        <v>1</v>
      </c>
      <c r="I360" s="5">
        <f t="shared" si="24"/>
        <v>1</v>
      </c>
    </row>
    <row r="361" spans="1:9">
      <c r="A361">
        <v>360</v>
      </c>
      <c r="B361">
        <v>7</v>
      </c>
      <c r="C361">
        <v>5000</v>
      </c>
      <c r="D361">
        <v>4643</v>
      </c>
      <c r="E361" s="5">
        <f t="shared" si="21"/>
        <v>357</v>
      </c>
      <c r="F361" s="5">
        <f t="shared" si="22"/>
        <v>127449</v>
      </c>
      <c r="G361" s="6">
        <f>SQRT(SUM($F$2:F361)/A361)</f>
        <v>1111.897928219033</v>
      </c>
      <c r="H361" s="5">
        <f t="shared" si="23"/>
        <v>1</v>
      </c>
      <c r="I361" s="5">
        <f t="shared" si="24"/>
        <v>1</v>
      </c>
    </row>
    <row r="362" spans="1:9">
      <c r="A362">
        <v>361</v>
      </c>
      <c r="B362">
        <v>7</v>
      </c>
      <c r="C362">
        <v>5000</v>
      </c>
      <c r="D362">
        <v>4075</v>
      </c>
      <c r="E362" s="5">
        <f t="shared" si="21"/>
        <v>925</v>
      </c>
      <c r="F362" s="5">
        <f t="shared" si="22"/>
        <v>855625</v>
      </c>
      <c r="G362" s="6">
        <f>SQRT(SUM($F$2:F362)/A362)</f>
        <v>1111.4236160409896</v>
      </c>
      <c r="H362" s="5">
        <f t="shared" si="23"/>
        <v>1</v>
      </c>
      <c r="I362" s="5">
        <f t="shared" si="24"/>
        <v>0</v>
      </c>
    </row>
    <row r="363" spans="1:9">
      <c r="A363">
        <v>362</v>
      </c>
      <c r="B363">
        <v>8</v>
      </c>
      <c r="C363">
        <v>5000</v>
      </c>
      <c r="D363">
        <v>4405</v>
      </c>
      <c r="E363" s="5">
        <f t="shared" si="21"/>
        <v>595</v>
      </c>
      <c r="F363" s="5">
        <f t="shared" si="22"/>
        <v>354025</v>
      </c>
      <c r="G363" s="6">
        <f>SQRT(SUM($F$2:F363)/A363)</f>
        <v>1110.327923041244</v>
      </c>
      <c r="H363" s="5">
        <f t="shared" si="23"/>
        <v>1</v>
      </c>
      <c r="I363" s="5">
        <f t="shared" si="24"/>
        <v>0</v>
      </c>
    </row>
    <row r="364" spans="1:9">
      <c r="A364">
        <v>363</v>
      </c>
      <c r="B364">
        <v>8</v>
      </c>
      <c r="C364">
        <v>5000</v>
      </c>
      <c r="D364">
        <v>3020</v>
      </c>
      <c r="E364" s="5">
        <f t="shared" si="21"/>
        <v>1980</v>
      </c>
      <c r="F364" s="5">
        <f t="shared" si="22"/>
        <v>3920400</v>
      </c>
      <c r="G364" s="6">
        <f>SQRT(SUM($F$2:F364)/A364)</f>
        <v>1113.6569831115225</v>
      </c>
      <c r="H364" s="5">
        <f t="shared" si="23"/>
        <v>0</v>
      </c>
      <c r="I364" s="5">
        <f t="shared" si="24"/>
        <v>0</v>
      </c>
    </row>
    <row r="365" spans="1:9">
      <c r="A365">
        <v>364</v>
      </c>
      <c r="B365">
        <v>10</v>
      </c>
      <c r="C365">
        <v>5000</v>
      </c>
      <c r="D365">
        <v>5746</v>
      </c>
      <c r="E365" s="5">
        <f t="shared" si="21"/>
        <v>746</v>
      </c>
      <c r="F365" s="5">
        <f t="shared" si="22"/>
        <v>556516</v>
      </c>
      <c r="G365" s="6">
        <f>SQRT(SUM($F$2:F365)/A365)</f>
        <v>1112.8133427103962</v>
      </c>
      <c r="H365" s="5">
        <f t="shared" si="23"/>
        <v>1</v>
      </c>
      <c r="I365" s="5">
        <f t="shared" si="24"/>
        <v>0</v>
      </c>
    </row>
    <row r="366" spans="1:9">
      <c r="A366">
        <v>365</v>
      </c>
      <c r="B366">
        <v>7</v>
      </c>
      <c r="C366">
        <v>5000</v>
      </c>
      <c r="D366">
        <v>3939</v>
      </c>
      <c r="E366" s="5">
        <f t="shared" si="21"/>
        <v>1061</v>
      </c>
      <c r="F366" s="5">
        <f t="shared" si="22"/>
        <v>1125721</v>
      </c>
      <c r="G366" s="6">
        <f>SQRT(SUM($F$2:F366)/A366)</f>
        <v>1112.6746844539321</v>
      </c>
      <c r="H366" s="5">
        <f t="shared" si="23"/>
        <v>0</v>
      </c>
      <c r="I366" s="5">
        <f t="shared" si="24"/>
        <v>0</v>
      </c>
    </row>
    <row r="367" spans="1:9">
      <c r="A367">
        <v>366</v>
      </c>
      <c r="B367">
        <v>9</v>
      </c>
      <c r="C367">
        <v>5000</v>
      </c>
      <c r="D367">
        <v>5637</v>
      </c>
      <c r="E367" s="5">
        <f t="shared" si="21"/>
        <v>637</v>
      </c>
      <c r="F367" s="5">
        <f t="shared" si="22"/>
        <v>405769</v>
      </c>
      <c r="G367" s="6">
        <f>SQRT(SUM($F$2:F367)/A367)</f>
        <v>1111.6523626610237</v>
      </c>
      <c r="H367" s="5">
        <f t="shared" si="23"/>
        <v>1</v>
      </c>
      <c r="I367" s="5">
        <f t="shared" si="24"/>
        <v>0</v>
      </c>
    </row>
    <row r="368" spans="1:9">
      <c r="A368">
        <v>367</v>
      </c>
      <c r="B368">
        <v>7</v>
      </c>
      <c r="C368">
        <v>5000</v>
      </c>
      <c r="D368">
        <v>4287</v>
      </c>
      <c r="E368" s="5">
        <f t="shared" si="21"/>
        <v>713</v>
      </c>
      <c r="F368" s="5">
        <f t="shared" si="22"/>
        <v>508369</v>
      </c>
      <c r="G368" s="6">
        <f>SQRT(SUM($F$2:F368)/A368)</f>
        <v>1110.7605294024784</v>
      </c>
      <c r="H368" s="5">
        <f t="shared" si="23"/>
        <v>1</v>
      </c>
      <c r="I368" s="5">
        <f t="shared" si="24"/>
        <v>0</v>
      </c>
    </row>
    <row r="369" spans="1:9">
      <c r="A369">
        <v>368</v>
      </c>
      <c r="B369">
        <v>9</v>
      </c>
      <c r="C369">
        <v>5000</v>
      </c>
      <c r="D369">
        <v>6944</v>
      </c>
      <c r="E369" s="5">
        <f t="shared" si="21"/>
        <v>1944</v>
      </c>
      <c r="F369" s="5">
        <f t="shared" si="22"/>
        <v>3779136</v>
      </c>
      <c r="G369" s="6">
        <f>SQRT(SUM($F$2:F369)/A369)</f>
        <v>1113.8696771205757</v>
      </c>
      <c r="H369" s="5">
        <f t="shared" si="23"/>
        <v>0</v>
      </c>
      <c r="I369" s="5">
        <f t="shared" si="24"/>
        <v>0</v>
      </c>
    </row>
    <row r="370" spans="1:9">
      <c r="A370">
        <v>369</v>
      </c>
      <c r="B370">
        <v>6</v>
      </c>
      <c r="C370">
        <v>5000</v>
      </c>
      <c r="D370">
        <v>4106</v>
      </c>
      <c r="E370" s="5">
        <f t="shared" si="21"/>
        <v>894</v>
      </c>
      <c r="F370" s="5">
        <f t="shared" si="22"/>
        <v>799236</v>
      </c>
      <c r="G370" s="6">
        <f>SQRT(SUM($F$2:F370)/A370)</f>
        <v>1113.3325032858013</v>
      </c>
      <c r="H370" s="5">
        <f t="shared" si="23"/>
        <v>1</v>
      </c>
      <c r="I370" s="5">
        <f t="shared" si="24"/>
        <v>0</v>
      </c>
    </row>
    <row r="371" spans="1:9">
      <c r="A371">
        <v>370</v>
      </c>
      <c r="B371">
        <v>8</v>
      </c>
      <c r="C371">
        <v>5000</v>
      </c>
      <c r="D371">
        <v>6117</v>
      </c>
      <c r="E371" s="5">
        <f t="shared" si="21"/>
        <v>1117</v>
      </c>
      <c r="F371" s="5">
        <f t="shared" si="22"/>
        <v>1247689</v>
      </c>
      <c r="G371" s="6">
        <f>SQRT(SUM($F$2:F371)/A371)</f>
        <v>1113.3424317209285</v>
      </c>
      <c r="H371" s="5">
        <f t="shared" si="23"/>
        <v>0</v>
      </c>
      <c r="I371" s="5">
        <f t="shared" si="24"/>
        <v>0</v>
      </c>
    </row>
    <row r="372" spans="1:9">
      <c r="A372">
        <v>371</v>
      </c>
      <c r="B372">
        <v>6</v>
      </c>
      <c r="C372">
        <v>5000</v>
      </c>
      <c r="D372">
        <v>4854</v>
      </c>
      <c r="E372" s="5">
        <f t="shared" si="21"/>
        <v>146</v>
      </c>
      <c r="F372" s="5">
        <f t="shared" si="22"/>
        <v>21316</v>
      </c>
      <c r="G372" s="6">
        <f>SQRT(SUM($F$2:F372)/A372)</f>
        <v>1111.8667954793361</v>
      </c>
      <c r="H372" s="5">
        <f t="shared" si="23"/>
        <v>1</v>
      </c>
      <c r="I372" s="5">
        <f t="shared" si="24"/>
        <v>1</v>
      </c>
    </row>
    <row r="373" spans="1:9">
      <c r="A373">
        <v>372</v>
      </c>
      <c r="B373">
        <v>8</v>
      </c>
      <c r="C373">
        <v>5000</v>
      </c>
      <c r="D373">
        <v>5460</v>
      </c>
      <c r="E373" s="5">
        <f t="shared" si="21"/>
        <v>460</v>
      </c>
      <c r="F373" s="5">
        <f t="shared" si="22"/>
        <v>211600</v>
      </c>
      <c r="G373" s="6">
        <f>SQRT(SUM($F$2:F373)/A373)</f>
        <v>1110.6274539186618</v>
      </c>
      <c r="H373" s="5">
        <f t="shared" si="23"/>
        <v>1</v>
      </c>
      <c r="I373" s="5">
        <f t="shared" si="24"/>
        <v>1</v>
      </c>
    </row>
    <row r="374" spans="1:9">
      <c r="A374">
        <v>373</v>
      </c>
      <c r="B374">
        <v>7</v>
      </c>
      <c r="C374">
        <v>5000</v>
      </c>
      <c r="D374">
        <v>5924</v>
      </c>
      <c r="E374" s="5">
        <f t="shared" si="21"/>
        <v>924</v>
      </c>
      <c r="F374" s="5">
        <f t="shared" si="22"/>
        <v>853776</v>
      </c>
      <c r="G374" s="6">
        <f>SQRT(SUM($F$2:F374)/A374)</f>
        <v>1110.1690557927104</v>
      </c>
      <c r="H374" s="5">
        <f t="shared" si="23"/>
        <v>1</v>
      </c>
      <c r="I374" s="5">
        <f t="shared" si="24"/>
        <v>0</v>
      </c>
    </row>
    <row r="375" spans="1:9">
      <c r="A375">
        <v>374</v>
      </c>
      <c r="B375">
        <v>6</v>
      </c>
      <c r="C375">
        <v>5000</v>
      </c>
      <c r="D375">
        <v>5129</v>
      </c>
      <c r="E375" s="5">
        <f t="shared" si="21"/>
        <v>129</v>
      </c>
      <c r="F375" s="5">
        <f t="shared" si="22"/>
        <v>16641</v>
      </c>
      <c r="G375" s="6">
        <f>SQRT(SUM($F$2:F375)/A375)</f>
        <v>1108.7039453806744</v>
      </c>
      <c r="H375" s="5">
        <f t="shared" si="23"/>
        <v>1</v>
      </c>
      <c r="I375" s="5">
        <f t="shared" si="24"/>
        <v>1</v>
      </c>
    </row>
    <row r="376" spans="1:9">
      <c r="A376">
        <v>375</v>
      </c>
      <c r="B376">
        <v>7</v>
      </c>
      <c r="C376">
        <v>5000</v>
      </c>
      <c r="D376">
        <v>5721</v>
      </c>
      <c r="E376" s="5">
        <f t="shared" si="21"/>
        <v>721</v>
      </c>
      <c r="F376" s="5">
        <f t="shared" si="22"/>
        <v>519841</v>
      </c>
      <c r="G376" s="6">
        <f>SQRT(SUM($F$2:F376)/A376)</f>
        <v>1107.8505085675292</v>
      </c>
      <c r="H376" s="5">
        <f t="shared" si="23"/>
        <v>1</v>
      </c>
      <c r="I376" s="5">
        <f t="shared" si="24"/>
        <v>0</v>
      </c>
    </row>
    <row r="377" spans="1:9">
      <c r="A377">
        <v>376</v>
      </c>
      <c r="B377">
        <v>6</v>
      </c>
      <c r="C377">
        <v>5000</v>
      </c>
      <c r="D377">
        <v>5052</v>
      </c>
      <c r="E377" s="5">
        <f t="shared" si="21"/>
        <v>52</v>
      </c>
      <c r="F377" s="5">
        <f t="shared" si="22"/>
        <v>2704</v>
      </c>
      <c r="G377" s="6">
        <f>SQRT(SUM($F$2:F377)/A377)</f>
        <v>1106.3795722891505</v>
      </c>
      <c r="H377" s="5">
        <f t="shared" si="23"/>
        <v>1</v>
      </c>
      <c r="I377" s="5">
        <f t="shared" si="24"/>
        <v>1</v>
      </c>
    </row>
    <row r="378" spans="1:9">
      <c r="A378">
        <v>377</v>
      </c>
      <c r="B378">
        <v>7</v>
      </c>
      <c r="C378">
        <v>5000</v>
      </c>
      <c r="D378">
        <v>4956</v>
      </c>
      <c r="E378" s="5">
        <f t="shared" si="21"/>
        <v>44</v>
      </c>
      <c r="F378" s="5">
        <f t="shared" si="22"/>
        <v>1936</v>
      </c>
      <c r="G378" s="6">
        <f>SQRT(SUM($F$2:F378)/A378)</f>
        <v>1104.913574881565</v>
      </c>
      <c r="H378" s="5">
        <f t="shared" si="23"/>
        <v>1</v>
      </c>
      <c r="I378" s="5">
        <f t="shared" si="24"/>
        <v>1</v>
      </c>
    </row>
    <row r="379" spans="1:9">
      <c r="A379">
        <v>378</v>
      </c>
      <c r="B379">
        <v>7</v>
      </c>
      <c r="C379">
        <v>5000</v>
      </c>
      <c r="D379">
        <v>5751</v>
      </c>
      <c r="E379" s="5">
        <f t="shared" si="21"/>
        <v>751</v>
      </c>
      <c r="F379" s="5">
        <f t="shared" si="22"/>
        <v>564001</v>
      </c>
      <c r="G379" s="6">
        <f>SQRT(SUM($F$2:F379)/A379)</f>
        <v>1104.1269648447837</v>
      </c>
      <c r="H379" s="5">
        <f t="shared" si="23"/>
        <v>1</v>
      </c>
      <c r="I379" s="5">
        <f t="shared" si="24"/>
        <v>0</v>
      </c>
    </row>
    <row r="380" spans="1:9">
      <c r="A380">
        <v>379</v>
      </c>
      <c r="B380">
        <v>6</v>
      </c>
      <c r="C380">
        <v>5000</v>
      </c>
      <c r="D380">
        <v>4522</v>
      </c>
      <c r="E380" s="5">
        <f t="shared" si="21"/>
        <v>478</v>
      </c>
      <c r="F380" s="5">
        <f t="shared" si="22"/>
        <v>228484</v>
      </c>
      <c r="G380" s="6">
        <f>SQRT(SUM($F$2:F380)/A380)</f>
        <v>1102.9427009519186</v>
      </c>
      <c r="H380" s="5">
        <f t="shared" si="23"/>
        <v>1</v>
      </c>
      <c r="I380" s="5">
        <f t="shared" si="24"/>
        <v>1</v>
      </c>
    </row>
    <row r="381" spans="1:9">
      <c r="A381">
        <v>380</v>
      </c>
      <c r="B381">
        <v>7</v>
      </c>
      <c r="C381">
        <v>5000</v>
      </c>
      <c r="D381">
        <v>5444</v>
      </c>
      <c r="E381" s="5">
        <f t="shared" si="21"/>
        <v>444</v>
      </c>
      <c r="F381" s="5">
        <f t="shared" si="22"/>
        <v>197136</v>
      </c>
      <c r="G381" s="6">
        <f>SQRT(SUM($F$2:F381)/A381)</f>
        <v>1101.7259688898669</v>
      </c>
      <c r="H381" s="5">
        <f t="shared" si="23"/>
        <v>1</v>
      </c>
      <c r="I381" s="5">
        <f t="shared" si="24"/>
        <v>1</v>
      </c>
    </row>
    <row r="382" spans="1:9">
      <c r="A382">
        <v>381</v>
      </c>
      <c r="B382">
        <v>6</v>
      </c>
      <c r="C382">
        <v>5000</v>
      </c>
      <c r="D382">
        <v>5138</v>
      </c>
      <c r="E382" s="5">
        <f t="shared" si="21"/>
        <v>138</v>
      </c>
      <c r="F382" s="5">
        <f t="shared" si="22"/>
        <v>19044</v>
      </c>
      <c r="G382" s="6">
        <f>SQRT(SUM($F$2:F382)/A382)</f>
        <v>1100.3018984426662</v>
      </c>
      <c r="H382" s="5">
        <f t="shared" si="23"/>
        <v>1</v>
      </c>
      <c r="I382" s="5">
        <f t="shared" si="24"/>
        <v>1</v>
      </c>
    </row>
    <row r="383" spans="1:9">
      <c r="A383">
        <v>382</v>
      </c>
      <c r="B383">
        <v>6</v>
      </c>
      <c r="C383">
        <v>5000</v>
      </c>
      <c r="D383">
        <v>4207</v>
      </c>
      <c r="E383" s="5">
        <f t="shared" si="21"/>
        <v>793</v>
      </c>
      <c r="F383" s="5">
        <f t="shared" si="22"/>
        <v>628849</v>
      </c>
      <c r="G383" s="6">
        <f>SQRT(SUM($F$2:F383)/A383)</f>
        <v>1099.6095630265665</v>
      </c>
      <c r="H383" s="5">
        <f t="shared" si="23"/>
        <v>1</v>
      </c>
      <c r="I383" s="5">
        <f t="shared" si="24"/>
        <v>0</v>
      </c>
    </row>
    <row r="384" spans="1:9">
      <c r="A384">
        <v>383</v>
      </c>
      <c r="B384">
        <v>7</v>
      </c>
      <c r="C384">
        <v>5000</v>
      </c>
      <c r="D384">
        <v>5630</v>
      </c>
      <c r="E384" s="5">
        <f t="shared" si="21"/>
        <v>630</v>
      </c>
      <c r="F384" s="5">
        <f t="shared" si="22"/>
        <v>396900</v>
      </c>
      <c r="G384" s="6">
        <f>SQRT(SUM($F$2:F384)/A384)</f>
        <v>1098.644827466575</v>
      </c>
      <c r="H384" s="5">
        <f t="shared" si="23"/>
        <v>1</v>
      </c>
      <c r="I384" s="5">
        <f t="shared" si="24"/>
        <v>0</v>
      </c>
    </row>
    <row r="385" spans="1:9">
      <c r="A385">
        <v>384</v>
      </c>
      <c r="B385">
        <v>6</v>
      </c>
      <c r="C385">
        <v>5000</v>
      </c>
      <c r="D385">
        <v>5300</v>
      </c>
      <c r="E385" s="5">
        <f t="shared" si="21"/>
        <v>300</v>
      </c>
      <c r="F385" s="5">
        <f t="shared" si="22"/>
        <v>90000</v>
      </c>
      <c r="G385" s="6">
        <f>SQRT(SUM($F$2:F385)/A385)</f>
        <v>1097.3201672616642</v>
      </c>
      <c r="H385" s="5">
        <f t="shared" si="23"/>
        <v>1</v>
      </c>
      <c r="I385" s="5">
        <f t="shared" si="24"/>
        <v>1</v>
      </c>
    </row>
    <row r="386" spans="1:9">
      <c r="A386">
        <v>385</v>
      </c>
      <c r="B386">
        <v>6</v>
      </c>
      <c r="C386">
        <v>5000</v>
      </c>
      <c r="D386">
        <v>4347</v>
      </c>
      <c r="E386" s="5">
        <f t="shared" si="21"/>
        <v>653</v>
      </c>
      <c r="F386" s="5">
        <f t="shared" si="22"/>
        <v>426409</v>
      </c>
      <c r="G386" s="6">
        <f>SQRT(SUM($F$2:F386)/A386)</f>
        <v>1096.399353728897</v>
      </c>
      <c r="H386" s="5">
        <f t="shared" si="23"/>
        <v>1</v>
      </c>
      <c r="I386" s="5">
        <f t="shared" si="24"/>
        <v>0</v>
      </c>
    </row>
    <row r="387" spans="1:9">
      <c r="A387">
        <v>386</v>
      </c>
      <c r="B387">
        <v>7</v>
      </c>
      <c r="C387">
        <v>5000</v>
      </c>
      <c r="D387">
        <v>5260</v>
      </c>
      <c r="E387" s="5">
        <f t="shared" ref="E387:E450" si="25">ABS(C387-D387)</f>
        <v>260</v>
      </c>
      <c r="F387" s="5">
        <f t="shared" ref="F387:F450" si="26">POWER(E387,2)</f>
        <v>67600</v>
      </c>
      <c r="G387" s="6">
        <f>SQRT(SUM($F$2:F387)/A387)</f>
        <v>1095.0581927897051</v>
      </c>
      <c r="H387" s="5">
        <f t="shared" ref="H387:H450" si="27">IF(ABS(E387)/C387&gt;0.2,0,1)</f>
        <v>1</v>
      </c>
      <c r="I387" s="5">
        <f t="shared" ref="I387:I450" si="28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5079</v>
      </c>
      <c r="E388" s="5">
        <f t="shared" si="25"/>
        <v>79</v>
      </c>
      <c r="F388" s="5">
        <f t="shared" si="26"/>
        <v>6241</v>
      </c>
      <c r="G388" s="6">
        <f>SQRT(SUM($F$2:F388)/A388)</f>
        <v>1093.6498466511589</v>
      </c>
      <c r="H388" s="5">
        <f t="shared" si="27"/>
        <v>1</v>
      </c>
      <c r="I388" s="5">
        <f t="shared" si="28"/>
        <v>1</v>
      </c>
    </row>
    <row r="389" spans="1:9">
      <c r="A389">
        <v>388</v>
      </c>
      <c r="B389">
        <v>7</v>
      </c>
      <c r="C389">
        <v>5000</v>
      </c>
      <c r="D389">
        <v>5787</v>
      </c>
      <c r="E389" s="5">
        <f t="shared" si="25"/>
        <v>787</v>
      </c>
      <c r="F389" s="5">
        <f t="shared" si="26"/>
        <v>619369</v>
      </c>
      <c r="G389" s="6">
        <f>SQRT(SUM($F$2:F389)/A389)</f>
        <v>1092.9701022122686</v>
      </c>
      <c r="H389" s="5">
        <f t="shared" si="27"/>
        <v>1</v>
      </c>
      <c r="I389" s="5">
        <f t="shared" si="28"/>
        <v>0</v>
      </c>
    </row>
    <row r="390" spans="1:9">
      <c r="A390">
        <v>389</v>
      </c>
      <c r="B390">
        <v>6</v>
      </c>
      <c r="C390">
        <v>5000</v>
      </c>
      <c r="D390">
        <v>4478</v>
      </c>
      <c r="E390" s="5">
        <f t="shared" si="25"/>
        <v>522</v>
      </c>
      <c r="F390" s="5">
        <f t="shared" si="26"/>
        <v>272484</v>
      </c>
      <c r="G390" s="6">
        <f>SQRT(SUM($F$2:F390)/A390)</f>
        <v>1091.8851625634543</v>
      </c>
      <c r="H390" s="5">
        <f t="shared" si="27"/>
        <v>1</v>
      </c>
      <c r="I390" s="5">
        <f t="shared" si="28"/>
        <v>0</v>
      </c>
    </row>
    <row r="391" spans="1:9">
      <c r="A391">
        <v>390</v>
      </c>
      <c r="B391">
        <v>7</v>
      </c>
      <c r="C391">
        <v>5000</v>
      </c>
      <c r="D391">
        <v>5711</v>
      </c>
      <c r="E391" s="5">
        <f t="shared" si="25"/>
        <v>711</v>
      </c>
      <c r="F391" s="5">
        <f t="shared" si="26"/>
        <v>505521</v>
      </c>
      <c r="G391" s="6">
        <f>SQRT(SUM($F$2:F391)/A391)</f>
        <v>1091.0785759854141</v>
      </c>
      <c r="H391" s="5">
        <f t="shared" si="27"/>
        <v>1</v>
      </c>
      <c r="I391" s="5">
        <f t="shared" si="28"/>
        <v>0</v>
      </c>
    </row>
    <row r="392" spans="1:9">
      <c r="A392">
        <v>391</v>
      </c>
      <c r="B392">
        <v>6</v>
      </c>
      <c r="C392">
        <v>5000</v>
      </c>
      <c r="D392">
        <v>4991</v>
      </c>
      <c r="E392" s="5">
        <f t="shared" si="25"/>
        <v>9</v>
      </c>
      <c r="F392" s="5">
        <f t="shared" si="26"/>
        <v>81</v>
      </c>
      <c r="G392" s="6">
        <f>SQRT(SUM($F$2:F392)/A392)</f>
        <v>1089.6825366548449</v>
      </c>
      <c r="H392" s="5">
        <f t="shared" si="27"/>
        <v>1</v>
      </c>
      <c r="I392" s="5">
        <f t="shared" si="28"/>
        <v>1</v>
      </c>
    </row>
    <row r="393" spans="1:9">
      <c r="A393">
        <v>392</v>
      </c>
      <c r="B393">
        <v>6</v>
      </c>
      <c r="C393">
        <v>5000</v>
      </c>
      <c r="D393">
        <v>5227</v>
      </c>
      <c r="E393" s="5">
        <f t="shared" si="25"/>
        <v>227</v>
      </c>
      <c r="F393" s="5">
        <f t="shared" si="26"/>
        <v>51529</v>
      </c>
      <c r="G393" s="6">
        <f>SQRT(SUM($F$2:F393)/A393)</f>
        <v>1088.3521397516708</v>
      </c>
      <c r="H393" s="5">
        <f t="shared" si="27"/>
        <v>1</v>
      </c>
      <c r="I393" s="5">
        <f t="shared" si="28"/>
        <v>1</v>
      </c>
    </row>
    <row r="394" spans="1:9">
      <c r="A394">
        <v>393</v>
      </c>
      <c r="B394">
        <v>6</v>
      </c>
      <c r="C394">
        <v>5000</v>
      </c>
      <c r="D394">
        <v>5301</v>
      </c>
      <c r="E394" s="5">
        <f t="shared" si="25"/>
        <v>301</v>
      </c>
      <c r="F394" s="5">
        <f t="shared" si="26"/>
        <v>90601</v>
      </c>
      <c r="G394" s="6">
        <f>SQRT(SUM($F$2:F394)/A394)</f>
        <v>1087.072626678779</v>
      </c>
      <c r="H394" s="5">
        <f t="shared" si="27"/>
        <v>1</v>
      </c>
      <c r="I394" s="5">
        <f t="shared" si="28"/>
        <v>1</v>
      </c>
    </row>
    <row r="395" spans="1:9">
      <c r="A395">
        <v>394</v>
      </c>
      <c r="B395">
        <v>6</v>
      </c>
      <c r="C395">
        <v>5000</v>
      </c>
      <c r="D395">
        <v>5022</v>
      </c>
      <c r="E395" s="5">
        <f t="shared" si="25"/>
        <v>22</v>
      </c>
      <c r="F395" s="5">
        <f t="shared" si="26"/>
        <v>484</v>
      </c>
      <c r="G395" s="6">
        <f>SQRT(SUM($F$2:F395)/A395)</f>
        <v>1085.6927821713116</v>
      </c>
      <c r="H395" s="5">
        <f t="shared" si="27"/>
        <v>1</v>
      </c>
      <c r="I395" s="5">
        <f t="shared" si="28"/>
        <v>1</v>
      </c>
    </row>
    <row r="396" spans="1:9">
      <c r="A396">
        <v>395</v>
      </c>
      <c r="B396">
        <v>6</v>
      </c>
      <c r="C396">
        <v>5000</v>
      </c>
      <c r="D396">
        <v>5079</v>
      </c>
      <c r="E396" s="5">
        <f t="shared" si="25"/>
        <v>79</v>
      </c>
      <c r="F396" s="5">
        <f t="shared" si="26"/>
        <v>6241</v>
      </c>
      <c r="G396" s="6">
        <f>SQRT(SUM($F$2:F396)/A396)</f>
        <v>1084.3249022644854</v>
      </c>
      <c r="H396" s="5">
        <f t="shared" si="27"/>
        <v>1</v>
      </c>
      <c r="I396" s="5">
        <f t="shared" si="28"/>
        <v>1</v>
      </c>
    </row>
    <row r="397" spans="1:9">
      <c r="A397">
        <v>396</v>
      </c>
      <c r="B397">
        <v>6</v>
      </c>
      <c r="C397">
        <v>5000</v>
      </c>
      <c r="D397">
        <v>4682</v>
      </c>
      <c r="E397" s="5">
        <f t="shared" si="25"/>
        <v>318</v>
      </c>
      <c r="F397" s="5">
        <f t="shared" si="26"/>
        <v>101124</v>
      </c>
      <c r="G397" s="6">
        <f>SQRT(SUM($F$2:F397)/A397)</f>
        <v>1083.0728346475667</v>
      </c>
      <c r="H397" s="5">
        <f t="shared" si="27"/>
        <v>1</v>
      </c>
      <c r="I397" s="5">
        <f t="shared" si="28"/>
        <v>1</v>
      </c>
    </row>
    <row r="398" spans="1:9">
      <c r="A398">
        <v>397</v>
      </c>
      <c r="B398">
        <v>7</v>
      </c>
      <c r="C398">
        <v>5000</v>
      </c>
      <c r="D398">
        <v>5794</v>
      </c>
      <c r="E398" s="5">
        <f t="shared" si="25"/>
        <v>794</v>
      </c>
      <c r="F398" s="5">
        <f t="shared" si="26"/>
        <v>630436</v>
      </c>
      <c r="G398" s="6">
        <f>SQRT(SUM($F$2:F398)/A398)</f>
        <v>1082.4416785238554</v>
      </c>
      <c r="H398" s="5">
        <f t="shared" si="27"/>
        <v>1</v>
      </c>
      <c r="I398" s="5">
        <f t="shared" si="28"/>
        <v>0</v>
      </c>
    </row>
    <row r="399" spans="1:9">
      <c r="A399">
        <v>398</v>
      </c>
      <c r="B399">
        <v>5</v>
      </c>
      <c r="C399">
        <v>5000</v>
      </c>
      <c r="D399">
        <v>4864</v>
      </c>
      <c r="E399" s="5">
        <f t="shared" si="25"/>
        <v>136</v>
      </c>
      <c r="F399" s="5">
        <f t="shared" si="26"/>
        <v>18496</v>
      </c>
      <c r="G399" s="6">
        <f>SQRT(SUM($F$2:F399)/A399)</f>
        <v>1081.1024651720136</v>
      </c>
      <c r="H399" s="5">
        <f t="shared" si="27"/>
        <v>1</v>
      </c>
      <c r="I399" s="5">
        <f t="shared" si="28"/>
        <v>1</v>
      </c>
    </row>
    <row r="400" spans="1:9">
      <c r="A400">
        <v>399</v>
      </c>
      <c r="B400">
        <v>6</v>
      </c>
      <c r="C400">
        <v>5000</v>
      </c>
      <c r="D400">
        <v>4562</v>
      </c>
      <c r="E400" s="5">
        <f t="shared" si="25"/>
        <v>438</v>
      </c>
      <c r="F400" s="5">
        <f t="shared" si="26"/>
        <v>191844</v>
      </c>
      <c r="G400" s="6">
        <f>SQRT(SUM($F$2:F400)/A400)</f>
        <v>1079.9694776620793</v>
      </c>
      <c r="H400" s="5">
        <f t="shared" si="27"/>
        <v>1</v>
      </c>
      <c r="I400" s="5">
        <f t="shared" si="28"/>
        <v>1</v>
      </c>
    </row>
    <row r="401" spans="1:9">
      <c r="A401">
        <v>400</v>
      </c>
      <c r="B401">
        <v>7</v>
      </c>
      <c r="C401">
        <v>5000</v>
      </c>
      <c r="D401">
        <v>5542</v>
      </c>
      <c r="E401" s="5">
        <f t="shared" si="25"/>
        <v>542</v>
      </c>
      <c r="F401" s="5">
        <f t="shared" si="26"/>
        <v>293764</v>
      </c>
      <c r="G401" s="6">
        <f>SQRT(SUM($F$2:F401)/A401)</f>
        <v>1078.9590573789164</v>
      </c>
      <c r="H401" s="5">
        <f t="shared" si="27"/>
        <v>1</v>
      </c>
      <c r="I401" s="5">
        <f t="shared" si="28"/>
        <v>0</v>
      </c>
    </row>
    <row r="402" spans="1:9">
      <c r="A402">
        <v>401</v>
      </c>
      <c r="B402">
        <v>1</v>
      </c>
      <c r="C402">
        <v>6000</v>
      </c>
      <c r="D402">
        <v>96</v>
      </c>
      <c r="E402" s="5">
        <f t="shared" si="25"/>
        <v>5904</v>
      </c>
      <c r="F402" s="5">
        <f t="shared" si="26"/>
        <v>34857216</v>
      </c>
      <c r="G402" s="6">
        <f>SQRT(SUM($F$2:F402)/A402)</f>
        <v>1117.2176374263695</v>
      </c>
      <c r="H402" s="5">
        <f t="shared" si="27"/>
        <v>0</v>
      </c>
      <c r="I402" s="5">
        <f t="shared" si="28"/>
        <v>0</v>
      </c>
    </row>
    <row r="403" spans="1:9">
      <c r="A403">
        <v>402</v>
      </c>
      <c r="B403">
        <v>7</v>
      </c>
      <c r="C403">
        <v>6000</v>
      </c>
      <c r="D403">
        <v>3228</v>
      </c>
      <c r="E403" s="5">
        <f t="shared" si="25"/>
        <v>2772</v>
      </c>
      <c r="F403" s="5">
        <f t="shared" si="26"/>
        <v>7683984</v>
      </c>
      <c r="G403" s="6">
        <f>SQRT(SUM($F$2:F403)/A403)</f>
        <v>1124.3596950623039</v>
      </c>
      <c r="H403" s="5">
        <f t="shared" si="27"/>
        <v>0</v>
      </c>
      <c r="I403" s="5">
        <f t="shared" si="28"/>
        <v>0</v>
      </c>
    </row>
    <row r="404" spans="1:9">
      <c r="A404">
        <v>403</v>
      </c>
      <c r="B404">
        <v>5</v>
      </c>
      <c r="C404">
        <v>6000</v>
      </c>
      <c r="D404">
        <v>2669</v>
      </c>
      <c r="E404" s="5">
        <f t="shared" si="25"/>
        <v>3331</v>
      </c>
      <c r="F404" s="5">
        <f t="shared" si="26"/>
        <v>11095561</v>
      </c>
      <c r="G404" s="6">
        <f>SQRT(SUM($F$2:F404)/A404)</f>
        <v>1135.1564643304316</v>
      </c>
      <c r="H404" s="5">
        <f t="shared" si="27"/>
        <v>0</v>
      </c>
      <c r="I404" s="5">
        <f t="shared" si="28"/>
        <v>0</v>
      </c>
    </row>
    <row r="405" spans="1:9">
      <c r="A405">
        <v>404</v>
      </c>
      <c r="B405">
        <v>6</v>
      </c>
      <c r="C405">
        <v>6000</v>
      </c>
      <c r="D405">
        <v>3305</v>
      </c>
      <c r="E405" s="5">
        <f t="shared" si="25"/>
        <v>2695</v>
      </c>
      <c r="F405" s="5">
        <f t="shared" si="26"/>
        <v>7263025</v>
      </c>
      <c r="G405" s="6">
        <f>SQRT(SUM($F$2:F405)/A405)</f>
        <v>1141.6516229646511</v>
      </c>
      <c r="H405" s="5">
        <f t="shared" si="27"/>
        <v>0</v>
      </c>
      <c r="I405" s="5">
        <f t="shared" si="28"/>
        <v>0</v>
      </c>
    </row>
    <row r="406" spans="1:9">
      <c r="A406">
        <v>405</v>
      </c>
      <c r="B406">
        <v>6</v>
      </c>
      <c r="C406">
        <v>6000</v>
      </c>
      <c r="D406">
        <v>3420</v>
      </c>
      <c r="E406" s="5">
        <f t="shared" si="25"/>
        <v>2580</v>
      </c>
      <c r="F406" s="5">
        <f t="shared" si="26"/>
        <v>6656400</v>
      </c>
      <c r="G406" s="6">
        <f>SQRT(SUM($F$2:F406)/A406)</f>
        <v>1147.4257231400456</v>
      </c>
      <c r="H406" s="5">
        <f t="shared" si="27"/>
        <v>0</v>
      </c>
      <c r="I406" s="5">
        <f t="shared" si="28"/>
        <v>0</v>
      </c>
    </row>
    <row r="407" spans="1:9">
      <c r="A407">
        <v>406</v>
      </c>
      <c r="B407">
        <v>7</v>
      </c>
      <c r="C407">
        <v>6000</v>
      </c>
      <c r="D407">
        <v>3915</v>
      </c>
      <c r="E407" s="5">
        <f t="shared" si="25"/>
        <v>2085</v>
      </c>
      <c r="F407" s="5">
        <f t="shared" si="26"/>
        <v>4347225</v>
      </c>
      <c r="G407" s="6">
        <f>SQRT(SUM($F$2:F407)/A407)</f>
        <v>1150.6738976439901</v>
      </c>
      <c r="H407" s="5">
        <f t="shared" si="27"/>
        <v>0</v>
      </c>
      <c r="I407" s="5">
        <f t="shared" si="28"/>
        <v>0</v>
      </c>
    </row>
    <row r="408" spans="1:9">
      <c r="A408">
        <v>407</v>
      </c>
      <c r="B408">
        <v>7</v>
      </c>
      <c r="C408">
        <v>6000</v>
      </c>
      <c r="D408">
        <v>4057</v>
      </c>
      <c r="E408" s="5">
        <f t="shared" si="25"/>
        <v>1943</v>
      </c>
      <c r="F408" s="5">
        <f t="shared" si="26"/>
        <v>3775249</v>
      </c>
      <c r="G408" s="6">
        <f>SQRT(SUM($F$2:F408)/A408)</f>
        <v>1153.2879170684221</v>
      </c>
      <c r="H408" s="5">
        <f t="shared" si="27"/>
        <v>0</v>
      </c>
      <c r="I408" s="5">
        <f t="shared" si="28"/>
        <v>0</v>
      </c>
    </row>
    <row r="409" spans="1:9">
      <c r="A409">
        <v>408</v>
      </c>
      <c r="B409">
        <v>7</v>
      </c>
      <c r="C409">
        <v>6000</v>
      </c>
      <c r="D409">
        <v>4507</v>
      </c>
      <c r="E409" s="5">
        <f t="shared" si="25"/>
        <v>1493</v>
      </c>
      <c r="F409" s="5">
        <f t="shared" si="26"/>
        <v>2229049</v>
      </c>
      <c r="G409" s="6">
        <f>SQRT(SUM($F$2:F409)/A409)</f>
        <v>1154.2427786895021</v>
      </c>
      <c r="H409" s="5">
        <f t="shared" si="27"/>
        <v>0</v>
      </c>
      <c r="I409" s="5">
        <f t="shared" si="28"/>
        <v>0</v>
      </c>
    </row>
    <row r="410" spans="1:9">
      <c r="A410">
        <v>409</v>
      </c>
      <c r="B410">
        <v>7</v>
      </c>
      <c r="C410">
        <v>6000</v>
      </c>
      <c r="D410">
        <v>5069</v>
      </c>
      <c r="E410" s="5">
        <f t="shared" si="25"/>
        <v>931</v>
      </c>
      <c r="F410" s="5">
        <f t="shared" si="26"/>
        <v>866761</v>
      </c>
      <c r="G410" s="6">
        <f>SQRT(SUM($F$2:F410)/A410)</f>
        <v>1153.7496317286243</v>
      </c>
      <c r="H410" s="5">
        <f t="shared" si="27"/>
        <v>1</v>
      </c>
      <c r="I410" s="5">
        <f t="shared" si="28"/>
        <v>0</v>
      </c>
    </row>
    <row r="411" spans="1:9">
      <c r="A411">
        <v>410</v>
      </c>
      <c r="B411">
        <v>7</v>
      </c>
      <c r="C411">
        <v>6000</v>
      </c>
      <c r="D411">
        <v>5232</v>
      </c>
      <c r="E411" s="5">
        <f t="shared" si="25"/>
        <v>768</v>
      </c>
      <c r="F411" s="5">
        <f t="shared" si="26"/>
        <v>589824</v>
      </c>
      <c r="G411" s="6">
        <f>SQRT(SUM($F$2:F411)/A411)</f>
        <v>1152.9657970938654</v>
      </c>
      <c r="H411" s="5">
        <f t="shared" si="27"/>
        <v>1</v>
      </c>
      <c r="I411" s="5">
        <f t="shared" si="28"/>
        <v>0</v>
      </c>
    </row>
    <row r="412" spans="1:9">
      <c r="A412">
        <v>411</v>
      </c>
      <c r="B412">
        <v>7</v>
      </c>
      <c r="C412">
        <v>6000</v>
      </c>
      <c r="D412">
        <v>5630</v>
      </c>
      <c r="E412" s="5">
        <f t="shared" si="25"/>
        <v>370</v>
      </c>
      <c r="F412" s="5">
        <f t="shared" si="26"/>
        <v>136900</v>
      </c>
      <c r="G412" s="6">
        <f>SQRT(SUM($F$2:F412)/A412)</f>
        <v>1151.7069242719949</v>
      </c>
      <c r="H412" s="5">
        <f t="shared" si="27"/>
        <v>1</v>
      </c>
      <c r="I412" s="5">
        <f t="shared" si="28"/>
        <v>1</v>
      </c>
    </row>
    <row r="413" spans="1:9">
      <c r="A413">
        <v>412</v>
      </c>
      <c r="B413">
        <v>7</v>
      </c>
      <c r="C413">
        <v>6000</v>
      </c>
      <c r="D413">
        <v>5071</v>
      </c>
      <c r="E413" s="5">
        <f t="shared" si="25"/>
        <v>929</v>
      </c>
      <c r="F413" s="5">
        <f t="shared" si="26"/>
        <v>863041</v>
      </c>
      <c r="G413" s="6">
        <f>SQRT(SUM($F$2:F413)/A413)</f>
        <v>1151.2185334029703</v>
      </c>
      <c r="H413" s="5">
        <f t="shared" si="27"/>
        <v>1</v>
      </c>
      <c r="I413" s="5">
        <f t="shared" si="28"/>
        <v>0</v>
      </c>
    </row>
    <row r="414" spans="1:9">
      <c r="A414">
        <v>413</v>
      </c>
      <c r="B414">
        <v>7</v>
      </c>
      <c r="C414">
        <v>6000</v>
      </c>
      <c r="D414">
        <v>4700</v>
      </c>
      <c r="E414" s="5">
        <f t="shared" si="25"/>
        <v>1300</v>
      </c>
      <c r="F414" s="5">
        <f t="shared" si="26"/>
        <v>1690000</v>
      </c>
      <c r="G414" s="6">
        <f>SQRT(SUM($F$2:F414)/A414)</f>
        <v>1151.6019939815894</v>
      </c>
      <c r="H414" s="5">
        <f t="shared" si="27"/>
        <v>0</v>
      </c>
      <c r="I414" s="5">
        <f t="shared" si="28"/>
        <v>0</v>
      </c>
    </row>
    <row r="415" spans="1:9">
      <c r="A415">
        <v>414</v>
      </c>
      <c r="B415">
        <v>8</v>
      </c>
      <c r="C415">
        <v>6000</v>
      </c>
      <c r="D415">
        <v>6465</v>
      </c>
      <c r="E415" s="5">
        <f t="shared" si="25"/>
        <v>465</v>
      </c>
      <c r="F415" s="5">
        <f t="shared" si="26"/>
        <v>216225</v>
      </c>
      <c r="G415" s="6">
        <f>SQRT(SUM($F$2:F415)/A415)</f>
        <v>1150.4373449002178</v>
      </c>
      <c r="H415" s="5">
        <f t="shared" si="27"/>
        <v>1</v>
      </c>
      <c r="I415" s="5">
        <f t="shared" si="28"/>
        <v>1</v>
      </c>
    </row>
    <row r="416" spans="1:9">
      <c r="A416">
        <v>415</v>
      </c>
      <c r="B416">
        <v>6</v>
      </c>
      <c r="C416">
        <v>6000</v>
      </c>
      <c r="D416">
        <v>5037</v>
      </c>
      <c r="E416" s="5">
        <f t="shared" si="25"/>
        <v>963</v>
      </c>
      <c r="F416" s="5">
        <f t="shared" si="26"/>
        <v>927369</v>
      </c>
      <c r="G416" s="6">
        <f>SQRT(SUM($F$2:F416)/A416)</f>
        <v>1150.0224073249171</v>
      </c>
      <c r="H416" s="5">
        <f t="shared" si="27"/>
        <v>1</v>
      </c>
      <c r="I416" s="5">
        <f t="shared" si="28"/>
        <v>0</v>
      </c>
    </row>
    <row r="417" spans="1:9">
      <c r="A417">
        <v>416</v>
      </c>
      <c r="B417">
        <v>8</v>
      </c>
      <c r="C417">
        <v>6000</v>
      </c>
      <c r="D417">
        <v>4868</v>
      </c>
      <c r="E417" s="5">
        <f t="shared" si="25"/>
        <v>1132</v>
      </c>
      <c r="F417" s="5">
        <f t="shared" si="26"/>
        <v>1281424</v>
      </c>
      <c r="G417" s="6">
        <f>SQRT(SUM($F$2:F417)/A417)</f>
        <v>1149.9794228928286</v>
      </c>
      <c r="H417" s="5">
        <f t="shared" si="27"/>
        <v>1</v>
      </c>
      <c r="I417" s="5">
        <f t="shared" si="28"/>
        <v>0</v>
      </c>
    </row>
    <row r="418" spans="1:9">
      <c r="A418">
        <v>417</v>
      </c>
      <c r="B418">
        <v>8</v>
      </c>
      <c r="C418">
        <v>6000</v>
      </c>
      <c r="D418">
        <v>5738</v>
      </c>
      <c r="E418" s="5">
        <f t="shared" si="25"/>
        <v>262</v>
      </c>
      <c r="F418" s="5">
        <f t="shared" si="26"/>
        <v>68644</v>
      </c>
      <c r="G418" s="6">
        <f>SQRT(SUM($F$2:F418)/A418)</f>
        <v>1148.671379311716</v>
      </c>
      <c r="H418" s="5">
        <f t="shared" si="27"/>
        <v>1</v>
      </c>
      <c r="I418" s="5">
        <f t="shared" si="28"/>
        <v>1</v>
      </c>
    </row>
    <row r="419" spans="1:9">
      <c r="A419">
        <v>418</v>
      </c>
      <c r="B419">
        <v>8</v>
      </c>
      <c r="C419">
        <v>6000</v>
      </c>
      <c r="D419">
        <v>5961</v>
      </c>
      <c r="E419" s="5">
        <f t="shared" si="25"/>
        <v>39</v>
      </c>
      <c r="F419" s="5">
        <f t="shared" si="26"/>
        <v>1521</v>
      </c>
      <c r="G419" s="6">
        <f>SQRT(SUM($F$2:F419)/A419)</f>
        <v>1147.2981335193715</v>
      </c>
      <c r="H419" s="5">
        <f t="shared" si="27"/>
        <v>1</v>
      </c>
      <c r="I419" s="5">
        <f t="shared" si="28"/>
        <v>1</v>
      </c>
    </row>
    <row r="420" spans="1:9">
      <c r="A420">
        <v>419</v>
      </c>
      <c r="B420">
        <v>7</v>
      </c>
      <c r="C420">
        <v>6000</v>
      </c>
      <c r="D420">
        <v>6102</v>
      </c>
      <c r="E420" s="5">
        <f t="shared" si="25"/>
        <v>102</v>
      </c>
      <c r="F420" s="5">
        <f t="shared" si="26"/>
        <v>10404</v>
      </c>
      <c r="G420" s="6">
        <f>SQRT(SUM($F$2:F420)/A420)</f>
        <v>1145.9390590118542</v>
      </c>
      <c r="H420" s="5">
        <f t="shared" si="27"/>
        <v>1</v>
      </c>
      <c r="I420" s="5">
        <f t="shared" si="28"/>
        <v>1</v>
      </c>
    </row>
    <row r="421" spans="1:9">
      <c r="A421">
        <v>420</v>
      </c>
      <c r="B421">
        <v>7</v>
      </c>
      <c r="C421">
        <v>6000</v>
      </c>
      <c r="D421">
        <v>5217</v>
      </c>
      <c r="E421" s="5">
        <f t="shared" si="25"/>
        <v>783</v>
      </c>
      <c r="F421" s="5">
        <f t="shared" si="26"/>
        <v>613089</v>
      </c>
      <c r="G421" s="6">
        <f>SQRT(SUM($F$2:F421)/A421)</f>
        <v>1145.2115317184648</v>
      </c>
      <c r="H421" s="5">
        <f t="shared" si="27"/>
        <v>1</v>
      </c>
      <c r="I421" s="5">
        <f t="shared" si="28"/>
        <v>0</v>
      </c>
    </row>
    <row r="422" spans="1:9">
      <c r="A422">
        <v>421</v>
      </c>
      <c r="B422">
        <v>8</v>
      </c>
      <c r="C422">
        <v>6000</v>
      </c>
      <c r="D422">
        <v>6582</v>
      </c>
      <c r="E422" s="5">
        <f t="shared" si="25"/>
        <v>582</v>
      </c>
      <c r="F422" s="5">
        <f t="shared" si="26"/>
        <v>338724</v>
      </c>
      <c r="G422" s="6">
        <f>SQRT(SUM($F$2:F422)/A422)</f>
        <v>1144.2022540179523</v>
      </c>
      <c r="H422" s="5">
        <f t="shared" si="27"/>
        <v>1</v>
      </c>
      <c r="I422" s="5">
        <f t="shared" si="28"/>
        <v>1</v>
      </c>
    </row>
    <row r="423" spans="1:9">
      <c r="A423">
        <v>422</v>
      </c>
      <c r="B423">
        <v>7</v>
      </c>
      <c r="C423">
        <v>6000</v>
      </c>
      <c r="D423">
        <v>6020</v>
      </c>
      <c r="E423" s="5">
        <f t="shared" si="25"/>
        <v>20</v>
      </c>
      <c r="F423" s="5">
        <f t="shared" si="26"/>
        <v>400</v>
      </c>
      <c r="G423" s="6">
        <f>SQRT(SUM($F$2:F423)/A423)</f>
        <v>1142.8461747527176</v>
      </c>
      <c r="H423" s="5">
        <f t="shared" si="27"/>
        <v>1</v>
      </c>
      <c r="I423" s="5">
        <f t="shared" si="28"/>
        <v>1</v>
      </c>
    </row>
    <row r="424" spans="1:9">
      <c r="A424">
        <v>423</v>
      </c>
      <c r="B424">
        <v>7</v>
      </c>
      <c r="C424">
        <v>6000</v>
      </c>
      <c r="D424">
        <v>4648</v>
      </c>
      <c r="E424" s="5">
        <f t="shared" si="25"/>
        <v>1352</v>
      </c>
      <c r="F424" s="5">
        <f t="shared" si="26"/>
        <v>1827904</v>
      </c>
      <c r="G424" s="6">
        <f>SQRT(SUM($F$2:F424)/A424)</f>
        <v>1143.3857461674984</v>
      </c>
      <c r="H424" s="5">
        <f t="shared" si="27"/>
        <v>0</v>
      </c>
      <c r="I424" s="5">
        <f t="shared" si="28"/>
        <v>0</v>
      </c>
    </row>
    <row r="425" spans="1:9">
      <c r="A425">
        <v>424</v>
      </c>
      <c r="B425">
        <v>9</v>
      </c>
      <c r="C425">
        <v>6000</v>
      </c>
      <c r="D425">
        <v>6693</v>
      </c>
      <c r="E425" s="5">
        <f t="shared" si="25"/>
        <v>693</v>
      </c>
      <c r="F425" s="5">
        <f t="shared" si="26"/>
        <v>480249</v>
      </c>
      <c r="G425" s="6">
        <f>SQRT(SUM($F$2:F425)/A425)</f>
        <v>1142.5324063361625</v>
      </c>
      <c r="H425" s="5">
        <f t="shared" si="27"/>
        <v>1</v>
      </c>
      <c r="I425" s="5">
        <f t="shared" si="28"/>
        <v>0</v>
      </c>
    </row>
    <row r="426" spans="1:9">
      <c r="A426">
        <v>425</v>
      </c>
      <c r="B426">
        <v>7</v>
      </c>
      <c r="C426">
        <v>6000</v>
      </c>
      <c r="D426">
        <v>4340</v>
      </c>
      <c r="E426" s="5">
        <f t="shared" si="25"/>
        <v>1660</v>
      </c>
      <c r="F426" s="5">
        <f t="shared" si="26"/>
        <v>2755600</v>
      </c>
      <c r="G426" s="6">
        <f>SQRT(SUM($F$2:F426)/A426)</f>
        <v>1144.0247292678907</v>
      </c>
      <c r="H426" s="5">
        <f t="shared" si="27"/>
        <v>0</v>
      </c>
      <c r="I426" s="5">
        <f t="shared" si="28"/>
        <v>0</v>
      </c>
    </row>
    <row r="427" spans="1:9">
      <c r="A427">
        <v>426</v>
      </c>
      <c r="B427">
        <v>10</v>
      </c>
      <c r="C427">
        <v>6000</v>
      </c>
      <c r="D427">
        <v>6241</v>
      </c>
      <c r="E427" s="5">
        <f t="shared" si="25"/>
        <v>241</v>
      </c>
      <c r="F427" s="5">
        <f t="shared" si="26"/>
        <v>58081</v>
      </c>
      <c r="G427" s="6">
        <f>SQRT(SUM($F$2:F427)/A427)</f>
        <v>1142.7408448540082</v>
      </c>
      <c r="H427" s="5">
        <f t="shared" si="27"/>
        <v>1</v>
      </c>
      <c r="I427" s="5">
        <f t="shared" si="28"/>
        <v>1</v>
      </c>
    </row>
    <row r="428" spans="1:9">
      <c r="A428">
        <v>427</v>
      </c>
      <c r="B428">
        <v>8</v>
      </c>
      <c r="C428">
        <v>6000</v>
      </c>
      <c r="D428">
        <v>4808</v>
      </c>
      <c r="E428" s="5">
        <f t="shared" si="25"/>
        <v>1192</v>
      </c>
      <c r="F428" s="5">
        <f t="shared" si="26"/>
        <v>1420864</v>
      </c>
      <c r="G428" s="6">
        <f>SQRT(SUM($F$2:F428)/A428)</f>
        <v>1142.8586861816277</v>
      </c>
      <c r="H428" s="5">
        <f t="shared" si="27"/>
        <v>1</v>
      </c>
      <c r="I428" s="5">
        <f t="shared" si="28"/>
        <v>0</v>
      </c>
    </row>
    <row r="429" spans="1:9">
      <c r="A429">
        <v>428</v>
      </c>
      <c r="B429">
        <v>9</v>
      </c>
      <c r="C429">
        <v>6000</v>
      </c>
      <c r="D429">
        <v>5533</v>
      </c>
      <c r="E429" s="5">
        <f t="shared" si="25"/>
        <v>467</v>
      </c>
      <c r="F429" s="5">
        <f t="shared" si="26"/>
        <v>218089</v>
      </c>
      <c r="G429" s="6">
        <f>SQRT(SUM($F$2:F429)/A429)</f>
        <v>1141.7459586581199</v>
      </c>
      <c r="H429" s="5">
        <f t="shared" si="27"/>
        <v>1</v>
      </c>
      <c r="I429" s="5">
        <f t="shared" si="28"/>
        <v>1</v>
      </c>
    </row>
    <row r="430" spans="1:9">
      <c r="A430">
        <v>429</v>
      </c>
      <c r="B430">
        <v>9</v>
      </c>
      <c r="C430">
        <v>6000</v>
      </c>
      <c r="D430">
        <v>6013</v>
      </c>
      <c r="E430" s="5">
        <f t="shared" si="25"/>
        <v>13</v>
      </c>
      <c r="F430" s="5">
        <f t="shared" si="26"/>
        <v>169</v>
      </c>
      <c r="G430" s="6">
        <f>SQRT(SUM($F$2:F430)/A430)</f>
        <v>1140.4146487552548</v>
      </c>
      <c r="H430" s="5">
        <f t="shared" si="27"/>
        <v>1</v>
      </c>
      <c r="I430" s="5">
        <f t="shared" si="28"/>
        <v>1</v>
      </c>
    </row>
    <row r="431" spans="1:9">
      <c r="A431">
        <v>430</v>
      </c>
      <c r="B431">
        <v>8</v>
      </c>
      <c r="C431">
        <v>6000</v>
      </c>
      <c r="D431">
        <v>4906</v>
      </c>
      <c r="E431" s="5">
        <f t="shared" si="25"/>
        <v>1094</v>
      </c>
      <c r="F431" s="5">
        <f t="shared" si="26"/>
        <v>1196836</v>
      </c>
      <c r="G431" s="6">
        <f>SQRT(SUM($F$2:F431)/A431)</f>
        <v>1140.3088993981023</v>
      </c>
      <c r="H431" s="5">
        <f t="shared" si="27"/>
        <v>1</v>
      </c>
      <c r="I431" s="5">
        <f t="shared" si="28"/>
        <v>0</v>
      </c>
    </row>
    <row r="432" spans="1:9">
      <c r="A432">
        <v>431</v>
      </c>
      <c r="B432">
        <v>10</v>
      </c>
      <c r="C432">
        <v>6000</v>
      </c>
      <c r="D432">
        <v>6448</v>
      </c>
      <c r="E432" s="5">
        <f t="shared" si="25"/>
        <v>448</v>
      </c>
      <c r="F432" s="5">
        <f t="shared" si="26"/>
        <v>200704</v>
      </c>
      <c r="G432" s="6">
        <f>SQRT(SUM($F$2:F432)/A432)</f>
        <v>1139.1896721129119</v>
      </c>
      <c r="H432" s="5">
        <f t="shared" si="27"/>
        <v>1</v>
      </c>
      <c r="I432" s="5">
        <f t="shared" si="28"/>
        <v>1</v>
      </c>
    </row>
    <row r="433" spans="1:9">
      <c r="A433">
        <v>432</v>
      </c>
      <c r="B433">
        <v>8</v>
      </c>
      <c r="C433">
        <v>6000</v>
      </c>
      <c r="D433">
        <v>4787</v>
      </c>
      <c r="E433" s="5">
        <f t="shared" si="25"/>
        <v>1213</v>
      </c>
      <c r="F433" s="5">
        <f t="shared" si="26"/>
        <v>1471369</v>
      </c>
      <c r="G433" s="6">
        <f>SQRT(SUM($F$2:F433)/A433)</f>
        <v>1139.366050786658</v>
      </c>
      <c r="H433" s="5">
        <f t="shared" si="27"/>
        <v>0</v>
      </c>
      <c r="I433" s="5">
        <f t="shared" si="28"/>
        <v>0</v>
      </c>
    </row>
    <row r="434" spans="1:9">
      <c r="A434">
        <v>433</v>
      </c>
      <c r="B434">
        <v>10</v>
      </c>
      <c r="C434">
        <v>6000</v>
      </c>
      <c r="D434">
        <v>6641</v>
      </c>
      <c r="E434" s="5">
        <f t="shared" si="25"/>
        <v>641</v>
      </c>
      <c r="F434" s="5">
        <f t="shared" si="26"/>
        <v>410881</v>
      </c>
      <c r="G434" s="6">
        <f>SQRT(SUM($F$2:F434)/A434)</f>
        <v>1138.4664536343653</v>
      </c>
      <c r="H434" s="5">
        <f t="shared" si="27"/>
        <v>1</v>
      </c>
      <c r="I434" s="5">
        <f t="shared" si="28"/>
        <v>0</v>
      </c>
    </row>
    <row r="435" spans="1:9">
      <c r="A435">
        <v>434</v>
      </c>
      <c r="B435">
        <v>8</v>
      </c>
      <c r="C435">
        <v>6000</v>
      </c>
      <c r="D435">
        <v>4791</v>
      </c>
      <c r="E435" s="5">
        <f t="shared" si="25"/>
        <v>1209</v>
      </c>
      <c r="F435" s="5">
        <f t="shared" si="26"/>
        <v>1461681</v>
      </c>
      <c r="G435" s="6">
        <f>SQRT(SUM($F$2:F435)/A435)</f>
        <v>1138.6339954419229</v>
      </c>
      <c r="H435" s="5">
        <f t="shared" si="27"/>
        <v>0</v>
      </c>
      <c r="I435" s="5">
        <f t="shared" si="28"/>
        <v>0</v>
      </c>
    </row>
    <row r="436" spans="1:9">
      <c r="A436">
        <v>435</v>
      </c>
      <c r="B436">
        <v>10</v>
      </c>
      <c r="C436">
        <v>6000</v>
      </c>
      <c r="D436">
        <v>6482</v>
      </c>
      <c r="E436" s="5">
        <f t="shared" si="25"/>
        <v>482</v>
      </c>
      <c r="F436" s="5">
        <f t="shared" si="26"/>
        <v>232324</v>
      </c>
      <c r="G436" s="6">
        <f>SQRT(SUM($F$2:F436)/A436)</f>
        <v>1137.5592393315196</v>
      </c>
      <c r="H436" s="5">
        <f t="shared" si="27"/>
        <v>1</v>
      </c>
      <c r="I436" s="5">
        <f t="shared" si="28"/>
        <v>1</v>
      </c>
    </row>
    <row r="437" spans="1:9">
      <c r="A437">
        <v>436</v>
      </c>
      <c r="B437">
        <v>8</v>
      </c>
      <c r="C437">
        <v>6000</v>
      </c>
      <c r="D437">
        <v>5093</v>
      </c>
      <c r="E437" s="5">
        <f t="shared" si="25"/>
        <v>907</v>
      </c>
      <c r="F437" s="5">
        <f t="shared" si="26"/>
        <v>822649</v>
      </c>
      <c r="G437" s="6">
        <f>SQRT(SUM($F$2:F437)/A437)</f>
        <v>1137.0839232984754</v>
      </c>
      <c r="H437" s="5">
        <f t="shared" si="27"/>
        <v>1</v>
      </c>
      <c r="I437" s="5">
        <f t="shared" si="28"/>
        <v>0</v>
      </c>
    </row>
    <row r="438" spans="1:9">
      <c r="A438">
        <v>437</v>
      </c>
      <c r="B438">
        <v>10</v>
      </c>
      <c r="C438">
        <v>6000</v>
      </c>
      <c r="D438">
        <v>6872</v>
      </c>
      <c r="E438" s="5">
        <f t="shared" si="25"/>
        <v>872</v>
      </c>
      <c r="F438" s="5">
        <f t="shared" si="26"/>
        <v>760384</v>
      </c>
      <c r="G438" s="6">
        <f>SQRT(SUM($F$2:F438)/A438)</f>
        <v>1136.5479046604682</v>
      </c>
      <c r="H438" s="5">
        <f t="shared" si="27"/>
        <v>1</v>
      </c>
      <c r="I438" s="5">
        <f t="shared" si="28"/>
        <v>0</v>
      </c>
    </row>
    <row r="439" spans="1:9">
      <c r="A439">
        <v>438</v>
      </c>
      <c r="B439">
        <v>8</v>
      </c>
      <c r="C439">
        <v>6000</v>
      </c>
      <c r="D439">
        <v>5141</v>
      </c>
      <c r="E439" s="5">
        <f t="shared" si="25"/>
        <v>859</v>
      </c>
      <c r="F439" s="5">
        <f t="shared" si="26"/>
        <v>737881</v>
      </c>
      <c r="G439" s="6">
        <f>SQRT(SUM($F$2:F439)/A439)</f>
        <v>1135.9914694756565</v>
      </c>
      <c r="H439" s="5">
        <f t="shared" si="27"/>
        <v>1</v>
      </c>
      <c r="I439" s="5">
        <f t="shared" si="28"/>
        <v>0</v>
      </c>
    </row>
    <row r="440" spans="1:9">
      <c r="A440">
        <v>439</v>
      </c>
      <c r="B440">
        <v>10</v>
      </c>
      <c r="C440">
        <v>6000</v>
      </c>
      <c r="D440">
        <v>6367</v>
      </c>
      <c r="E440" s="5">
        <f t="shared" si="25"/>
        <v>367</v>
      </c>
      <c r="F440" s="5">
        <f t="shared" si="26"/>
        <v>134689</v>
      </c>
      <c r="G440" s="6">
        <f>SQRT(SUM($F$2:F440)/A440)</f>
        <v>1134.8320779315791</v>
      </c>
      <c r="H440" s="5">
        <f t="shared" si="27"/>
        <v>1</v>
      </c>
      <c r="I440" s="5">
        <f t="shared" si="28"/>
        <v>1</v>
      </c>
    </row>
    <row r="441" spans="1:9">
      <c r="A441">
        <v>440</v>
      </c>
      <c r="B441">
        <v>9</v>
      </c>
      <c r="C441">
        <v>6000</v>
      </c>
      <c r="D441">
        <v>5859</v>
      </c>
      <c r="E441" s="5">
        <f t="shared" si="25"/>
        <v>141</v>
      </c>
      <c r="F441" s="5">
        <f t="shared" si="26"/>
        <v>19881</v>
      </c>
      <c r="G441" s="6">
        <f>SQRT(SUM($F$2:F441)/A441)</f>
        <v>1133.5616927911935</v>
      </c>
      <c r="H441" s="5">
        <f t="shared" si="27"/>
        <v>1</v>
      </c>
      <c r="I441" s="5">
        <f t="shared" si="28"/>
        <v>1</v>
      </c>
    </row>
    <row r="442" spans="1:9">
      <c r="A442">
        <v>441</v>
      </c>
      <c r="B442">
        <v>9</v>
      </c>
      <c r="C442">
        <v>6000</v>
      </c>
      <c r="D442">
        <v>5792</v>
      </c>
      <c r="E442" s="5">
        <f t="shared" si="25"/>
        <v>208</v>
      </c>
      <c r="F442" s="5">
        <f t="shared" si="26"/>
        <v>43264</v>
      </c>
      <c r="G442" s="6">
        <f>SQRT(SUM($F$2:F442)/A442)</f>
        <v>1132.3190669540786</v>
      </c>
      <c r="H442" s="5">
        <f t="shared" si="27"/>
        <v>1</v>
      </c>
      <c r="I442" s="5">
        <f t="shared" si="28"/>
        <v>1</v>
      </c>
    </row>
    <row r="443" spans="1:9">
      <c r="A443">
        <v>442</v>
      </c>
      <c r="B443">
        <v>9</v>
      </c>
      <c r="C443">
        <v>6000</v>
      </c>
      <c r="D443">
        <v>5736</v>
      </c>
      <c r="E443" s="5">
        <f t="shared" si="25"/>
        <v>264</v>
      </c>
      <c r="F443" s="5">
        <f t="shared" si="26"/>
        <v>69696</v>
      </c>
      <c r="G443" s="6">
        <f>SQRT(SUM($F$2:F443)/A443)</f>
        <v>1131.1071429260273</v>
      </c>
      <c r="H443" s="5">
        <f t="shared" si="27"/>
        <v>1</v>
      </c>
      <c r="I443" s="5">
        <f t="shared" si="28"/>
        <v>1</v>
      </c>
    </row>
    <row r="444" spans="1:9">
      <c r="A444">
        <v>443</v>
      </c>
      <c r="B444">
        <v>9</v>
      </c>
      <c r="C444">
        <v>6000</v>
      </c>
      <c r="D444">
        <v>6309</v>
      </c>
      <c r="E444" s="5">
        <f t="shared" si="25"/>
        <v>309</v>
      </c>
      <c r="F444" s="5">
        <f t="shared" si="26"/>
        <v>95481</v>
      </c>
      <c r="G444" s="6">
        <f>SQRT(SUM($F$2:F444)/A444)</f>
        <v>1129.9251558345848</v>
      </c>
      <c r="H444" s="5">
        <f t="shared" si="27"/>
        <v>1</v>
      </c>
      <c r="I444" s="5">
        <f t="shared" si="28"/>
        <v>1</v>
      </c>
    </row>
    <row r="445" spans="1:9">
      <c r="A445">
        <v>444</v>
      </c>
      <c r="B445">
        <v>9</v>
      </c>
      <c r="C445">
        <v>6000</v>
      </c>
      <c r="D445">
        <v>5277</v>
      </c>
      <c r="E445" s="5">
        <f t="shared" si="25"/>
        <v>723</v>
      </c>
      <c r="F445" s="5">
        <f t="shared" si="26"/>
        <v>522729</v>
      </c>
      <c r="G445" s="6">
        <f>SQRT(SUM($F$2:F445)/A445)</f>
        <v>1129.1734390275949</v>
      </c>
      <c r="H445" s="5">
        <f t="shared" si="27"/>
        <v>1</v>
      </c>
      <c r="I445" s="5">
        <f t="shared" si="28"/>
        <v>0</v>
      </c>
    </row>
    <row r="446" spans="1:9">
      <c r="A446">
        <v>445</v>
      </c>
      <c r="B446">
        <v>10</v>
      </c>
      <c r="C446">
        <v>6000</v>
      </c>
      <c r="D446">
        <v>6499</v>
      </c>
      <c r="E446" s="5">
        <f t="shared" si="25"/>
        <v>499</v>
      </c>
      <c r="F446" s="5">
        <f t="shared" si="26"/>
        <v>249001</v>
      </c>
      <c r="G446" s="6">
        <f>SQRT(SUM($F$2:F446)/A446)</f>
        <v>1128.1520138226651</v>
      </c>
      <c r="H446" s="5">
        <f t="shared" si="27"/>
        <v>1</v>
      </c>
      <c r="I446" s="5">
        <f t="shared" si="28"/>
        <v>1</v>
      </c>
    </row>
    <row r="447" spans="1:9">
      <c r="A447">
        <v>446</v>
      </c>
      <c r="B447">
        <v>9</v>
      </c>
      <c r="C447">
        <v>6000</v>
      </c>
      <c r="D447">
        <v>5773</v>
      </c>
      <c r="E447" s="5">
        <f t="shared" si="25"/>
        <v>227</v>
      </c>
      <c r="F447" s="5">
        <f t="shared" si="26"/>
        <v>51529</v>
      </c>
      <c r="G447" s="6">
        <f>SQRT(SUM($F$2:F447)/A447)</f>
        <v>1126.9378218251838</v>
      </c>
      <c r="H447" s="5">
        <f t="shared" si="27"/>
        <v>1</v>
      </c>
      <c r="I447" s="5">
        <f t="shared" si="28"/>
        <v>1</v>
      </c>
    </row>
    <row r="448" spans="1:9">
      <c r="A448">
        <v>447</v>
      </c>
      <c r="B448">
        <v>9</v>
      </c>
      <c r="C448">
        <v>6000</v>
      </c>
      <c r="D448">
        <v>5788</v>
      </c>
      <c r="E448" s="5">
        <f t="shared" si="25"/>
        <v>212</v>
      </c>
      <c r="F448" s="5">
        <f t="shared" si="26"/>
        <v>44944</v>
      </c>
      <c r="G448" s="6">
        <f>SQRT(SUM($F$2:F448)/A448)</f>
        <v>1125.72121848394</v>
      </c>
      <c r="H448" s="5">
        <f t="shared" si="27"/>
        <v>1</v>
      </c>
      <c r="I448" s="5">
        <f t="shared" si="28"/>
        <v>1</v>
      </c>
    </row>
    <row r="449" spans="1:9">
      <c r="A449">
        <v>448</v>
      </c>
      <c r="B449">
        <v>9</v>
      </c>
      <c r="C449">
        <v>6000</v>
      </c>
      <c r="D449">
        <v>5752</v>
      </c>
      <c r="E449" s="5">
        <f t="shared" si="25"/>
        <v>248</v>
      </c>
      <c r="F449" s="5">
        <f t="shared" si="26"/>
        <v>61504</v>
      </c>
      <c r="G449" s="6">
        <f>SQRT(SUM($F$2:F449)/A449)</f>
        <v>1124.5251745975149</v>
      </c>
      <c r="H449" s="5">
        <f t="shared" si="27"/>
        <v>1</v>
      </c>
      <c r="I449" s="5">
        <f t="shared" si="28"/>
        <v>1</v>
      </c>
    </row>
    <row r="450" spans="1:9">
      <c r="A450">
        <v>449</v>
      </c>
      <c r="B450">
        <v>10</v>
      </c>
      <c r="C450">
        <v>6000</v>
      </c>
      <c r="D450">
        <v>6619</v>
      </c>
      <c r="E450" s="5">
        <f t="shared" si="25"/>
        <v>619</v>
      </c>
      <c r="F450" s="5">
        <f t="shared" si="26"/>
        <v>383161</v>
      </c>
      <c r="G450" s="6">
        <f>SQRT(SUM($F$2:F450)/A450)</f>
        <v>1123.652013993807</v>
      </c>
      <c r="H450" s="5">
        <f t="shared" si="27"/>
        <v>1</v>
      </c>
      <c r="I450" s="5">
        <f t="shared" si="28"/>
        <v>0</v>
      </c>
    </row>
    <row r="451" spans="1:9">
      <c r="A451">
        <v>450</v>
      </c>
      <c r="B451">
        <v>9</v>
      </c>
      <c r="C451">
        <v>6000</v>
      </c>
      <c r="D451">
        <v>6309</v>
      </c>
      <c r="E451" s="5">
        <f t="shared" ref="E451:E514" si="29">ABS(C451-D451)</f>
        <v>309</v>
      </c>
      <c r="F451" s="5">
        <f t="shared" ref="F451:F514" si="30">POWER(E451,2)</f>
        <v>95481</v>
      </c>
      <c r="G451" s="6">
        <f>SQRT(SUM($F$2:F451)/A451)</f>
        <v>1122.4973338250938</v>
      </c>
      <c r="H451" s="5">
        <f t="shared" ref="H451:H514" si="31">IF(ABS(E451)/C451&gt;0.2,0,1)</f>
        <v>1</v>
      </c>
      <c r="I451" s="5">
        <f t="shared" ref="I451:I514" si="32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5838</v>
      </c>
      <c r="E452" s="5">
        <f t="shared" si="29"/>
        <v>162</v>
      </c>
      <c r="F452" s="5">
        <f t="shared" si="30"/>
        <v>26244</v>
      </c>
      <c r="G452" s="6">
        <f>SQRT(SUM($F$2:F452)/A452)</f>
        <v>1121.2781380956178</v>
      </c>
      <c r="H452" s="5">
        <f t="shared" si="31"/>
        <v>1</v>
      </c>
      <c r="I452" s="5">
        <f t="shared" si="32"/>
        <v>1</v>
      </c>
    </row>
    <row r="453" spans="1:9">
      <c r="A453">
        <v>452</v>
      </c>
      <c r="B453">
        <v>9</v>
      </c>
      <c r="C453">
        <v>6000</v>
      </c>
      <c r="D453">
        <v>5868</v>
      </c>
      <c r="E453" s="5">
        <f t="shared" si="29"/>
        <v>132</v>
      </c>
      <c r="F453" s="5">
        <f t="shared" si="30"/>
        <v>17424</v>
      </c>
      <c r="G453" s="6">
        <f>SQRT(SUM($F$2:F453)/A453)</f>
        <v>1120.0543079042495</v>
      </c>
      <c r="H453" s="5">
        <f t="shared" si="31"/>
        <v>1</v>
      </c>
      <c r="I453" s="5">
        <f t="shared" si="32"/>
        <v>1</v>
      </c>
    </row>
    <row r="454" spans="1:9">
      <c r="A454">
        <v>453</v>
      </c>
      <c r="B454">
        <v>9</v>
      </c>
      <c r="C454">
        <v>6000</v>
      </c>
      <c r="D454">
        <v>5716</v>
      </c>
      <c r="E454" s="5">
        <f t="shared" si="29"/>
        <v>284</v>
      </c>
      <c r="F454" s="5">
        <f t="shared" si="30"/>
        <v>80656</v>
      </c>
      <c r="G454" s="6">
        <f>SQRT(SUM($F$2:F454)/A454)</f>
        <v>1118.8969290101497</v>
      </c>
      <c r="H454" s="5">
        <f t="shared" si="31"/>
        <v>1</v>
      </c>
      <c r="I454" s="5">
        <f t="shared" si="32"/>
        <v>1</v>
      </c>
    </row>
    <row r="455" spans="1:9">
      <c r="A455">
        <v>454</v>
      </c>
      <c r="B455">
        <v>10</v>
      </c>
      <c r="C455">
        <v>6000</v>
      </c>
      <c r="D455">
        <v>6467</v>
      </c>
      <c r="E455" s="5">
        <f t="shared" si="29"/>
        <v>467</v>
      </c>
      <c r="F455" s="5">
        <f t="shared" si="30"/>
        <v>218089</v>
      </c>
      <c r="G455" s="6">
        <f>SQRT(SUM($F$2:F455)/A455)</f>
        <v>1117.8788638242615</v>
      </c>
      <c r="H455" s="5">
        <f t="shared" si="31"/>
        <v>1</v>
      </c>
      <c r="I455" s="5">
        <f t="shared" si="32"/>
        <v>1</v>
      </c>
    </row>
    <row r="456" spans="1:9">
      <c r="A456">
        <v>455</v>
      </c>
      <c r="B456">
        <v>9</v>
      </c>
      <c r="C456">
        <v>6000</v>
      </c>
      <c r="D456">
        <v>5635</v>
      </c>
      <c r="E456" s="5">
        <f t="shared" si="29"/>
        <v>365</v>
      </c>
      <c r="F456" s="5">
        <f t="shared" si="30"/>
        <v>133225</v>
      </c>
      <c r="G456" s="6">
        <f>SQRT(SUM($F$2:F456)/A456)</f>
        <v>1116.7808495555723</v>
      </c>
      <c r="H456" s="5">
        <f t="shared" si="31"/>
        <v>1</v>
      </c>
      <c r="I456" s="5">
        <f t="shared" si="32"/>
        <v>1</v>
      </c>
    </row>
    <row r="457" spans="1:9">
      <c r="A457">
        <v>456</v>
      </c>
      <c r="B457">
        <v>10</v>
      </c>
      <c r="C457">
        <v>6000</v>
      </c>
      <c r="D457">
        <v>6638</v>
      </c>
      <c r="E457" s="5">
        <f t="shared" si="29"/>
        <v>638</v>
      </c>
      <c r="F457" s="5">
        <f t="shared" si="30"/>
        <v>407044</v>
      </c>
      <c r="G457" s="6">
        <f>SQRT(SUM($F$2:F457)/A457)</f>
        <v>1115.9556531228479</v>
      </c>
      <c r="H457" s="5">
        <f t="shared" si="31"/>
        <v>1</v>
      </c>
      <c r="I457" s="5">
        <f t="shared" si="32"/>
        <v>0</v>
      </c>
    </row>
    <row r="458" spans="1:9">
      <c r="A458">
        <v>457</v>
      </c>
      <c r="B458">
        <v>9</v>
      </c>
      <c r="C458">
        <v>6000</v>
      </c>
      <c r="D458">
        <v>5451</v>
      </c>
      <c r="E458" s="5">
        <f t="shared" si="29"/>
        <v>549</v>
      </c>
      <c r="F458" s="5">
        <f t="shared" si="30"/>
        <v>301401</v>
      </c>
      <c r="G458" s="6">
        <f>SQRT(SUM($F$2:F458)/A458)</f>
        <v>1115.0298069825392</v>
      </c>
      <c r="H458" s="5">
        <f t="shared" si="31"/>
        <v>1</v>
      </c>
      <c r="I458" s="5">
        <f t="shared" si="32"/>
        <v>1</v>
      </c>
    </row>
    <row r="459" spans="1:9">
      <c r="A459">
        <v>458</v>
      </c>
      <c r="B459">
        <v>10</v>
      </c>
      <c r="C459">
        <v>6000</v>
      </c>
      <c r="D459">
        <v>6178</v>
      </c>
      <c r="E459" s="5">
        <f t="shared" si="29"/>
        <v>178</v>
      </c>
      <c r="F459" s="5">
        <f t="shared" si="30"/>
        <v>31684</v>
      </c>
      <c r="G459" s="6">
        <f>SQRT(SUM($F$2:F459)/A459)</f>
        <v>1113.8429150025195</v>
      </c>
      <c r="H459" s="5">
        <f t="shared" si="31"/>
        <v>1</v>
      </c>
      <c r="I459" s="5">
        <f t="shared" si="32"/>
        <v>1</v>
      </c>
    </row>
    <row r="460" spans="1:9">
      <c r="A460">
        <v>459</v>
      </c>
      <c r="B460">
        <v>9</v>
      </c>
      <c r="C460">
        <v>6000</v>
      </c>
      <c r="D460">
        <v>5234</v>
      </c>
      <c r="E460" s="5">
        <f t="shared" si="29"/>
        <v>766</v>
      </c>
      <c r="F460" s="5">
        <f t="shared" si="30"/>
        <v>586756</v>
      </c>
      <c r="G460" s="6">
        <f>SQRT(SUM($F$2:F460)/A460)</f>
        <v>1113.2032349332242</v>
      </c>
      <c r="H460" s="5">
        <f t="shared" si="31"/>
        <v>1</v>
      </c>
      <c r="I460" s="5">
        <f t="shared" si="32"/>
        <v>0</v>
      </c>
    </row>
    <row r="461" spans="1:9">
      <c r="A461">
        <v>460</v>
      </c>
      <c r="B461">
        <v>10</v>
      </c>
      <c r="C461">
        <v>6000</v>
      </c>
      <c r="D461">
        <v>5412</v>
      </c>
      <c r="E461" s="5">
        <f t="shared" si="29"/>
        <v>588</v>
      </c>
      <c r="F461" s="5">
        <f t="shared" si="30"/>
        <v>345744</v>
      </c>
      <c r="G461" s="6">
        <f>SQRT(SUM($F$2:F461)/A461)</f>
        <v>1112.3304814667267</v>
      </c>
      <c r="H461" s="5">
        <f t="shared" si="31"/>
        <v>1</v>
      </c>
      <c r="I461" s="5">
        <f t="shared" si="32"/>
        <v>1</v>
      </c>
    </row>
    <row r="462" spans="1:9">
      <c r="A462">
        <v>461</v>
      </c>
      <c r="B462">
        <v>10</v>
      </c>
      <c r="C462">
        <v>6000</v>
      </c>
      <c r="D462">
        <v>3731</v>
      </c>
      <c r="E462" s="5">
        <f t="shared" si="29"/>
        <v>2269</v>
      </c>
      <c r="F462" s="5">
        <f t="shared" si="30"/>
        <v>5148361</v>
      </c>
      <c r="G462" s="6">
        <f>SQRT(SUM($F$2:F462)/A462)</f>
        <v>1116.1375402148203</v>
      </c>
      <c r="H462" s="5">
        <f t="shared" si="31"/>
        <v>0</v>
      </c>
      <c r="I462" s="5">
        <f t="shared" si="32"/>
        <v>0</v>
      </c>
    </row>
    <row r="463" spans="1:9">
      <c r="A463">
        <v>462</v>
      </c>
      <c r="B463">
        <v>12</v>
      </c>
      <c r="C463">
        <v>6000</v>
      </c>
      <c r="D463">
        <v>7607</v>
      </c>
      <c r="E463" s="5">
        <f t="shared" si="29"/>
        <v>1607</v>
      </c>
      <c r="F463" s="5">
        <f t="shared" si="30"/>
        <v>2582449</v>
      </c>
      <c r="G463" s="6">
        <f>SQRT(SUM($F$2:F463)/A463)</f>
        <v>1117.4328921229535</v>
      </c>
      <c r="H463" s="5">
        <f t="shared" si="31"/>
        <v>0</v>
      </c>
      <c r="I463" s="5">
        <f t="shared" si="32"/>
        <v>0</v>
      </c>
    </row>
    <row r="464" spans="1:9">
      <c r="A464">
        <v>463</v>
      </c>
      <c r="B464">
        <v>8</v>
      </c>
      <c r="C464">
        <v>6000</v>
      </c>
      <c r="D464">
        <v>4507</v>
      </c>
      <c r="E464" s="5">
        <f t="shared" si="29"/>
        <v>1493</v>
      </c>
      <c r="F464" s="5">
        <f t="shared" si="30"/>
        <v>2229049</v>
      </c>
      <c r="G464" s="6">
        <f>SQRT(SUM($F$2:F464)/A464)</f>
        <v>1118.3799655305954</v>
      </c>
      <c r="H464" s="5">
        <f t="shared" si="31"/>
        <v>0</v>
      </c>
      <c r="I464" s="5">
        <f t="shared" si="32"/>
        <v>0</v>
      </c>
    </row>
    <row r="465" spans="1:9">
      <c r="A465">
        <v>464</v>
      </c>
      <c r="B465">
        <v>11</v>
      </c>
      <c r="C465">
        <v>6000</v>
      </c>
      <c r="D465">
        <v>6139</v>
      </c>
      <c r="E465" s="5">
        <f t="shared" si="29"/>
        <v>139</v>
      </c>
      <c r="F465" s="5">
        <f t="shared" si="30"/>
        <v>19321</v>
      </c>
      <c r="G465" s="6">
        <f>SQRT(SUM($F$2:F465)/A465)</f>
        <v>1117.1928008675784</v>
      </c>
      <c r="H465" s="5">
        <f t="shared" si="31"/>
        <v>1</v>
      </c>
      <c r="I465" s="5">
        <f t="shared" si="32"/>
        <v>1</v>
      </c>
    </row>
    <row r="466" spans="1:9">
      <c r="A466">
        <v>465</v>
      </c>
      <c r="B466">
        <v>10</v>
      </c>
      <c r="C466">
        <v>6000</v>
      </c>
      <c r="D466">
        <v>6322</v>
      </c>
      <c r="E466" s="5">
        <f t="shared" si="29"/>
        <v>322</v>
      </c>
      <c r="F466" s="5">
        <f t="shared" si="30"/>
        <v>103684</v>
      </c>
      <c r="G466" s="6">
        <f>SQRT(SUM($F$2:F466)/A466)</f>
        <v>1116.090767881599</v>
      </c>
      <c r="H466" s="5">
        <f t="shared" si="31"/>
        <v>1</v>
      </c>
      <c r="I466" s="5">
        <f t="shared" si="32"/>
        <v>1</v>
      </c>
    </row>
    <row r="467" spans="1:9">
      <c r="A467">
        <v>466</v>
      </c>
      <c r="B467">
        <v>10</v>
      </c>
      <c r="C467">
        <v>6000</v>
      </c>
      <c r="D467">
        <v>6206</v>
      </c>
      <c r="E467" s="5">
        <f t="shared" si="29"/>
        <v>206</v>
      </c>
      <c r="F467" s="5">
        <f t="shared" si="30"/>
        <v>42436</v>
      </c>
      <c r="G467" s="6">
        <f>SQRT(SUM($F$2:F467)/A467)</f>
        <v>1114.9334416901943</v>
      </c>
      <c r="H467" s="5">
        <f t="shared" si="31"/>
        <v>1</v>
      </c>
      <c r="I467" s="5">
        <f t="shared" si="32"/>
        <v>1</v>
      </c>
    </row>
    <row r="468" spans="1:9">
      <c r="A468">
        <v>467</v>
      </c>
      <c r="B468">
        <v>10</v>
      </c>
      <c r="C468">
        <v>6000</v>
      </c>
      <c r="D468">
        <v>6259</v>
      </c>
      <c r="E468" s="5">
        <f t="shared" si="29"/>
        <v>259</v>
      </c>
      <c r="F468" s="5">
        <f t="shared" si="30"/>
        <v>67081</v>
      </c>
      <c r="G468" s="6">
        <f>SQRT(SUM($F$2:F468)/A468)</f>
        <v>1113.8035677714001</v>
      </c>
      <c r="H468" s="5">
        <f t="shared" si="31"/>
        <v>1</v>
      </c>
      <c r="I468" s="5">
        <f t="shared" si="32"/>
        <v>1</v>
      </c>
    </row>
    <row r="469" spans="1:9">
      <c r="A469">
        <v>468</v>
      </c>
      <c r="B469">
        <v>10</v>
      </c>
      <c r="C469">
        <v>6000</v>
      </c>
      <c r="D469">
        <v>6700</v>
      </c>
      <c r="E469" s="5">
        <f t="shared" si="29"/>
        <v>700</v>
      </c>
      <c r="F469" s="5">
        <f t="shared" si="30"/>
        <v>490000</v>
      </c>
      <c r="G469" s="6">
        <f>SQRT(SUM($F$2:F469)/A469)</f>
        <v>1113.0833887637891</v>
      </c>
      <c r="H469" s="5">
        <f t="shared" si="31"/>
        <v>1</v>
      </c>
      <c r="I469" s="5">
        <f t="shared" si="32"/>
        <v>0</v>
      </c>
    </row>
    <row r="470" spans="1:9">
      <c r="A470">
        <v>469</v>
      </c>
      <c r="B470">
        <v>9</v>
      </c>
      <c r="C470">
        <v>6000</v>
      </c>
      <c r="D470">
        <v>5744</v>
      </c>
      <c r="E470" s="5">
        <f t="shared" si="29"/>
        <v>256</v>
      </c>
      <c r="F470" s="5">
        <f t="shared" si="30"/>
        <v>65536</v>
      </c>
      <c r="G470" s="6">
        <f>SQRT(SUM($F$2:F470)/A470)</f>
        <v>1111.9589343324649</v>
      </c>
      <c r="H470" s="5">
        <f t="shared" si="31"/>
        <v>1</v>
      </c>
      <c r="I470" s="5">
        <f t="shared" si="32"/>
        <v>1</v>
      </c>
    </row>
    <row r="471" spans="1:9">
      <c r="A471">
        <v>470</v>
      </c>
      <c r="B471">
        <v>10</v>
      </c>
      <c r="C471">
        <v>6000</v>
      </c>
      <c r="D471">
        <v>6671</v>
      </c>
      <c r="E471" s="5">
        <f t="shared" si="29"/>
        <v>671</v>
      </c>
      <c r="F471" s="5">
        <f t="shared" si="30"/>
        <v>450241</v>
      </c>
      <c r="G471" s="6">
        <f>SQRT(SUM($F$2:F471)/A471)</f>
        <v>1111.2064978441513</v>
      </c>
      <c r="H471" s="5">
        <f t="shared" si="31"/>
        <v>1</v>
      </c>
      <c r="I471" s="5">
        <f t="shared" si="32"/>
        <v>0</v>
      </c>
    </row>
    <row r="472" spans="1:9">
      <c r="A472">
        <v>471</v>
      </c>
      <c r="B472">
        <v>9</v>
      </c>
      <c r="C472">
        <v>6000</v>
      </c>
      <c r="D472">
        <v>6118</v>
      </c>
      <c r="E472" s="5">
        <f t="shared" si="29"/>
        <v>118</v>
      </c>
      <c r="F472" s="5">
        <f t="shared" si="30"/>
        <v>13924</v>
      </c>
      <c r="G472" s="6">
        <f>SQRT(SUM($F$2:F472)/A472)</f>
        <v>1110.0395624249704</v>
      </c>
      <c r="H472" s="5">
        <f t="shared" si="31"/>
        <v>1</v>
      </c>
      <c r="I472" s="5">
        <f t="shared" si="32"/>
        <v>1</v>
      </c>
    </row>
    <row r="473" spans="1:9">
      <c r="A473">
        <v>472</v>
      </c>
      <c r="B473">
        <v>9</v>
      </c>
      <c r="C473">
        <v>6000</v>
      </c>
      <c r="D473">
        <v>5881</v>
      </c>
      <c r="E473" s="5">
        <f t="shared" si="29"/>
        <v>119</v>
      </c>
      <c r="F473" s="5">
        <f t="shared" si="30"/>
        <v>14161</v>
      </c>
      <c r="G473" s="6">
        <f>SQRT(SUM($F$2:F473)/A473)</f>
        <v>1108.8765778167146</v>
      </c>
      <c r="H473" s="5">
        <f t="shared" si="31"/>
        <v>1</v>
      </c>
      <c r="I473" s="5">
        <f t="shared" si="32"/>
        <v>1</v>
      </c>
    </row>
    <row r="474" spans="1:9">
      <c r="A474">
        <v>473</v>
      </c>
      <c r="B474">
        <v>10</v>
      </c>
      <c r="C474">
        <v>6000</v>
      </c>
      <c r="D474">
        <v>6040</v>
      </c>
      <c r="E474" s="5">
        <f t="shared" si="29"/>
        <v>40</v>
      </c>
      <c r="F474" s="5">
        <f t="shared" si="30"/>
        <v>1600</v>
      </c>
      <c r="G474" s="6">
        <f>SQRT(SUM($F$2:F474)/A474)</f>
        <v>1107.7053105263544</v>
      </c>
      <c r="H474" s="5">
        <f t="shared" si="31"/>
        <v>1</v>
      </c>
      <c r="I474" s="5">
        <f t="shared" si="32"/>
        <v>1</v>
      </c>
    </row>
    <row r="475" spans="1:9">
      <c r="A475">
        <v>474</v>
      </c>
      <c r="B475">
        <v>10</v>
      </c>
      <c r="C475">
        <v>6000</v>
      </c>
      <c r="D475">
        <v>5956</v>
      </c>
      <c r="E475" s="5">
        <f t="shared" si="29"/>
        <v>44</v>
      </c>
      <c r="F475" s="5">
        <f t="shared" si="30"/>
        <v>1936</v>
      </c>
      <c r="G475" s="6">
        <f>SQRT(SUM($F$2:F475)/A475)</f>
        <v>1106.538073650798</v>
      </c>
      <c r="H475" s="5">
        <f t="shared" si="31"/>
        <v>1</v>
      </c>
      <c r="I475" s="5">
        <f t="shared" si="32"/>
        <v>1</v>
      </c>
    </row>
    <row r="476" spans="1:9">
      <c r="A476">
        <v>475</v>
      </c>
      <c r="B476">
        <v>10</v>
      </c>
      <c r="C476">
        <v>6000</v>
      </c>
      <c r="D476">
        <v>6233</v>
      </c>
      <c r="E476" s="5">
        <f t="shared" si="29"/>
        <v>233</v>
      </c>
      <c r="F476" s="5">
        <f t="shared" si="30"/>
        <v>54289</v>
      </c>
      <c r="G476" s="6">
        <f>SQRT(SUM($F$2:F476)/A476)</f>
        <v>1105.4243805220833</v>
      </c>
      <c r="H476" s="5">
        <f t="shared" si="31"/>
        <v>1</v>
      </c>
      <c r="I476" s="5">
        <f t="shared" si="32"/>
        <v>1</v>
      </c>
    </row>
    <row r="477" spans="1:9">
      <c r="A477">
        <v>476</v>
      </c>
      <c r="B477">
        <v>9</v>
      </c>
      <c r="C477">
        <v>6000</v>
      </c>
      <c r="D477">
        <v>5453</v>
      </c>
      <c r="E477" s="5">
        <f t="shared" si="29"/>
        <v>547</v>
      </c>
      <c r="F477" s="5">
        <f t="shared" si="30"/>
        <v>299209</v>
      </c>
      <c r="G477" s="6">
        <f>SQRT(SUM($F$2:F477)/A477)</f>
        <v>1104.5471932429327</v>
      </c>
      <c r="H477" s="5">
        <f t="shared" si="31"/>
        <v>1</v>
      </c>
      <c r="I477" s="5">
        <f t="shared" si="32"/>
        <v>1</v>
      </c>
    </row>
    <row r="478" spans="1:9">
      <c r="A478">
        <v>477</v>
      </c>
      <c r="B478">
        <v>10</v>
      </c>
      <c r="C478">
        <v>6000</v>
      </c>
      <c r="D478">
        <v>6089</v>
      </c>
      <c r="E478" s="5">
        <f t="shared" si="29"/>
        <v>89</v>
      </c>
      <c r="F478" s="5">
        <f t="shared" si="30"/>
        <v>7921</v>
      </c>
      <c r="G478" s="6">
        <f>SQRT(SUM($F$2:F478)/A478)</f>
        <v>1103.3963044220147</v>
      </c>
      <c r="H478" s="5">
        <f t="shared" si="31"/>
        <v>1</v>
      </c>
      <c r="I478" s="5">
        <f t="shared" si="32"/>
        <v>1</v>
      </c>
    </row>
    <row r="479" spans="1:9">
      <c r="A479">
        <v>478</v>
      </c>
      <c r="B479">
        <v>10</v>
      </c>
      <c r="C479">
        <v>6000</v>
      </c>
      <c r="D479">
        <v>6358</v>
      </c>
      <c r="E479" s="5">
        <f t="shared" si="29"/>
        <v>358</v>
      </c>
      <c r="F479" s="5">
        <f t="shared" si="30"/>
        <v>128164</v>
      </c>
      <c r="G479" s="6">
        <f>SQRT(SUM($F$2:F479)/A479)</f>
        <v>1102.3631405865533</v>
      </c>
      <c r="H479" s="5">
        <f t="shared" si="31"/>
        <v>1</v>
      </c>
      <c r="I479" s="5">
        <f t="shared" si="32"/>
        <v>1</v>
      </c>
    </row>
    <row r="480" spans="1:9">
      <c r="A480">
        <v>479</v>
      </c>
      <c r="B480">
        <v>9</v>
      </c>
      <c r="C480">
        <v>6000</v>
      </c>
      <c r="D480">
        <v>6663</v>
      </c>
      <c r="E480" s="5">
        <f t="shared" si="29"/>
        <v>663</v>
      </c>
      <c r="F480" s="5">
        <f t="shared" si="30"/>
        <v>439569</v>
      </c>
      <c r="G480" s="6">
        <f>SQRT(SUM($F$2:F480)/A480)</f>
        <v>1101.6284368804359</v>
      </c>
      <c r="H480" s="5">
        <f t="shared" si="31"/>
        <v>1</v>
      </c>
      <c r="I480" s="5">
        <f t="shared" si="32"/>
        <v>0</v>
      </c>
    </row>
    <row r="481" spans="1:9">
      <c r="A481">
        <v>480</v>
      </c>
      <c r="B481">
        <v>9</v>
      </c>
      <c r="C481">
        <v>6000</v>
      </c>
      <c r="D481">
        <v>6028</v>
      </c>
      <c r="E481" s="5">
        <f t="shared" si="29"/>
        <v>28</v>
      </c>
      <c r="F481" s="5">
        <f t="shared" si="30"/>
        <v>784</v>
      </c>
      <c r="G481" s="6">
        <f>SQRT(SUM($F$2:F481)/A481)</f>
        <v>1100.4810510635791</v>
      </c>
      <c r="H481" s="5">
        <f t="shared" si="31"/>
        <v>1</v>
      </c>
      <c r="I481" s="5">
        <f t="shared" si="32"/>
        <v>1</v>
      </c>
    </row>
    <row r="482" spans="1:9">
      <c r="A482">
        <v>481</v>
      </c>
      <c r="B482">
        <v>9</v>
      </c>
      <c r="C482">
        <v>6000</v>
      </c>
      <c r="D482">
        <v>6030</v>
      </c>
      <c r="E482" s="5">
        <f t="shared" si="29"/>
        <v>30</v>
      </c>
      <c r="F482" s="5">
        <f t="shared" si="30"/>
        <v>900</v>
      </c>
      <c r="G482" s="6">
        <f>SQRT(SUM($F$2:F482)/A482)</f>
        <v>1099.3373556927925</v>
      </c>
      <c r="H482" s="5">
        <f t="shared" si="31"/>
        <v>1</v>
      </c>
      <c r="I482" s="5">
        <f t="shared" si="32"/>
        <v>1</v>
      </c>
    </row>
    <row r="483" spans="1:9">
      <c r="A483">
        <v>482</v>
      </c>
      <c r="B483">
        <v>9</v>
      </c>
      <c r="C483">
        <v>6000</v>
      </c>
      <c r="D483">
        <v>5793</v>
      </c>
      <c r="E483" s="5">
        <f t="shared" si="29"/>
        <v>207</v>
      </c>
      <c r="F483" s="5">
        <f t="shared" si="30"/>
        <v>42849</v>
      </c>
      <c r="G483" s="6">
        <f>SQRT(SUM($F$2:F483)/A483)</f>
        <v>1098.236846096725</v>
      </c>
      <c r="H483" s="5">
        <f t="shared" si="31"/>
        <v>1</v>
      </c>
      <c r="I483" s="5">
        <f t="shared" si="32"/>
        <v>1</v>
      </c>
    </row>
    <row r="484" spans="1:9">
      <c r="A484">
        <v>483</v>
      </c>
      <c r="B484">
        <v>10</v>
      </c>
      <c r="C484">
        <v>6000</v>
      </c>
      <c r="D484">
        <v>6382</v>
      </c>
      <c r="E484" s="5">
        <f t="shared" si="29"/>
        <v>382</v>
      </c>
      <c r="F484" s="5">
        <f t="shared" si="30"/>
        <v>145924</v>
      </c>
      <c r="G484" s="6">
        <f>SQRT(SUM($F$2:F484)/A484)</f>
        <v>1097.2370476411904</v>
      </c>
      <c r="H484" s="5">
        <f t="shared" si="31"/>
        <v>1</v>
      </c>
      <c r="I484" s="5">
        <f t="shared" si="32"/>
        <v>1</v>
      </c>
    </row>
    <row r="485" spans="1:9">
      <c r="A485">
        <v>484</v>
      </c>
      <c r="B485">
        <v>9</v>
      </c>
      <c r="C485">
        <v>6000</v>
      </c>
      <c r="D485">
        <v>5563</v>
      </c>
      <c r="E485" s="5">
        <f t="shared" si="29"/>
        <v>437</v>
      </c>
      <c r="F485" s="5">
        <f t="shared" si="30"/>
        <v>190969</v>
      </c>
      <c r="G485" s="6">
        <f>SQRT(SUM($F$2:F485)/A485)</f>
        <v>1096.2829223643723</v>
      </c>
      <c r="H485" s="5">
        <f t="shared" si="31"/>
        <v>1</v>
      </c>
      <c r="I485" s="5">
        <f t="shared" si="32"/>
        <v>1</v>
      </c>
    </row>
    <row r="486" spans="1:9">
      <c r="A486">
        <v>485</v>
      </c>
      <c r="B486">
        <v>10</v>
      </c>
      <c r="C486">
        <v>6000</v>
      </c>
      <c r="D486">
        <v>6740</v>
      </c>
      <c r="E486" s="5">
        <f t="shared" si="29"/>
        <v>740</v>
      </c>
      <c r="F486" s="5">
        <f t="shared" si="30"/>
        <v>547600</v>
      </c>
      <c r="G486" s="6">
        <f>SQRT(SUM($F$2:F486)/A486)</f>
        <v>1095.6675157887264</v>
      </c>
      <c r="H486" s="5">
        <f t="shared" si="31"/>
        <v>1</v>
      </c>
      <c r="I486" s="5">
        <f t="shared" si="32"/>
        <v>0</v>
      </c>
    </row>
    <row r="487" spans="1:9">
      <c r="A487">
        <v>486</v>
      </c>
      <c r="B487">
        <v>9</v>
      </c>
      <c r="C487">
        <v>6000</v>
      </c>
      <c r="D487">
        <v>6060</v>
      </c>
      <c r="E487" s="5">
        <f t="shared" si="29"/>
        <v>60</v>
      </c>
      <c r="F487" s="5">
        <f t="shared" si="30"/>
        <v>3600</v>
      </c>
      <c r="G487" s="6">
        <f>SQRT(SUM($F$2:F487)/A487)</f>
        <v>1094.5430891810856</v>
      </c>
      <c r="H487" s="5">
        <f t="shared" si="31"/>
        <v>1</v>
      </c>
      <c r="I487" s="5">
        <f t="shared" si="32"/>
        <v>1</v>
      </c>
    </row>
    <row r="488" spans="1:9">
      <c r="A488">
        <v>487</v>
      </c>
      <c r="B488">
        <v>9</v>
      </c>
      <c r="C488">
        <v>6000</v>
      </c>
      <c r="D488">
        <v>5602</v>
      </c>
      <c r="E488" s="5">
        <f t="shared" si="29"/>
        <v>398</v>
      </c>
      <c r="F488" s="5">
        <f t="shared" si="30"/>
        <v>158404</v>
      </c>
      <c r="G488" s="6">
        <f>SQRT(SUM($F$2:F488)/A488)</f>
        <v>1093.5674782878232</v>
      </c>
      <c r="H488" s="5">
        <f t="shared" si="31"/>
        <v>1</v>
      </c>
      <c r="I488" s="5">
        <f t="shared" si="32"/>
        <v>1</v>
      </c>
    </row>
    <row r="489" spans="1:9">
      <c r="A489">
        <v>488</v>
      </c>
      <c r="B489">
        <v>10</v>
      </c>
      <c r="C489">
        <v>6000</v>
      </c>
      <c r="D489">
        <v>6219</v>
      </c>
      <c r="E489" s="5">
        <f t="shared" si="29"/>
        <v>219</v>
      </c>
      <c r="F489" s="5">
        <f t="shared" si="30"/>
        <v>47961</v>
      </c>
      <c r="G489" s="6">
        <f>SQRT(SUM($F$2:F489)/A489)</f>
        <v>1092.4914262333791</v>
      </c>
      <c r="H489" s="5">
        <f t="shared" si="31"/>
        <v>1</v>
      </c>
      <c r="I489" s="5">
        <f t="shared" si="32"/>
        <v>1</v>
      </c>
    </row>
    <row r="490" spans="1:9">
      <c r="A490">
        <v>489</v>
      </c>
      <c r="B490">
        <v>9</v>
      </c>
      <c r="C490">
        <v>6000</v>
      </c>
      <c r="D490">
        <v>6167</v>
      </c>
      <c r="E490" s="5">
        <f t="shared" si="29"/>
        <v>167</v>
      </c>
      <c r="F490" s="5">
        <f t="shared" si="30"/>
        <v>27889</v>
      </c>
      <c r="G490" s="6">
        <f>SQRT(SUM($F$2:F490)/A490)</f>
        <v>1091.3999162067562</v>
      </c>
      <c r="H490" s="5">
        <f t="shared" si="31"/>
        <v>1</v>
      </c>
      <c r="I490" s="5">
        <f t="shared" si="32"/>
        <v>1</v>
      </c>
    </row>
    <row r="491" spans="1:9">
      <c r="A491">
        <v>490</v>
      </c>
      <c r="B491">
        <v>9</v>
      </c>
      <c r="C491">
        <v>6000</v>
      </c>
      <c r="D491">
        <v>6106</v>
      </c>
      <c r="E491" s="5">
        <f t="shared" si="29"/>
        <v>106</v>
      </c>
      <c r="F491" s="5">
        <f t="shared" si="30"/>
        <v>11236</v>
      </c>
      <c r="G491" s="6">
        <f>SQRT(SUM($F$2:F491)/A491)</f>
        <v>1090.2961898643198</v>
      </c>
      <c r="H491" s="5">
        <f t="shared" si="31"/>
        <v>1</v>
      </c>
      <c r="I491" s="5">
        <f t="shared" si="32"/>
        <v>1</v>
      </c>
    </row>
    <row r="492" spans="1:9">
      <c r="A492">
        <v>491</v>
      </c>
      <c r="B492">
        <v>9</v>
      </c>
      <c r="C492">
        <v>6000</v>
      </c>
      <c r="D492">
        <v>5667</v>
      </c>
      <c r="E492" s="5">
        <f t="shared" si="29"/>
        <v>333</v>
      </c>
      <c r="F492" s="5">
        <f t="shared" si="30"/>
        <v>110889</v>
      </c>
      <c r="G492" s="6">
        <f>SQRT(SUM($F$2:F492)/A492)</f>
        <v>1089.2890130592004</v>
      </c>
      <c r="H492" s="5">
        <f t="shared" si="31"/>
        <v>1</v>
      </c>
      <c r="I492" s="5">
        <f t="shared" si="32"/>
        <v>1</v>
      </c>
    </row>
    <row r="493" spans="1:9">
      <c r="A493">
        <v>492</v>
      </c>
      <c r="B493">
        <v>10</v>
      </c>
      <c r="C493">
        <v>6000</v>
      </c>
      <c r="D493">
        <v>6625</v>
      </c>
      <c r="E493" s="5">
        <f t="shared" si="29"/>
        <v>625</v>
      </c>
      <c r="F493" s="5">
        <f t="shared" si="30"/>
        <v>390625</v>
      </c>
      <c r="G493" s="6">
        <f>SQRT(SUM($F$2:F493)/A493)</f>
        <v>1088.5461952097812</v>
      </c>
      <c r="H493" s="5">
        <f t="shared" si="31"/>
        <v>1</v>
      </c>
      <c r="I493" s="5">
        <f t="shared" si="32"/>
        <v>0</v>
      </c>
    </row>
    <row r="494" spans="1:9">
      <c r="A494">
        <v>493</v>
      </c>
      <c r="B494">
        <v>9</v>
      </c>
      <c r="C494">
        <v>6000</v>
      </c>
      <c r="D494">
        <v>5604</v>
      </c>
      <c r="E494" s="5">
        <f t="shared" si="29"/>
        <v>396</v>
      </c>
      <c r="F494" s="5">
        <f t="shared" si="30"/>
        <v>156816</v>
      </c>
      <c r="G494" s="6">
        <f>SQRT(SUM($F$2:F494)/A494)</f>
        <v>1087.5878766574831</v>
      </c>
      <c r="H494" s="5">
        <f t="shared" si="31"/>
        <v>1</v>
      </c>
      <c r="I494" s="5">
        <f t="shared" si="32"/>
        <v>1</v>
      </c>
    </row>
    <row r="495" spans="1:9">
      <c r="A495">
        <v>494</v>
      </c>
      <c r="B495">
        <v>10</v>
      </c>
      <c r="C495">
        <v>6000</v>
      </c>
      <c r="D495">
        <v>6218</v>
      </c>
      <c r="E495" s="5">
        <f t="shared" si="29"/>
        <v>218</v>
      </c>
      <c r="F495" s="5">
        <f t="shared" si="30"/>
        <v>47524</v>
      </c>
      <c r="G495" s="6">
        <f>SQRT(SUM($F$2:F495)/A495)</f>
        <v>1086.5307929219546</v>
      </c>
      <c r="H495" s="5">
        <f t="shared" si="31"/>
        <v>1</v>
      </c>
      <c r="I495" s="5">
        <f t="shared" si="32"/>
        <v>1</v>
      </c>
    </row>
    <row r="496" spans="1:9">
      <c r="A496">
        <v>495</v>
      </c>
      <c r="B496">
        <v>9</v>
      </c>
      <c r="C496">
        <v>6000</v>
      </c>
      <c r="D496">
        <v>5161</v>
      </c>
      <c r="E496" s="5">
        <f t="shared" si="29"/>
        <v>839</v>
      </c>
      <c r="F496" s="5">
        <f t="shared" si="30"/>
        <v>703921</v>
      </c>
      <c r="G496" s="6">
        <f>SQRT(SUM($F$2:F496)/A496)</f>
        <v>1086.0876018019351</v>
      </c>
      <c r="H496" s="5">
        <f t="shared" si="31"/>
        <v>1</v>
      </c>
      <c r="I496" s="5">
        <f t="shared" si="32"/>
        <v>0</v>
      </c>
    </row>
    <row r="497" spans="1:9">
      <c r="A497">
        <v>496</v>
      </c>
      <c r="B497">
        <v>10</v>
      </c>
      <c r="C497">
        <v>6000</v>
      </c>
      <c r="D497">
        <v>6580</v>
      </c>
      <c r="E497" s="5">
        <f t="shared" si="29"/>
        <v>580</v>
      </c>
      <c r="F497" s="5">
        <f t="shared" si="30"/>
        <v>336400</v>
      </c>
      <c r="G497" s="6">
        <f>SQRT(SUM($F$2:F497)/A497)</f>
        <v>1085.3047067306088</v>
      </c>
      <c r="H497" s="5">
        <f t="shared" si="31"/>
        <v>1</v>
      </c>
      <c r="I497" s="5">
        <f t="shared" si="32"/>
        <v>1</v>
      </c>
    </row>
    <row r="498" spans="1:9">
      <c r="A498">
        <v>497</v>
      </c>
      <c r="B498">
        <v>9</v>
      </c>
      <c r="C498">
        <v>6000</v>
      </c>
      <c r="D498">
        <v>5322</v>
      </c>
      <c r="E498" s="5">
        <f t="shared" si="29"/>
        <v>678</v>
      </c>
      <c r="F498" s="5">
        <f t="shared" si="30"/>
        <v>459684</v>
      </c>
      <c r="G498" s="6">
        <f>SQRT(SUM($F$2:F498)/A498)</f>
        <v>1084.6387561710719</v>
      </c>
      <c r="H498" s="5">
        <f t="shared" si="31"/>
        <v>1</v>
      </c>
      <c r="I498" s="5">
        <f t="shared" si="32"/>
        <v>0</v>
      </c>
    </row>
    <row r="499" spans="1:9">
      <c r="A499">
        <v>498</v>
      </c>
      <c r="B499">
        <v>10</v>
      </c>
      <c r="C499">
        <v>6000</v>
      </c>
      <c r="D499">
        <v>6526</v>
      </c>
      <c r="E499" s="5">
        <f t="shared" si="29"/>
        <v>526</v>
      </c>
      <c r="F499" s="5">
        <f t="shared" si="30"/>
        <v>276676</v>
      </c>
      <c r="G499" s="6">
        <f>SQRT(SUM($F$2:F499)/A499)</f>
        <v>1083.8055516999266</v>
      </c>
      <c r="H499" s="5">
        <f t="shared" si="31"/>
        <v>1</v>
      </c>
      <c r="I499" s="5">
        <f t="shared" si="32"/>
        <v>1</v>
      </c>
    </row>
    <row r="500" spans="1:9">
      <c r="A500">
        <v>499</v>
      </c>
      <c r="B500">
        <v>9</v>
      </c>
      <c r="C500">
        <v>6000</v>
      </c>
      <c r="D500">
        <v>5622</v>
      </c>
      <c r="E500" s="5">
        <f t="shared" si="29"/>
        <v>378</v>
      </c>
      <c r="F500" s="5">
        <f t="shared" si="30"/>
        <v>142884</v>
      </c>
      <c r="G500" s="6">
        <f>SQRT(SUM($F$2:F500)/A500)</f>
        <v>1082.8512537164791</v>
      </c>
      <c r="H500" s="5">
        <f t="shared" si="31"/>
        <v>1</v>
      </c>
      <c r="I500" s="5">
        <f t="shared" si="32"/>
        <v>1</v>
      </c>
    </row>
    <row r="501" spans="1:9">
      <c r="A501">
        <v>500</v>
      </c>
      <c r="B501">
        <v>10</v>
      </c>
      <c r="C501">
        <v>6000</v>
      </c>
      <c r="D501">
        <v>6604</v>
      </c>
      <c r="E501" s="5">
        <f t="shared" si="29"/>
        <v>604</v>
      </c>
      <c r="F501" s="5">
        <f t="shared" si="30"/>
        <v>364816</v>
      </c>
      <c r="G501" s="6">
        <f>SQRT(SUM($F$2:F501)/A501)</f>
        <v>1082.1050485049961</v>
      </c>
      <c r="H501" s="5">
        <f t="shared" si="31"/>
        <v>1</v>
      </c>
      <c r="I501" s="5">
        <f t="shared" si="32"/>
        <v>0</v>
      </c>
    </row>
    <row r="502" spans="1:9">
      <c r="A502">
        <v>501</v>
      </c>
      <c r="B502">
        <v>9</v>
      </c>
      <c r="C502">
        <v>9000</v>
      </c>
      <c r="D502">
        <v>5755</v>
      </c>
      <c r="E502" s="5">
        <f t="shared" si="29"/>
        <v>3245</v>
      </c>
      <c r="F502" s="5">
        <f t="shared" si="30"/>
        <v>10530025</v>
      </c>
      <c r="G502" s="6">
        <f>SQRT(SUM($F$2:F502)/A502)</f>
        <v>1090.7025817134968</v>
      </c>
      <c r="H502" s="5">
        <f t="shared" si="31"/>
        <v>0</v>
      </c>
      <c r="I502" s="5">
        <f t="shared" si="32"/>
        <v>0</v>
      </c>
    </row>
    <row r="503" spans="1:9">
      <c r="A503">
        <v>502</v>
      </c>
      <c r="B503">
        <v>13</v>
      </c>
      <c r="C503">
        <v>9000</v>
      </c>
      <c r="D503">
        <v>8486</v>
      </c>
      <c r="E503" s="5">
        <f t="shared" si="29"/>
        <v>514</v>
      </c>
      <c r="F503" s="5">
        <f t="shared" si="30"/>
        <v>264196</v>
      </c>
      <c r="G503" s="6">
        <f>SQRT(SUM($F$2:F503)/A503)</f>
        <v>1089.8571573862218</v>
      </c>
      <c r="H503" s="5">
        <f t="shared" si="31"/>
        <v>1</v>
      </c>
      <c r="I503" s="5">
        <f t="shared" si="32"/>
        <v>1</v>
      </c>
    </row>
    <row r="504" spans="1:9">
      <c r="A504">
        <v>503</v>
      </c>
      <c r="B504">
        <v>11</v>
      </c>
      <c r="C504">
        <v>9000</v>
      </c>
      <c r="D504">
        <v>7086</v>
      </c>
      <c r="E504" s="5">
        <f t="shared" si="29"/>
        <v>1914</v>
      </c>
      <c r="F504" s="5">
        <f t="shared" si="30"/>
        <v>3663396</v>
      </c>
      <c r="G504" s="6">
        <f>SQRT(SUM($F$2:F504)/A504)</f>
        <v>1092.1127726343527</v>
      </c>
      <c r="H504" s="5">
        <f t="shared" si="31"/>
        <v>0</v>
      </c>
      <c r="I504" s="5">
        <f t="shared" si="32"/>
        <v>0</v>
      </c>
    </row>
    <row r="505" spans="1:9">
      <c r="A505">
        <v>504</v>
      </c>
      <c r="B505">
        <v>12</v>
      </c>
      <c r="C505">
        <v>9000</v>
      </c>
      <c r="D505">
        <v>7695</v>
      </c>
      <c r="E505" s="5">
        <f t="shared" si="29"/>
        <v>1305</v>
      </c>
      <c r="F505" s="5">
        <f t="shared" si="30"/>
        <v>1703025</v>
      </c>
      <c r="G505" s="6">
        <f>SQRT(SUM($F$2:F505)/A505)</f>
        <v>1092.5762386678502</v>
      </c>
      <c r="H505" s="5">
        <f t="shared" si="31"/>
        <v>1</v>
      </c>
      <c r="I505" s="5">
        <f t="shared" si="32"/>
        <v>0</v>
      </c>
    </row>
    <row r="506" spans="1:9">
      <c r="A506">
        <v>505</v>
      </c>
      <c r="B506">
        <v>12</v>
      </c>
      <c r="C506">
        <v>9000</v>
      </c>
      <c r="D506">
        <v>7536</v>
      </c>
      <c r="E506" s="5">
        <f t="shared" si="29"/>
        <v>1464</v>
      </c>
      <c r="F506" s="5">
        <f t="shared" si="30"/>
        <v>2143296</v>
      </c>
      <c r="G506" s="6">
        <f>SQRT(SUM($F$2:F506)/A506)</f>
        <v>1093.4364088496504</v>
      </c>
      <c r="H506" s="5">
        <f t="shared" si="31"/>
        <v>1</v>
      </c>
      <c r="I506" s="5">
        <f t="shared" si="32"/>
        <v>0</v>
      </c>
    </row>
    <row r="507" spans="1:9">
      <c r="A507">
        <v>506</v>
      </c>
      <c r="B507">
        <v>13</v>
      </c>
      <c r="C507">
        <v>9000</v>
      </c>
      <c r="D507">
        <v>8448</v>
      </c>
      <c r="E507" s="5">
        <f t="shared" si="29"/>
        <v>552</v>
      </c>
      <c r="F507" s="5">
        <f t="shared" si="30"/>
        <v>304704</v>
      </c>
      <c r="G507" s="6">
        <f>SQRT(SUM($F$2:F507)/A507)</f>
        <v>1092.6310035329507</v>
      </c>
      <c r="H507" s="5">
        <f t="shared" si="31"/>
        <v>1</v>
      </c>
      <c r="I507" s="5">
        <f t="shared" si="32"/>
        <v>1</v>
      </c>
    </row>
    <row r="508" spans="1:9">
      <c r="A508">
        <v>507</v>
      </c>
      <c r="B508">
        <v>12</v>
      </c>
      <c r="C508">
        <v>9000</v>
      </c>
      <c r="D508">
        <v>7728</v>
      </c>
      <c r="E508" s="5">
        <f t="shared" si="29"/>
        <v>1272</v>
      </c>
      <c r="F508" s="5">
        <f t="shared" si="30"/>
        <v>1617984</v>
      </c>
      <c r="G508" s="6">
        <f>SQRT(SUM($F$2:F508)/A508)</f>
        <v>1093.0137606031544</v>
      </c>
      <c r="H508" s="5">
        <f t="shared" si="31"/>
        <v>1</v>
      </c>
      <c r="I508" s="5">
        <f t="shared" si="32"/>
        <v>0</v>
      </c>
    </row>
    <row r="509" spans="1:9">
      <c r="A509">
        <v>508</v>
      </c>
      <c r="B509">
        <v>13</v>
      </c>
      <c r="C509">
        <v>9000</v>
      </c>
      <c r="D509">
        <v>8306</v>
      </c>
      <c r="E509" s="5">
        <f t="shared" si="29"/>
        <v>694</v>
      </c>
      <c r="F509" s="5">
        <f t="shared" si="30"/>
        <v>481636</v>
      </c>
      <c r="G509" s="6">
        <f>SQRT(SUM($F$2:F509)/A509)</f>
        <v>1092.3714811161565</v>
      </c>
      <c r="H509" s="5">
        <f t="shared" si="31"/>
        <v>1</v>
      </c>
      <c r="I509" s="5">
        <f t="shared" si="32"/>
        <v>1</v>
      </c>
    </row>
    <row r="510" spans="1:9">
      <c r="A510">
        <v>509</v>
      </c>
      <c r="B510">
        <v>13</v>
      </c>
      <c r="C510">
        <v>9000</v>
      </c>
      <c r="D510">
        <v>8529</v>
      </c>
      <c r="E510" s="5">
        <f t="shared" si="29"/>
        <v>471</v>
      </c>
      <c r="F510" s="5">
        <f t="shared" si="30"/>
        <v>221841</v>
      </c>
      <c r="G510" s="6">
        <f>SQRT(SUM($F$2:F510)/A510)</f>
        <v>1091.4975662508969</v>
      </c>
      <c r="H510" s="5">
        <f t="shared" si="31"/>
        <v>1</v>
      </c>
      <c r="I510" s="5">
        <f t="shared" si="32"/>
        <v>1</v>
      </c>
    </row>
    <row r="511" spans="1:9">
      <c r="A511">
        <v>510</v>
      </c>
      <c r="B511">
        <v>13</v>
      </c>
      <c r="C511">
        <v>9000</v>
      </c>
      <c r="D511">
        <v>7992</v>
      </c>
      <c r="E511" s="5">
        <f t="shared" si="29"/>
        <v>1008</v>
      </c>
      <c r="F511" s="5">
        <f t="shared" si="30"/>
        <v>1016064</v>
      </c>
      <c r="G511" s="6">
        <f>SQRT(SUM($F$2:F511)/A511)</f>
        <v>1091.3400963413528</v>
      </c>
      <c r="H511" s="5">
        <f t="shared" si="31"/>
        <v>1</v>
      </c>
      <c r="I511" s="5">
        <f t="shared" si="32"/>
        <v>0</v>
      </c>
    </row>
    <row r="512" spans="1:9">
      <c r="A512">
        <v>511</v>
      </c>
      <c r="B512">
        <v>13</v>
      </c>
      <c r="C512">
        <v>9000</v>
      </c>
      <c r="D512">
        <v>8112</v>
      </c>
      <c r="E512" s="5">
        <f t="shared" si="29"/>
        <v>888</v>
      </c>
      <c r="F512" s="5">
        <f t="shared" si="30"/>
        <v>788544</v>
      </c>
      <c r="G512" s="6">
        <f>SQRT(SUM($F$2:F512)/A512)</f>
        <v>1090.9791819014997</v>
      </c>
      <c r="H512" s="5">
        <f t="shared" si="31"/>
        <v>1</v>
      </c>
      <c r="I512" s="5">
        <f t="shared" si="32"/>
        <v>1</v>
      </c>
    </row>
    <row r="513" spans="1:9">
      <c r="A513">
        <v>512</v>
      </c>
      <c r="B513">
        <v>13</v>
      </c>
      <c r="C513">
        <v>9000</v>
      </c>
      <c r="D513">
        <v>8103</v>
      </c>
      <c r="E513" s="5">
        <f t="shared" si="29"/>
        <v>897</v>
      </c>
      <c r="F513" s="5">
        <f t="shared" si="30"/>
        <v>804609</v>
      </c>
      <c r="G513" s="6">
        <f>SQRT(SUM($F$2:F513)/A513)</f>
        <v>1090.6339433730732</v>
      </c>
      <c r="H513" s="5">
        <f t="shared" si="31"/>
        <v>1</v>
      </c>
      <c r="I513" s="5">
        <f t="shared" si="32"/>
        <v>1</v>
      </c>
    </row>
    <row r="514" spans="1:9">
      <c r="A514">
        <v>513</v>
      </c>
      <c r="B514">
        <v>14</v>
      </c>
      <c r="C514">
        <v>9000</v>
      </c>
      <c r="D514">
        <v>8903</v>
      </c>
      <c r="E514" s="5">
        <f t="shared" si="29"/>
        <v>97</v>
      </c>
      <c r="F514" s="5">
        <f t="shared" si="30"/>
        <v>9409</v>
      </c>
      <c r="G514" s="6">
        <f>SQRT(SUM($F$2:F514)/A514)</f>
        <v>1089.5788454393055</v>
      </c>
      <c r="H514" s="5">
        <f t="shared" si="31"/>
        <v>1</v>
      </c>
      <c r="I514" s="5">
        <f t="shared" si="32"/>
        <v>1</v>
      </c>
    </row>
    <row r="515" spans="1:9">
      <c r="A515">
        <v>514</v>
      </c>
      <c r="B515">
        <v>13</v>
      </c>
      <c r="C515">
        <v>9000</v>
      </c>
      <c r="D515">
        <v>8425</v>
      </c>
      <c r="E515" s="5">
        <f t="shared" ref="E515:E578" si="33">ABS(C515-D515)</f>
        <v>575</v>
      </c>
      <c r="F515" s="5">
        <f t="shared" ref="F515:F578" si="34">POWER(E515,2)</f>
        <v>330625</v>
      </c>
      <c r="G515" s="6">
        <f>SQRT(SUM($F$2:F515)/A515)</f>
        <v>1088.813853238418</v>
      </c>
      <c r="H515" s="5">
        <f t="shared" ref="H515:H578" si="35">IF(ABS(E515)/C515&gt;0.2,0,1)</f>
        <v>1</v>
      </c>
      <c r="I515" s="5">
        <f t="shared" ref="I515:I578" si="36">IF(ABS(E515)/C515&gt;0.1,0,1)</f>
        <v>1</v>
      </c>
    </row>
    <row r="516" spans="1:9">
      <c r="A516">
        <v>515</v>
      </c>
      <c r="B516">
        <v>14</v>
      </c>
      <c r="C516">
        <v>9000</v>
      </c>
      <c r="D516">
        <v>8739</v>
      </c>
      <c r="E516" s="5">
        <f t="shared" si="33"/>
        <v>261</v>
      </c>
      <c r="F516" s="5">
        <f t="shared" si="34"/>
        <v>68121</v>
      </c>
      <c r="G516" s="6">
        <f>SQRT(SUM($F$2:F516)/A516)</f>
        <v>1087.8170382641854</v>
      </c>
      <c r="H516" s="5">
        <f t="shared" si="35"/>
        <v>1</v>
      </c>
      <c r="I516" s="5">
        <f t="shared" si="36"/>
        <v>1</v>
      </c>
    </row>
    <row r="517" spans="1:9">
      <c r="A517">
        <v>516</v>
      </c>
      <c r="B517">
        <v>13</v>
      </c>
      <c r="C517">
        <v>9000</v>
      </c>
      <c r="D517">
        <v>8367</v>
      </c>
      <c r="E517" s="5">
        <f t="shared" si="33"/>
        <v>633</v>
      </c>
      <c r="F517" s="5">
        <f t="shared" si="34"/>
        <v>400689</v>
      </c>
      <c r="G517" s="6">
        <f>SQRT(SUM($F$2:F517)/A517)</f>
        <v>1087.1196492488514</v>
      </c>
      <c r="H517" s="5">
        <f t="shared" si="35"/>
        <v>1</v>
      </c>
      <c r="I517" s="5">
        <f t="shared" si="36"/>
        <v>1</v>
      </c>
    </row>
    <row r="518" spans="1:9">
      <c r="A518">
        <v>517</v>
      </c>
      <c r="B518">
        <v>14</v>
      </c>
      <c r="C518">
        <v>9000</v>
      </c>
      <c r="D518">
        <v>8745</v>
      </c>
      <c r="E518" s="5">
        <f t="shared" si="33"/>
        <v>255</v>
      </c>
      <c r="F518" s="5">
        <f t="shared" si="34"/>
        <v>65025</v>
      </c>
      <c r="G518" s="6">
        <f>SQRT(SUM($F$2:F518)/A518)</f>
        <v>1086.1256690881698</v>
      </c>
      <c r="H518" s="5">
        <f t="shared" si="35"/>
        <v>1</v>
      </c>
      <c r="I518" s="5">
        <f t="shared" si="36"/>
        <v>1</v>
      </c>
    </row>
    <row r="519" spans="1:9">
      <c r="A519">
        <v>518</v>
      </c>
      <c r="B519">
        <v>14</v>
      </c>
      <c r="C519">
        <v>9000</v>
      </c>
      <c r="D519">
        <v>8719</v>
      </c>
      <c r="E519" s="5">
        <f t="shared" si="33"/>
        <v>281</v>
      </c>
      <c r="F519" s="5">
        <f t="shared" si="34"/>
        <v>78961</v>
      </c>
      <c r="G519" s="6">
        <f>SQRT(SUM($F$2:F519)/A519)</f>
        <v>1085.1470177782594</v>
      </c>
      <c r="H519" s="5">
        <f t="shared" si="35"/>
        <v>1</v>
      </c>
      <c r="I519" s="5">
        <f t="shared" si="36"/>
        <v>1</v>
      </c>
    </row>
    <row r="520" spans="1:9">
      <c r="A520">
        <v>519</v>
      </c>
      <c r="B520">
        <v>14</v>
      </c>
      <c r="C520">
        <v>9000</v>
      </c>
      <c r="D520">
        <v>6992</v>
      </c>
      <c r="E520" s="5">
        <f t="shared" si="33"/>
        <v>2008</v>
      </c>
      <c r="F520" s="5">
        <f t="shared" si="34"/>
        <v>4032064</v>
      </c>
      <c r="G520" s="6">
        <f>SQRT(SUM($F$2:F520)/A520)</f>
        <v>1087.6783019955783</v>
      </c>
      <c r="H520" s="5">
        <f t="shared" si="35"/>
        <v>0</v>
      </c>
      <c r="I520" s="5">
        <f t="shared" si="36"/>
        <v>0</v>
      </c>
    </row>
    <row r="521" spans="1:9">
      <c r="A521">
        <v>520</v>
      </c>
      <c r="B521">
        <v>16</v>
      </c>
      <c r="C521">
        <v>9000</v>
      </c>
      <c r="D521">
        <v>5857</v>
      </c>
      <c r="E521" s="5">
        <f t="shared" si="33"/>
        <v>3143</v>
      </c>
      <c r="F521" s="5">
        <f t="shared" si="34"/>
        <v>9878449</v>
      </c>
      <c r="G521" s="6">
        <f>SQRT(SUM($F$2:F521)/A521)</f>
        <v>1095.3383135606305</v>
      </c>
      <c r="H521" s="5">
        <f t="shared" si="35"/>
        <v>0</v>
      </c>
      <c r="I521" s="5">
        <f t="shared" si="36"/>
        <v>0</v>
      </c>
    </row>
    <row r="522" spans="1:9">
      <c r="A522">
        <v>521</v>
      </c>
      <c r="B522">
        <v>17</v>
      </c>
      <c r="C522">
        <v>9000</v>
      </c>
      <c r="D522">
        <v>4189</v>
      </c>
      <c r="E522" s="5">
        <f t="shared" si="33"/>
        <v>4811</v>
      </c>
      <c r="F522" s="5">
        <f t="shared" si="34"/>
        <v>23145721</v>
      </c>
      <c r="G522" s="6">
        <f>SQRT(SUM($F$2:F522)/A522)</f>
        <v>1114.4006350643658</v>
      </c>
      <c r="H522" s="5">
        <f t="shared" si="35"/>
        <v>0</v>
      </c>
      <c r="I522" s="5">
        <f t="shared" si="36"/>
        <v>0</v>
      </c>
    </row>
    <row r="523" spans="1:9">
      <c r="A523">
        <v>522</v>
      </c>
      <c r="B523">
        <v>20</v>
      </c>
      <c r="C523">
        <v>9000</v>
      </c>
      <c r="D523">
        <v>8199</v>
      </c>
      <c r="E523" s="5">
        <f t="shared" si="33"/>
        <v>801</v>
      </c>
      <c r="F523" s="5">
        <f t="shared" si="34"/>
        <v>641601</v>
      </c>
      <c r="G523" s="6">
        <f>SQRT(SUM($F$2:F523)/A523)</f>
        <v>1113.8845536457425</v>
      </c>
      <c r="H523" s="5">
        <f t="shared" si="35"/>
        <v>1</v>
      </c>
      <c r="I523" s="5">
        <f t="shared" si="36"/>
        <v>1</v>
      </c>
    </row>
    <row r="524" spans="1:9">
      <c r="A524">
        <v>523</v>
      </c>
      <c r="B524">
        <v>17</v>
      </c>
      <c r="C524">
        <v>9000</v>
      </c>
      <c r="D524">
        <v>9469</v>
      </c>
      <c r="E524" s="5">
        <f t="shared" si="33"/>
        <v>469</v>
      </c>
      <c r="F524" s="5">
        <f t="shared" si="34"/>
        <v>219961</v>
      </c>
      <c r="G524" s="6">
        <f>SQRT(SUM($F$2:F524)/A524)</f>
        <v>1113.0080973903994</v>
      </c>
      <c r="H524" s="5">
        <f t="shared" si="35"/>
        <v>1</v>
      </c>
      <c r="I524" s="5">
        <f t="shared" si="36"/>
        <v>1</v>
      </c>
    </row>
    <row r="525" spans="1:9">
      <c r="A525">
        <v>524</v>
      </c>
      <c r="B525">
        <v>16</v>
      </c>
      <c r="C525">
        <v>9000</v>
      </c>
      <c r="D525">
        <v>9179</v>
      </c>
      <c r="E525" s="5">
        <f t="shared" si="33"/>
        <v>179</v>
      </c>
      <c r="F525" s="5">
        <f t="shared" si="34"/>
        <v>32041</v>
      </c>
      <c r="G525" s="6">
        <f>SQRT(SUM($F$2:F525)/A525)</f>
        <v>1111.9730547218674</v>
      </c>
      <c r="H525" s="5">
        <f t="shared" si="35"/>
        <v>1</v>
      </c>
      <c r="I525" s="5">
        <f t="shared" si="36"/>
        <v>1</v>
      </c>
    </row>
    <row r="526" spans="1:9">
      <c r="A526">
        <v>525</v>
      </c>
      <c r="B526">
        <v>16</v>
      </c>
      <c r="C526">
        <v>9000</v>
      </c>
      <c r="D526">
        <v>9936</v>
      </c>
      <c r="E526" s="5">
        <f t="shared" si="33"/>
        <v>936</v>
      </c>
      <c r="F526" s="5">
        <f t="shared" si="34"/>
        <v>876096</v>
      </c>
      <c r="G526" s="6">
        <f>SQRT(SUM($F$2:F526)/A526)</f>
        <v>1111.6643472525243</v>
      </c>
      <c r="H526" s="5">
        <f t="shared" si="35"/>
        <v>1</v>
      </c>
      <c r="I526" s="5">
        <f t="shared" si="36"/>
        <v>0</v>
      </c>
    </row>
    <row r="527" spans="1:9">
      <c r="A527">
        <v>526</v>
      </c>
      <c r="B527">
        <v>15</v>
      </c>
      <c r="C527">
        <v>9000</v>
      </c>
      <c r="D527">
        <v>9254</v>
      </c>
      <c r="E527" s="5">
        <f t="shared" si="33"/>
        <v>254</v>
      </c>
      <c r="F527" s="5">
        <f t="shared" si="34"/>
        <v>64516</v>
      </c>
      <c r="G527" s="6">
        <f>SQRT(SUM($F$2:F527)/A527)</f>
        <v>1110.6623473449913</v>
      </c>
      <c r="H527" s="5">
        <f t="shared" si="35"/>
        <v>1</v>
      </c>
      <c r="I527" s="5">
        <f t="shared" si="36"/>
        <v>1</v>
      </c>
    </row>
    <row r="528" spans="1:9">
      <c r="A528">
        <v>527</v>
      </c>
      <c r="B528">
        <v>15</v>
      </c>
      <c r="C528">
        <v>9000</v>
      </c>
      <c r="D528">
        <v>8744</v>
      </c>
      <c r="E528" s="5">
        <f t="shared" si="33"/>
        <v>256</v>
      </c>
      <c r="F528" s="5">
        <f t="shared" si="34"/>
        <v>65536</v>
      </c>
      <c r="G528" s="6">
        <f>SQRT(SUM($F$2:F528)/A528)</f>
        <v>1109.6641225594508</v>
      </c>
      <c r="H528" s="5">
        <f t="shared" si="35"/>
        <v>1</v>
      </c>
      <c r="I528" s="5">
        <f t="shared" si="36"/>
        <v>1</v>
      </c>
    </row>
    <row r="529" spans="1:9">
      <c r="A529">
        <v>528</v>
      </c>
      <c r="B529">
        <v>16</v>
      </c>
      <c r="C529">
        <v>9000</v>
      </c>
      <c r="D529">
        <v>9976</v>
      </c>
      <c r="E529" s="5">
        <f t="shared" si="33"/>
        <v>976</v>
      </c>
      <c r="F529" s="5">
        <f t="shared" si="34"/>
        <v>952576</v>
      </c>
      <c r="G529" s="6">
        <f>SQRT(SUM($F$2:F529)/A529)</f>
        <v>1109.4261919473454</v>
      </c>
      <c r="H529" s="5">
        <f t="shared" si="35"/>
        <v>1</v>
      </c>
      <c r="I529" s="5">
        <f t="shared" si="36"/>
        <v>0</v>
      </c>
    </row>
    <row r="530" spans="1:9">
      <c r="A530">
        <v>529</v>
      </c>
      <c r="B530">
        <v>15</v>
      </c>
      <c r="C530">
        <v>9000</v>
      </c>
      <c r="D530">
        <v>8765</v>
      </c>
      <c r="E530" s="5">
        <f t="shared" si="33"/>
        <v>235</v>
      </c>
      <c r="F530" s="5">
        <f t="shared" si="34"/>
        <v>55225</v>
      </c>
      <c r="G530" s="6">
        <f>SQRT(SUM($F$2:F530)/A530)</f>
        <v>1108.4241815981852</v>
      </c>
      <c r="H530" s="5">
        <f t="shared" si="35"/>
        <v>1</v>
      </c>
      <c r="I530" s="5">
        <f t="shared" si="36"/>
        <v>1</v>
      </c>
    </row>
    <row r="531" spans="1:9">
      <c r="A531">
        <v>530</v>
      </c>
      <c r="B531">
        <v>16</v>
      </c>
      <c r="C531">
        <v>9000</v>
      </c>
      <c r="D531">
        <v>9593</v>
      </c>
      <c r="E531" s="5">
        <f t="shared" si="33"/>
        <v>593</v>
      </c>
      <c r="F531" s="5">
        <f t="shared" si="34"/>
        <v>351649</v>
      </c>
      <c r="G531" s="6">
        <f>SQRT(SUM($F$2:F531)/A531)</f>
        <v>1107.6775406056875</v>
      </c>
      <c r="H531" s="5">
        <f t="shared" si="35"/>
        <v>1</v>
      </c>
      <c r="I531" s="5">
        <f t="shared" si="36"/>
        <v>1</v>
      </c>
    </row>
    <row r="532" spans="1:9">
      <c r="A532">
        <v>531</v>
      </c>
      <c r="B532">
        <v>15</v>
      </c>
      <c r="C532">
        <v>9000</v>
      </c>
      <c r="D532">
        <v>9470</v>
      </c>
      <c r="E532" s="5">
        <f t="shared" si="33"/>
        <v>470</v>
      </c>
      <c r="F532" s="5">
        <f t="shared" si="34"/>
        <v>220900</v>
      </c>
      <c r="G532" s="6">
        <f>SQRT(SUM($F$2:F532)/A532)</f>
        <v>1106.821983008814</v>
      </c>
      <c r="H532" s="5">
        <f t="shared" si="35"/>
        <v>1</v>
      </c>
      <c r="I532" s="5">
        <f t="shared" si="36"/>
        <v>1</v>
      </c>
    </row>
    <row r="533" spans="1:9">
      <c r="A533">
        <v>532</v>
      </c>
      <c r="B533">
        <v>15</v>
      </c>
      <c r="C533">
        <v>9000</v>
      </c>
      <c r="D533">
        <v>8946</v>
      </c>
      <c r="E533" s="5">
        <f t="shared" si="33"/>
        <v>54</v>
      </c>
      <c r="F533" s="5">
        <f t="shared" si="34"/>
        <v>2916</v>
      </c>
      <c r="G533" s="6">
        <f>SQRT(SUM($F$2:F533)/A533)</f>
        <v>1105.7837259139965</v>
      </c>
      <c r="H533" s="5">
        <f t="shared" si="35"/>
        <v>1</v>
      </c>
      <c r="I533" s="5">
        <f t="shared" si="36"/>
        <v>1</v>
      </c>
    </row>
    <row r="534" spans="1:9">
      <c r="A534">
        <v>533</v>
      </c>
      <c r="B534">
        <v>15</v>
      </c>
      <c r="C534">
        <v>9000</v>
      </c>
      <c r="D534">
        <v>9260</v>
      </c>
      <c r="E534" s="5">
        <f t="shared" si="33"/>
        <v>260</v>
      </c>
      <c r="F534" s="5">
        <f t="shared" si="34"/>
        <v>67600</v>
      </c>
      <c r="G534" s="6">
        <f>SQRT(SUM($F$2:F534)/A534)</f>
        <v>1104.8033188574104</v>
      </c>
      <c r="H534" s="5">
        <f t="shared" si="35"/>
        <v>1</v>
      </c>
      <c r="I534" s="5">
        <f t="shared" si="36"/>
        <v>1</v>
      </c>
    </row>
    <row r="535" spans="1:9">
      <c r="A535">
        <v>534</v>
      </c>
      <c r="B535">
        <v>15</v>
      </c>
      <c r="C535">
        <v>9000</v>
      </c>
      <c r="D535">
        <v>9389</v>
      </c>
      <c r="E535" s="5">
        <f t="shared" si="33"/>
        <v>389</v>
      </c>
      <c r="F535" s="5">
        <f t="shared" si="34"/>
        <v>151321</v>
      </c>
      <c r="G535" s="6">
        <f>SQRT(SUM($F$2:F535)/A535)</f>
        <v>1103.8967326044051</v>
      </c>
      <c r="H535" s="5">
        <f t="shared" si="35"/>
        <v>1</v>
      </c>
      <c r="I535" s="5">
        <f t="shared" si="36"/>
        <v>1</v>
      </c>
    </row>
    <row r="536" spans="1:9">
      <c r="A536">
        <v>535</v>
      </c>
      <c r="B536">
        <v>15</v>
      </c>
      <c r="C536">
        <v>9000</v>
      </c>
      <c r="D536">
        <v>9736</v>
      </c>
      <c r="E536" s="5">
        <f t="shared" si="33"/>
        <v>736</v>
      </c>
      <c r="F536" s="5">
        <f t="shared" si="34"/>
        <v>541696</v>
      </c>
      <c r="G536" s="6">
        <f>SQRT(SUM($F$2:F536)/A536)</f>
        <v>1103.3235144644084</v>
      </c>
      <c r="H536" s="5">
        <f t="shared" si="35"/>
        <v>1</v>
      </c>
      <c r="I536" s="5">
        <f t="shared" si="36"/>
        <v>1</v>
      </c>
    </row>
    <row r="537" spans="1:9">
      <c r="A537">
        <v>536</v>
      </c>
      <c r="B537">
        <v>14</v>
      </c>
      <c r="C537">
        <v>9000</v>
      </c>
      <c r="D537">
        <v>8524</v>
      </c>
      <c r="E537" s="5">
        <f t="shared" si="33"/>
        <v>476</v>
      </c>
      <c r="F537" s="5">
        <f t="shared" si="34"/>
        <v>226576</v>
      </c>
      <c r="G537" s="6">
        <f>SQRT(SUM($F$2:F537)/A537)</f>
        <v>1102.4855415845529</v>
      </c>
      <c r="H537" s="5">
        <f t="shared" si="35"/>
        <v>1</v>
      </c>
      <c r="I537" s="5">
        <f t="shared" si="36"/>
        <v>1</v>
      </c>
    </row>
    <row r="538" spans="1:9">
      <c r="A538">
        <v>537</v>
      </c>
      <c r="B538">
        <v>15</v>
      </c>
      <c r="C538">
        <v>9000</v>
      </c>
      <c r="D538">
        <v>9415</v>
      </c>
      <c r="E538" s="5">
        <f t="shared" si="33"/>
        <v>415</v>
      </c>
      <c r="F538" s="5">
        <f t="shared" si="34"/>
        <v>172225</v>
      </c>
      <c r="G538" s="6">
        <f>SQRT(SUM($F$2:F538)/A538)</f>
        <v>1101.6041181600192</v>
      </c>
      <c r="H538" s="5">
        <f t="shared" si="35"/>
        <v>1</v>
      </c>
      <c r="I538" s="5">
        <f t="shared" si="36"/>
        <v>1</v>
      </c>
    </row>
    <row r="539" spans="1:9">
      <c r="A539">
        <v>538</v>
      </c>
      <c r="B539">
        <v>15</v>
      </c>
      <c r="C539">
        <v>9000</v>
      </c>
      <c r="D539">
        <v>9723</v>
      </c>
      <c r="E539" s="5">
        <f t="shared" si="33"/>
        <v>723</v>
      </c>
      <c r="F539" s="5">
        <f t="shared" si="34"/>
        <v>522729</v>
      </c>
      <c r="G539" s="6">
        <f>SQRT(SUM($F$2:F539)/A539)</f>
        <v>1101.0211684535859</v>
      </c>
      <c r="H539" s="5">
        <f t="shared" si="35"/>
        <v>1</v>
      </c>
      <c r="I539" s="5">
        <f t="shared" si="36"/>
        <v>1</v>
      </c>
    </row>
    <row r="540" spans="1:9">
      <c r="A540">
        <v>539</v>
      </c>
      <c r="B540">
        <v>14</v>
      </c>
      <c r="C540">
        <v>9000</v>
      </c>
      <c r="D540">
        <v>8727</v>
      </c>
      <c r="E540" s="5">
        <f t="shared" si="33"/>
        <v>273</v>
      </c>
      <c r="F540" s="5">
        <f t="shared" si="34"/>
        <v>74529</v>
      </c>
      <c r="G540" s="6">
        <f>SQRT(SUM($F$2:F540)/A540)</f>
        <v>1100.0621883247411</v>
      </c>
      <c r="H540" s="5">
        <f t="shared" si="35"/>
        <v>1</v>
      </c>
      <c r="I540" s="5">
        <f t="shared" si="36"/>
        <v>1</v>
      </c>
    </row>
    <row r="541" spans="1:9">
      <c r="A541">
        <v>540</v>
      </c>
      <c r="B541">
        <v>15</v>
      </c>
      <c r="C541">
        <v>9000</v>
      </c>
      <c r="D541">
        <v>8988</v>
      </c>
      <c r="E541" s="5">
        <f t="shared" si="33"/>
        <v>12</v>
      </c>
      <c r="F541" s="5">
        <f t="shared" si="34"/>
        <v>144</v>
      </c>
      <c r="G541" s="6">
        <f>SQRT(SUM($F$2:F541)/A541)</f>
        <v>1099.0432615419379</v>
      </c>
      <c r="H541" s="5">
        <f t="shared" si="35"/>
        <v>1</v>
      </c>
      <c r="I541" s="5">
        <f t="shared" si="36"/>
        <v>1</v>
      </c>
    </row>
    <row r="542" spans="1:9">
      <c r="A542">
        <v>541</v>
      </c>
      <c r="B542">
        <v>15</v>
      </c>
      <c r="C542">
        <v>9000</v>
      </c>
      <c r="D542">
        <v>9232</v>
      </c>
      <c r="E542" s="5">
        <f t="shared" si="33"/>
        <v>232</v>
      </c>
      <c r="F542" s="5">
        <f t="shared" si="34"/>
        <v>53824</v>
      </c>
      <c r="G542" s="6">
        <f>SQRT(SUM($F$2:F542)/A542)</f>
        <v>1098.0723430676057</v>
      </c>
      <c r="H542" s="5">
        <f t="shared" si="35"/>
        <v>1</v>
      </c>
      <c r="I542" s="5">
        <f t="shared" si="36"/>
        <v>1</v>
      </c>
    </row>
    <row r="543" spans="1:9">
      <c r="A543">
        <v>542</v>
      </c>
      <c r="B543">
        <v>15</v>
      </c>
      <c r="C543">
        <v>9000</v>
      </c>
      <c r="D543">
        <v>9417</v>
      </c>
      <c r="E543" s="5">
        <f t="shared" si="33"/>
        <v>417</v>
      </c>
      <c r="F543" s="5">
        <f t="shared" si="34"/>
        <v>173889</v>
      </c>
      <c r="G543" s="6">
        <f>SQRT(SUM($F$2:F543)/A543)</f>
        <v>1097.2051058395796</v>
      </c>
      <c r="H543" s="5">
        <f t="shared" si="35"/>
        <v>1</v>
      </c>
      <c r="I543" s="5">
        <f t="shared" si="36"/>
        <v>1</v>
      </c>
    </row>
    <row r="544" spans="1:9">
      <c r="A544">
        <v>543</v>
      </c>
      <c r="B544">
        <v>14</v>
      </c>
      <c r="C544">
        <v>9000</v>
      </c>
      <c r="D544">
        <v>8497</v>
      </c>
      <c r="E544" s="5">
        <f t="shared" si="33"/>
        <v>503</v>
      </c>
      <c r="F544" s="5">
        <f t="shared" si="34"/>
        <v>253009</v>
      </c>
      <c r="G544" s="6">
        <f>SQRT(SUM($F$2:F544)/A544)</f>
        <v>1096.4068310743596</v>
      </c>
      <c r="H544" s="5">
        <f t="shared" si="35"/>
        <v>1</v>
      </c>
      <c r="I544" s="5">
        <f t="shared" si="36"/>
        <v>1</v>
      </c>
    </row>
    <row r="545" spans="1:9">
      <c r="A545">
        <v>544</v>
      </c>
      <c r="B545">
        <v>15</v>
      </c>
      <c r="C545">
        <v>9000</v>
      </c>
      <c r="D545">
        <v>9133</v>
      </c>
      <c r="E545" s="5">
        <f t="shared" si="33"/>
        <v>133</v>
      </c>
      <c r="F545" s="5">
        <f t="shared" si="34"/>
        <v>17689</v>
      </c>
      <c r="G545" s="6">
        <f>SQRT(SUM($F$2:F545)/A545)</f>
        <v>1095.413482904703</v>
      </c>
      <c r="H545" s="5">
        <f t="shared" si="35"/>
        <v>1</v>
      </c>
      <c r="I545" s="5">
        <f t="shared" si="36"/>
        <v>1</v>
      </c>
    </row>
    <row r="546" spans="1:9">
      <c r="A546">
        <v>545</v>
      </c>
      <c r="B546">
        <v>15</v>
      </c>
      <c r="C546">
        <v>9000</v>
      </c>
      <c r="D546">
        <v>9298</v>
      </c>
      <c r="E546" s="5">
        <f t="shared" si="33"/>
        <v>298</v>
      </c>
      <c r="F546" s="5">
        <f t="shared" si="34"/>
        <v>88804</v>
      </c>
      <c r="G546" s="6">
        <f>SQRT(SUM($F$2:F546)/A546)</f>
        <v>1094.482495951833</v>
      </c>
      <c r="H546" s="5">
        <f t="shared" si="35"/>
        <v>1</v>
      </c>
      <c r="I546" s="5">
        <f t="shared" si="36"/>
        <v>1</v>
      </c>
    </row>
    <row r="547" spans="1:9">
      <c r="A547">
        <v>546</v>
      </c>
      <c r="B547">
        <v>14</v>
      </c>
      <c r="C547">
        <v>9000</v>
      </c>
      <c r="D547">
        <v>9185</v>
      </c>
      <c r="E547" s="5">
        <f t="shared" si="33"/>
        <v>185</v>
      </c>
      <c r="F547" s="5">
        <f t="shared" si="34"/>
        <v>34225</v>
      </c>
      <c r="G547" s="6">
        <f>SQRT(SUM($F$2:F547)/A547)</f>
        <v>1093.5084251272031</v>
      </c>
      <c r="H547" s="5">
        <f t="shared" si="35"/>
        <v>1</v>
      </c>
      <c r="I547" s="5">
        <f t="shared" si="36"/>
        <v>1</v>
      </c>
    </row>
    <row r="548" spans="1:9">
      <c r="A548">
        <v>547</v>
      </c>
      <c r="B548">
        <v>14</v>
      </c>
      <c r="C548">
        <v>9000</v>
      </c>
      <c r="D548">
        <v>8315</v>
      </c>
      <c r="E548" s="5">
        <f t="shared" si="33"/>
        <v>685</v>
      </c>
      <c r="F548" s="5">
        <f t="shared" si="34"/>
        <v>469225</v>
      </c>
      <c r="G548" s="6">
        <f>SQRT(SUM($F$2:F548)/A548)</f>
        <v>1092.9009365163849</v>
      </c>
      <c r="H548" s="5">
        <f t="shared" si="35"/>
        <v>1</v>
      </c>
      <c r="I548" s="5">
        <f t="shared" si="36"/>
        <v>1</v>
      </c>
    </row>
    <row r="549" spans="1:9">
      <c r="A549">
        <v>548</v>
      </c>
      <c r="B549">
        <v>15</v>
      </c>
      <c r="C549">
        <v>9000</v>
      </c>
      <c r="D549">
        <v>9496</v>
      </c>
      <c r="E549" s="5">
        <f t="shared" si="33"/>
        <v>496</v>
      </c>
      <c r="F549" s="5">
        <f t="shared" si="34"/>
        <v>246016</v>
      </c>
      <c r="G549" s="6">
        <f>SQRT(SUM($F$2:F549)/A549)</f>
        <v>1092.1088636546233</v>
      </c>
      <c r="H549" s="5">
        <f t="shared" si="35"/>
        <v>1</v>
      </c>
      <c r="I549" s="5">
        <f t="shared" si="36"/>
        <v>1</v>
      </c>
    </row>
    <row r="550" spans="1:9">
      <c r="A550">
        <v>549</v>
      </c>
      <c r="B550">
        <v>14</v>
      </c>
      <c r="C550">
        <v>9000</v>
      </c>
      <c r="D550">
        <v>8478</v>
      </c>
      <c r="E550" s="5">
        <f t="shared" si="33"/>
        <v>522</v>
      </c>
      <c r="F550" s="5">
        <f t="shared" si="34"/>
        <v>272484</v>
      </c>
      <c r="G550" s="6">
        <f>SQRT(SUM($F$2:F550)/A550)</f>
        <v>1091.341192877554</v>
      </c>
      <c r="H550" s="5">
        <f t="shared" si="35"/>
        <v>1</v>
      </c>
      <c r="I550" s="5">
        <f t="shared" si="36"/>
        <v>1</v>
      </c>
    </row>
    <row r="551" spans="1:9">
      <c r="A551">
        <v>550</v>
      </c>
      <c r="B551">
        <v>15</v>
      </c>
      <c r="C551">
        <v>9000</v>
      </c>
      <c r="D551">
        <v>8915</v>
      </c>
      <c r="E551" s="5">
        <f t="shared" si="33"/>
        <v>85</v>
      </c>
      <c r="F551" s="5">
        <f t="shared" si="34"/>
        <v>7225</v>
      </c>
      <c r="G551" s="6">
        <f>SQRT(SUM($F$2:F551)/A551)</f>
        <v>1090.3546370541351</v>
      </c>
      <c r="H551" s="5">
        <f t="shared" si="35"/>
        <v>1</v>
      </c>
      <c r="I551" s="5">
        <f t="shared" si="36"/>
        <v>1</v>
      </c>
    </row>
    <row r="552" spans="1:9">
      <c r="A552">
        <v>551</v>
      </c>
      <c r="B552">
        <v>15</v>
      </c>
      <c r="C552">
        <v>9000</v>
      </c>
      <c r="D552">
        <v>9808</v>
      </c>
      <c r="E552" s="5">
        <f t="shared" si="33"/>
        <v>808</v>
      </c>
      <c r="F552" s="5">
        <f t="shared" si="34"/>
        <v>652864</v>
      </c>
      <c r="G552" s="6">
        <f>SQRT(SUM($F$2:F552)/A552)</f>
        <v>1089.9084553375728</v>
      </c>
      <c r="H552" s="5">
        <f t="shared" si="35"/>
        <v>1</v>
      </c>
      <c r="I552" s="5">
        <f t="shared" si="36"/>
        <v>1</v>
      </c>
    </row>
    <row r="553" spans="1:9">
      <c r="A553">
        <v>552</v>
      </c>
      <c r="B553">
        <v>14</v>
      </c>
      <c r="C553">
        <v>9000</v>
      </c>
      <c r="D553">
        <v>8853</v>
      </c>
      <c r="E553" s="5">
        <f t="shared" si="33"/>
        <v>147</v>
      </c>
      <c r="F553" s="5">
        <f t="shared" si="34"/>
        <v>21609</v>
      </c>
      <c r="G553" s="6">
        <f>SQRT(SUM($F$2:F553)/A553)</f>
        <v>1088.9387467635167</v>
      </c>
      <c r="H553" s="5">
        <f t="shared" si="35"/>
        <v>1</v>
      </c>
      <c r="I553" s="5">
        <f t="shared" si="36"/>
        <v>1</v>
      </c>
    </row>
    <row r="554" spans="1:9">
      <c r="A554">
        <v>553</v>
      </c>
      <c r="B554">
        <v>15</v>
      </c>
      <c r="C554">
        <v>9000</v>
      </c>
      <c r="D554">
        <v>9765</v>
      </c>
      <c r="E554" s="5">
        <f t="shared" si="33"/>
        <v>765</v>
      </c>
      <c r="F554" s="5">
        <f t="shared" si="34"/>
        <v>585225</v>
      </c>
      <c r="G554" s="6">
        <f>SQRT(SUM($F$2:F554)/A554)</f>
        <v>1088.4399780856625</v>
      </c>
      <c r="H554" s="5">
        <f t="shared" si="35"/>
        <v>1</v>
      </c>
      <c r="I554" s="5">
        <f t="shared" si="36"/>
        <v>1</v>
      </c>
    </row>
    <row r="555" spans="1:9">
      <c r="A555">
        <v>554</v>
      </c>
      <c r="B555">
        <v>14</v>
      </c>
      <c r="C555">
        <v>9000</v>
      </c>
      <c r="D555">
        <v>9187</v>
      </c>
      <c r="E555" s="5">
        <f t="shared" si="33"/>
        <v>187</v>
      </c>
      <c r="F555" s="5">
        <f t="shared" si="34"/>
        <v>34969</v>
      </c>
      <c r="G555" s="6">
        <f>SQRT(SUM($F$2:F555)/A555)</f>
        <v>1087.4862097138011</v>
      </c>
      <c r="H555" s="5">
        <f t="shared" si="35"/>
        <v>1</v>
      </c>
      <c r="I555" s="5">
        <f t="shared" si="36"/>
        <v>1</v>
      </c>
    </row>
    <row r="556" spans="1:9">
      <c r="A556">
        <v>555</v>
      </c>
      <c r="B556">
        <v>14</v>
      </c>
      <c r="C556">
        <v>9000</v>
      </c>
      <c r="D556">
        <v>8782</v>
      </c>
      <c r="E556" s="5">
        <f t="shared" si="33"/>
        <v>218</v>
      </c>
      <c r="F556" s="5">
        <f t="shared" si="34"/>
        <v>47524</v>
      </c>
      <c r="G556" s="6">
        <f>SQRT(SUM($F$2:F556)/A556)</f>
        <v>1086.545455573317</v>
      </c>
      <c r="H556" s="5">
        <f t="shared" si="35"/>
        <v>1</v>
      </c>
      <c r="I556" s="5">
        <f t="shared" si="36"/>
        <v>1</v>
      </c>
    </row>
    <row r="557" spans="1:9">
      <c r="A557">
        <v>556</v>
      </c>
      <c r="B557">
        <v>15</v>
      </c>
      <c r="C557">
        <v>9000</v>
      </c>
      <c r="D557">
        <v>9492</v>
      </c>
      <c r="E557" s="5">
        <f t="shared" si="33"/>
        <v>492</v>
      </c>
      <c r="F557" s="5">
        <f t="shared" si="34"/>
        <v>242064</v>
      </c>
      <c r="G557" s="6">
        <f>SQRT(SUM($F$2:F557)/A557)</f>
        <v>1085.7684130433108</v>
      </c>
      <c r="H557" s="5">
        <f t="shared" si="35"/>
        <v>1</v>
      </c>
      <c r="I557" s="5">
        <f t="shared" si="36"/>
        <v>1</v>
      </c>
    </row>
    <row r="558" spans="1:9">
      <c r="A558">
        <v>557</v>
      </c>
      <c r="B558">
        <v>14</v>
      </c>
      <c r="C558">
        <v>9000</v>
      </c>
      <c r="D558">
        <v>8633</v>
      </c>
      <c r="E558" s="5">
        <f t="shared" si="33"/>
        <v>367</v>
      </c>
      <c r="F558" s="5">
        <f t="shared" si="34"/>
        <v>134689</v>
      </c>
      <c r="G558" s="6">
        <f>SQRT(SUM($F$2:F558)/A558)</f>
        <v>1084.9047671019014</v>
      </c>
      <c r="H558" s="5">
        <f t="shared" si="35"/>
        <v>1</v>
      </c>
      <c r="I558" s="5">
        <f t="shared" si="36"/>
        <v>1</v>
      </c>
    </row>
    <row r="559" spans="1:9">
      <c r="A559">
        <v>558</v>
      </c>
      <c r="B559">
        <v>15</v>
      </c>
      <c r="C559">
        <v>9000</v>
      </c>
      <c r="D559">
        <v>9255</v>
      </c>
      <c r="E559" s="5">
        <f t="shared" si="33"/>
        <v>255</v>
      </c>
      <c r="F559" s="5">
        <f t="shared" si="34"/>
        <v>65025</v>
      </c>
      <c r="G559" s="6">
        <f>SQRT(SUM($F$2:F559)/A559)</f>
        <v>1083.9859473490324</v>
      </c>
      <c r="H559" s="5">
        <f t="shared" si="35"/>
        <v>1</v>
      </c>
      <c r="I559" s="5">
        <f t="shared" si="36"/>
        <v>1</v>
      </c>
    </row>
    <row r="560" spans="1:9">
      <c r="A560">
        <v>559</v>
      </c>
      <c r="B560">
        <v>14</v>
      </c>
      <c r="C560">
        <v>9000</v>
      </c>
      <c r="D560">
        <v>9239</v>
      </c>
      <c r="E560" s="5">
        <f t="shared" si="33"/>
        <v>239</v>
      </c>
      <c r="F560" s="5">
        <f t="shared" si="34"/>
        <v>57121</v>
      </c>
      <c r="G560" s="6">
        <f>SQRT(SUM($F$2:F560)/A560)</f>
        <v>1083.0631121176889</v>
      </c>
      <c r="H560" s="5">
        <f t="shared" si="35"/>
        <v>1</v>
      </c>
      <c r="I560" s="5">
        <f t="shared" si="36"/>
        <v>1</v>
      </c>
    </row>
    <row r="561" spans="1:9">
      <c r="A561">
        <v>560</v>
      </c>
      <c r="B561">
        <v>14</v>
      </c>
      <c r="C561">
        <v>9000</v>
      </c>
      <c r="D561">
        <v>8196</v>
      </c>
      <c r="E561" s="5">
        <f t="shared" si="33"/>
        <v>804</v>
      </c>
      <c r="F561" s="5">
        <f t="shared" si="34"/>
        <v>646416</v>
      </c>
      <c r="G561" s="6">
        <f>SQRT(SUM($F$2:F561)/A561)</f>
        <v>1082.6288978025402</v>
      </c>
      <c r="H561" s="5">
        <f t="shared" si="35"/>
        <v>1</v>
      </c>
      <c r="I561" s="5">
        <f t="shared" si="36"/>
        <v>1</v>
      </c>
    </row>
    <row r="562" spans="1:9">
      <c r="A562">
        <v>561</v>
      </c>
      <c r="B562">
        <v>15</v>
      </c>
      <c r="C562">
        <v>9000</v>
      </c>
      <c r="D562">
        <v>8970</v>
      </c>
      <c r="E562" s="5">
        <f t="shared" si="33"/>
        <v>30</v>
      </c>
      <c r="F562" s="5">
        <f t="shared" si="34"/>
        <v>900</v>
      </c>
      <c r="G562" s="6">
        <f>SQRT(SUM($F$2:F562)/A562)</f>
        <v>1081.6642991110873</v>
      </c>
      <c r="H562" s="5">
        <f t="shared" si="35"/>
        <v>1</v>
      </c>
      <c r="I562" s="5">
        <f t="shared" si="36"/>
        <v>1</v>
      </c>
    </row>
    <row r="563" spans="1:9">
      <c r="A563">
        <v>562</v>
      </c>
      <c r="B563">
        <v>15</v>
      </c>
      <c r="C563">
        <v>9000</v>
      </c>
      <c r="D563">
        <v>9663</v>
      </c>
      <c r="E563" s="5">
        <f t="shared" si="33"/>
        <v>663</v>
      </c>
      <c r="F563" s="5">
        <f t="shared" si="34"/>
        <v>439569</v>
      </c>
      <c r="G563" s="6">
        <f>SQRT(SUM($F$2:F563)/A563)</f>
        <v>1081.0633472901079</v>
      </c>
      <c r="H563" s="5">
        <f t="shared" si="35"/>
        <v>1</v>
      </c>
      <c r="I563" s="5">
        <f t="shared" si="36"/>
        <v>1</v>
      </c>
    </row>
    <row r="564" spans="1:9">
      <c r="A564">
        <v>563</v>
      </c>
      <c r="B564">
        <v>14</v>
      </c>
      <c r="C564">
        <v>9000</v>
      </c>
      <c r="D564">
        <v>8415</v>
      </c>
      <c r="E564" s="5">
        <f t="shared" si="33"/>
        <v>585</v>
      </c>
      <c r="F564" s="5">
        <f t="shared" si="34"/>
        <v>342225</v>
      </c>
      <c r="G564" s="6">
        <f>SQRT(SUM($F$2:F564)/A564)</f>
        <v>1080.3841818824503</v>
      </c>
      <c r="H564" s="5">
        <f t="shared" si="35"/>
        <v>1</v>
      </c>
      <c r="I564" s="5">
        <f t="shared" si="36"/>
        <v>1</v>
      </c>
    </row>
    <row r="565" spans="1:9">
      <c r="A565">
        <v>564</v>
      </c>
      <c r="B565">
        <v>15</v>
      </c>
      <c r="C565">
        <v>9000</v>
      </c>
      <c r="D565">
        <v>9573</v>
      </c>
      <c r="E565" s="5">
        <f t="shared" si="33"/>
        <v>573</v>
      </c>
      <c r="F565" s="5">
        <f t="shared" si="34"/>
        <v>328329</v>
      </c>
      <c r="G565" s="6">
        <f>SQRT(SUM($F$2:F565)/A565)</f>
        <v>1079.695590143762</v>
      </c>
      <c r="H565" s="5">
        <f t="shared" si="35"/>
        <v>1</v>
      </c>
      <c r="I565" s="5">
        <f t="shared" si="36"/>
        <v>1</v>
      </c>
    </row>
    <row r="566" spans="1:9">
      <c r="A566">
        <v>565</v>
      </c>
      <c r="B566">
        <v>14</v>
      </c>
      <c r="C566">
        <v>9000</v>
      </c>
      <c r="D566">
        <v>8678</v>
      </c>
      <c r="E566" s="5">
        <f t="shared" si="33"/>
        <v>322</v>
      </c>
      <c r="F566" s="5">
        <f t="shared" si="34"/>
        <v>103684</v>
      </c>
      <c r="G566" s="6">
        <f>SQRT(SUM($F$2:F566)/A566)</f>
        <v>1078.8247391022858</v>
      </c>
      <c r="H566" s="5">
        <f t="shared" si="35"/>
        <v>1</v>
      </c>
      <c r="I566" s="5">
        <f t="shared" si="36"/>
        <v>1</v>
      </c>
    </row>
    <row r="567" spans="1:9">
      <c r="A567">
        <v>566</v>
      </c>
      <c r="B567">
        <v>15</v>
      </c>
      <c r="C567">
        <v>9000</v>
      </c>
      <c r="D567">
        <v>9326</v>
      </c>
      <c r="E567" s="5">
        <f t="shared" si="33"/>
        <v>326</v>
      </c>
      <c r="F567" s="5">
        <f t="shared" si="34"/>
        <v>106276</v>
      </c>
      <c r="G567" s="6">
        <f>SQRT(SUM($F$2:F567)/A567)</f>
        <v>1077.9583896202348</v>
      </c>
      <c r="H567" s="5">
        <f t="shared" si="35"/>
        <v>1</v>
      </c>
      <c r="I567" s="5">
        <f t="shared" si="36"/>
        <v>1</v>
      </c>
    </row>
    <row r="568" spans="1:9">
      <c r="A568">
        <v>567</v>
      </c>
      <c r="B568">
        <v>14</v>
      </c>
      <c r="C568">
        <v>9000</v>
      </c>
      <c r="D568">
        <v>8057</v>
      </c>
      <c r="E568" s="5">
        <f t="shared" si="33"/>
        <v>943</v>
      </c>
      <c r="F568" s="5">
        <f t="shared" si="34"/>
        <v>889249</v>
      </c>
      <c r="G568" s="6">
        <f>SQRT(SUM($F$2:F568)/A568)</f>
        <v>1077.7352446197492</v>
      </c>
      <c r="H568" s="5">
        <f t="shared" si="35"/>
        <v>1</v>
      </c>
      <c r="I568" s="5">
        <f t="shared" si="36"/>
        <v>0</v>
      </c>
    </row>
    <row r="569" spans="1:9">
      <c r="A569">
        <v>568</v>
      </c>
      <c r="B569">
        <v>15</v>
      </c>
      <c r="C569">
        <v>9000</v>
      </c>
      <c r="D569">
        <v>9026</v>
      </c>
      <c r="E569" s="5">
        <f t="shared" si="33"/>
        <v>26</v>
      </c>
      <c r="F569" s="5">
        <f t="shared" si="34"/>
        <v>676</v>
      </c>
      <c r="G569" s="6">
        <f>SQRT(SUM($F$2:F569)/A569)</f>
        <v>1076.7866687183573</v>
      </c>
      <c r="H569" s="5">
        <f t="shared" si="35"/>
        <v>1</v>
      </c>
      <c r="I569" s="5">
        <f t="shared" si="36"/>
        <v>1</v>
      </c>
    </row>
    <row r="570" spans="1:9">
      <c r="A570">
        <v>569</v>
      </c>
      <c r="B570">
        <v>15</v>
      </c>
      <c r="C570">
        <v>9000</v>
      </c>
      <c r="D570">
        <v>9591</v>
      </c>
      <c r="E570" s="5">
        <f t="shared" si="33"/>
        <v>591</v>
      </c>
      <c r="F570" s="5">
        <f t="shared" si="34"/>
        <v>349281</v>
      </c>
      <c r="G570" s="6">
        <f>SQRT(SUM($F$2:F570)/A570)</f>
        <v>1076.1252940555532</v>
      </c>
      <c r="H570" s="5">
        <f t="shared" si="35"/>
        <v>1</v>
      </c>
      <c r="I570" s="5">
        <f t="shared" si="36"/>
        <v>1</v>
      </c>
    </row>
    <row r="571" spans="1:9">
      <c r="A571">
        <v>570</v>
      </c>
      <c r="B571">
        <v>14</v>
      </c>
      <c r="C571">
        <v>9000</v>
      </c>
      <c r="D571">
        <v>8459</v>
      </c>
      <c r="E571" s="5">
        <f t="shared" si="33"/>
        <v>541</v>
      </c>
      <c r="F571" s="5">
        <f t="shared" si="34"/>
        <v>292681</v>
      </c>
      <c r="G571" s="6">
        <f>SQRT(SUM($F$2:F571)/A571)</f>
        <v>1075.4196692046694</v>
      </c>
      <c r="H571" s="5">
        <f t="shared" si="35"/>
        <v>1</v>
      </c>
      <c r="I571" s="5">
        <f t="shared" si="36"/>
        <v>1</v>
      </c>
    </row>
    <row r="572" spans="1:9">
      <c r="A572">
        <v>571</v>
      </c>
      <c r="B572">
        <v>15</v>
      </c>
      <c r="C572">
        <v>9000</v>
      </c>
      <c r="D572">
        <v>9652</v>
      </c>
      <c r="E572" s="5">
        <f t="shared" si="33"/>
        <v>652</v>
      </c>
      <c r="F572" s="5">
        <f t="shared" si="34"/>
        <v>425104</v>
      </c>
      <c r="G572" s="6">
        <f>SQRT(SUM($F$2:F572)/A572)</f>
        <v>1074.8239451811869</v>
      </c>
      <c r="H572" s="5">
        <f t="shared" si="35"/>
        <v>1</v>
      </c>
      <c r="I572" s="5">
        <f t="shared" si="36"/>
        <v>1</v>
      </c>
    </row>
    <row r="573" spans="1:9">
      <c r="A573">
        <v>572</v>
      </c>
      <c r="B573">
        <v>14</v>
      </c>
      <c r="C573">
        <v>9000</v>
      </c>
      <c r="D573">
        <v>8962</v>
      </c>
      <c r="E573" s="5">
        <f t="shared" si="33"/>
        <v>38</v>
      </c>
      <c r="F573" s="5">
        <f t="shared" si="34"/>
        <v>1444</v>
      </c>
      <c r="G573" s="6">
        <f>SQRT(SUM($F$2:F573)/A573)</f>
        <v>1073.8851781611131</v>
      </c>
      <c r="H573" s="5">
        <f t="shared" si="35"/>
        <v>1</v>
      </c>
      <c r="I573" s="5">
        <f t="shared" si="36"/>
        <v>1</v>
      </c>
    </row>
    <row r="574" spans="1:9">
      <c r="A574">
        <v>573</v>
      </c>
      <c r="B574">
        <v>14</v>
      </c>
      <c r="C574">
        <v>9000</v>
      </c>
      <c r="D574">
        <v>8661</v>
      </c>
      <c r="E574" s="5">
        <f t="shared" si="33"/>
        <v>339</v>
      </c>
      <c r="F574" s="5">
        <f t="shared" si="34"/>
        <v>114921</v>
      </c>
      <c r="G574" s="6">
        <f>SQRT(SUM($F$2:F574)/A574)</f>
        <v>1073.0411545563982</v>
      </c>
      <c r="H574" s="5">
        <f t="shared" si="35"/>
        <v>1</v>
      </c>
      <c r="I574" s="5">
        <f t="shared" si="36"/>
        <v>1</v>
      </c>
    </row>
    <row r="575" spans="1:9">
      <c r="A575">
        <v>574</v>
      </c>
      <c r="B575">
        <v>15</v>
      </c>
      <c r="C575">
        <v>9000</v>
      </c>
      <c r="D575">
        <v>9679</v>
      </c>
      <c r="E575" s="5">
        <f t="shared" si="33"/>
        <v>679</v>
      </c>
      <c r="F575" s="5">
        <f t="shared" si="34"/>
        <v>461041</v>
      </c>
      <c r="G575" s="6">
        <f>SQRT(SUM($F$2:F575)/A575)</f>
        <v>1072.4805700667644</v>
      </c>
      <c r="H575" s="5">
        <f t="shared" si="35"/>
        <v>1</v>
      </c>
      <c r="I575" s="5">
        <f t="shared" si="36"/>
        <v>1</v>
      </c>
    </row>
    <row r="576" spans="1:9">
      <c r="A576">
        <v>575</v>
      </c>
      <c r="B576">
        <v>14</v>
      </c>
      <c r="C576">
        <v>9000</v>
      </c>
      <c r="D576">
        <v>8348</v>
      </c>
      <c r="E576" s="5">
        <f t="shared" si="33"/>
        <v>652</v>
      </c>
      <c r="F576" s="5">
        <f t="shared" si="34"/>
        <v>425104</v>
      </c>
      <c r="G576" s="6">
        <f>SQRT(SUM($F$2:F576)/A576)</f>
        <v>1071.8924905532026</v>
      </c>
      <c r="H576" s="5">
        <f t="shared" si="35"/>
        <v>1</v>
      </c>
      <c r="I576" s="5">
        <f t="shared" si="36"/>
        <v>1</v>
      </c>
    </row>
    <row r="577" spans="1:9">
      <c r="A577">
        <v>576</v>
      </c>
      <c r="B577">
        <v>15</v>
      </c>
      <c r="C577">
        <v>9000</v>
      </c>
      <c r="D577">
        <v>9784</v>
      </c>
      <c r="E577" s="5">
        <f t="shared" si="33"/>
        <v>784</v>
      </c>
      <c r="F577" s="5">
        <f t="shared" si="34"/>
        <v>614656</v>
      </c>
      <c r="G577" s="6">
        <f>SQRT(SUM($F$2:F577)/A577)</f>
        <v>1071.4597106090052</v>
      </c>
      <c r="H577" s="5">
        <f t="shared" si="35"/>
        <v>1</v>
      </c>
      <c r="I577" s="5">
        <f t="shared" si="36"/>
        <v>1</v>
      </c>
    </row>
    <row r="578" spans="1:9">
      <c r="A578">
        <v>577</v>
      </c>
      <c r="B578">
        <v>14</v>
      </c>
      <c r="C578">
        <v>9000</v>
      </c>
      <c r="D578">
        <v>8921</v>
      </c>
      <c r="E578" s="5">
        <f t="shared" si="33"/>
        <v>79</v>
      </c>
      <c r="F578" s="5">
        <f t="shared" si="34"/>
        <v>6241</v>
      </c>
      <c r="G578" s="6">
        <f>SQRT(SUM($F$2:F578)/A578)</f>
        <v>1070.5358851789163</v>
      </c>
      <c r="H578" s="5">
        <f t="shared" si="35"/>
        <v>1</v>
      </c>
      <c r="I578" s="5">
        <f t="shared" si="36"/>
        <v>1</v>
      </c>
    </row>
    <row r="579" spans="1:9">
      <c r="A579">
        <v>578</v>
      </c>
      <c r="B579">
        <v>14</v>
      </c>
      <c r="C579">
        <v>9000</v>
      </c>
      <c r="D579">
        <v>8473</v>
      </c>
      <c r="E579" s="5">
        <f t="shared" ref="E579:E642" si="37">ABS(C579-D579)</f>
        <v>527</v>
      </c>
      <c r="F579" s="5">
        <f t="shared" ref="F579:F642" si="38">POWER(E579,2)</f>
        <v>277729</v>
      </c>
      <c r="G579" s="6">
        <f>SQRT(SUM($F$2:F579)/A579)</f>
        <v>1069.8340063010066</v>
      </c>
      <c r="H579" s="5">
        <f t="shared" ref="H579:H642" si="39">IF(ABS(E579)/C579&gt;0.2,0,1)</f>
        <v>1</v>
      </c>
      <c r="I579" s="5">
        <f t="shared" ref="I579:I642" si="40">IF(ABS(E579)/C579&gt;0.1,0,1)</f>
        <v>1</v>
      </c>
    </row>
    <row r="580" spans="1:9">
      <c r="A580">
        <v>579</v>
      </c>
      <c r="B580">
        <v>15</v>
      </c>
      <c r="C580">
        <v>9000</v>
      </c>
      <c r="D580">
        <v>4732</v>
      </c>
      <c r="E580" s="5">
        <f t="shared" si="37"/>
        <v>4268</v>
      </c>
      <c r="F580" s="5">
        <f t="shared" si="38"/>
        <v>18215824</v>
      </c>
      <c r="G580" s="6">
        <f>SQRT(SUM($F$2:F580)/A580)</f>
        <v>1083.5261305790777</v>
      </c>
      <c r="H580" s="5">
        <f t="shared" si="39"/>
        <v>0</v>
      </c>
      <c r="I580" s="5">
        <f t="shared" si="40"/>
        <v>0</v>
      </c>
    </row>
    <row r="581" spans="1:9">
      <c r="A581">
        <v>580</v>
      </c>
      <c r="B581">
        <v>19</v>
      </c>
      <c r="C581">
        <v>9000</v>
      </c>
      <c r="D581">
        <v>5867</v>
      </c>
      <c r="E581" s="5">
        <f t="shared" si="37"/>
        <v>3133</v>
      </c>
      <c r="F581" s="5">
        <f t="shared" si="38"/>
        <v>9815689</v>
      </c>
      <c r="G581" s="6">
        <f>SQRT(SUM($F$2:F581)/A581)</f>
        <v>1090.3798831852928</v>
      </c>
      <c r="H581" s="5">
        <f t="shared" si="39"/>
        <v>0</v>
      </c>
      <c r="I581" s="5">
        <f t="shared" si="40"/>
        <v>0</v>
      </c>
    </row>
    <row r="582" spans="1:9">
      <c r="A582">
        <v>581</v>
      </c>
      <c r="B582">
        <v>19</v>
      </c>
      <c r="C582">
        <v>9000</v>
      </c>
      <c r="D582">
        <v>4527</v>
      </c>
      <c r="E582" s="5">
        <f t="shared" si="37"/>
        <v>4473</v>
      </c>
      <c r="F582" s="5">
        <f t="shared" si="38"/>
        <v>20007729</v>
      </c>
      <c r="G582" s="6">
        <f>SQRT(SUM($F$2:F582)/A582)</f>
        <v>1105.1328663665649</v>
      </c>
      <c r="H582" s="5">
        <f t="shared" si="39"/>
        <v>0</v>
      </c>
      <c r="I582" s="5">
        <f t="shared" si="40"/>
        <v>0</v>
      </c>
    </row>
    <row r="583" spans="1:9">
      <c r="A583">
        <v>582</v>
      </c>
      <c r="B583">
        <v>21</v>
      </c>
      <c r="C583">
        <v>9000</v>
      </c>
      <c r="D583">
        <v>7968</v>
      </c>
      <c r="E583" s="5">
        <f t="shared" si="37"/>
        <v>1032</v>
      </c>
      <c r="F583" s="5">
        <f t="shared" si="38"/>
        <v>1065024</v>
      </c>
      <c r="G583" s="6">
        <f>SQRT(SUM($F$2:F583)/A583)</f>
        <v>1105.0113595845958</v>
      </c>
      <c r="H583" s="5">
        <f t="shared" si="39"/>
        <v>1</v>
      </c>
      <c r="I583" s="5">
        <f t="shared" si="40"/>
        <v>0</v>
      </c>
    </row>
    <row r="584" spans="1:9">
      <c r="A584">
        <v>583</v>
      </c>
      <c r="B584">
        <v>19</v>
      </c>
      <c r="C584">
        <v>9000</v>
      </c>
      <c r="D584">
        <v>9362</v>
      </c>
      <c r="E584" s="5">
        <f t="shared" si="37"/>
        <v>362</v>
      </c>
      <c r="F584" s="5">
        <f t="shared" si="38"/>
        <v>131044</v>
      </c>
      <c r="G584" s="6">
        <f>SQRT(SUM($F$2:F584)/A584)</f>
        <v>1104.165048598014</v>
      </c>
      <c r="H584" s="5">
        <f t="shared" si="39"/>
        <v>1</v>
      </c>
      <c r="I584" s="5">
        <f t="shared" si="40"/>
        <v>1</v>
      </c>
    </row>
    <row r="585" spans="1:9">
      <c r="A585">
        <v>584</v>
      </c>
      <c r="B585">
        <v>17</v>
      </c>
      <c r="C585">
        <v>9000</v>
      </c>
      <c r="D585">
        <v>9715</v>
      </c>
      <c r="E585" s="5">
        <f t="shared" si="37"/>
        <v>715</v>
      </c>
      <c r="F585" s="5">
        <f t="shared" si="38"/>
        <v>511225</v>
      </c>
      <c r="G585" s="6">
        <f>SQRT(SUM($F$2:F585)/A585)</f>
        <v>1103.6159667451329</v>
      </c>
      <c r="H585" s="5">
        <f t="shared" si="39"/>
        <v>1</v>
      </c>
      <c r="I585" s="5">
        <f t="shared" si="40"/>
        <v>1</v>
      </c>
    </row>
    <row r="586" spans="1:9">
      <c r="A586">
        <v>585</v>
      </c>
      <c r="B586">
        <v>17</v>
      </c>
      <c r="C586">
        <v>9000</v>
      </c>
      <c r="D586">
        <v>9412</v>
      </c>
      <c r="E586" s="5">
        <f t="shared" si="37"/>
        <v>412</v>
      </c>
      <c r="F586" s="5">
        <f t="shared" si="38"/>
        <v>169744</v>
      </c>
      <c r="G586" s="6">
        <f>SQRT(SUM($F$2:F586)/A586)</f>
        <v>1102.803865522771</v>
      </c>
      <c r="H586" s="5">
        <f t="shared" si="39"/>
        <v>1</v>
      </c>
      <c r="I586" s="5">
        <f t="shared" si="40"/>
        <v>1</v>
      </c>
    </row>
    <row r="587" spans="1:9">
      <c r="A587">
        <v>586</v>
      </c>
      <c r="B587">
        <v>17</v>
      </c>
      <c r="C587">
        <v>9000</v>
      </c>
      <c r="D587">
        <v>10006</v>
      </c>
      <c r="E587" s="5">
        <f t="shared" si="37"/>
        <v>1006</v>
      </c>
      <c r="F587" s="5">
        <f t="shared" si="38"/>
        <v>1012036</v>
      </c>
      <c r="G587" s="6">
        <f>SQRT(SUM($F$2:F587)/A587)</f>
        <v>1102.6459102599388</v>
      </c>
      <c r="H587" s="5">
        <f t="shared" si="39"/>
        <v>1</v>
      </c>
      <c r="I587" s="5">
        <f t="shared" si="40"/>
        <v>0</v>
      </c>
    </row>
    <row r="588" spans="1:9">
      <c r="A588">
        <v>587</v>
      </c>
      <c r="B588">
        <v>16</v>
      </c>
      <c r="C588">
        <v>9000</v>
      </c>
      <c r="D588">
        <v>9301</v>
      </c>
      <c r="E588" s="5">
        <f t="shared" si="37"/>
        <v>301</v>
      </c>
      <c r="F588" s="5">
        <f t="shared" si="38"/>
        <v>90601</v>
      </c>
      <c r="G588" s="6">
        <f>SQRT(SUM($F$2:F588)/A588)</f>
        <v>1101.7763348307976</v>
      </c>
      <c r="H588" s="5">
        <f t="shared" si="39"/>
        <v>1</v>
      </c>
      <c r="I588" s="5">
        <f t="shared" si="40"/>
        <v>1</v>
      </c>
    </row>
    <row r="589" spans="1:9">
      <c r="A589">
        <v>588</v>
      </c>
      <c r="B589">
        <v>17</v>
      </c>
      <c r="C589">
        <v>9000</v>
      </c>
      <c r="D589">
        <v>9472</v>
      </c>
      <c r="E589" s="5">
        <f t="shared" si="37"/>
        <v>472</v>
      </c>
      <c r="F589" s="5">
        <f t="shared" si="38"/>
        <v>222784</v>
      </c>
      <c r="G589" s="6">
        <f>SQRT(SUM($F$2:F589)/A589)</f>
        <v>1101.0111269649731</v>
      </c>
      <c r="H589" s="5">
        <f t="shared" si="39"/>
        <v>1</v>
      </c>
      <c r="I589" s="5">
        <f t="shared" si="40"/>
        <v>1</v>
      </c>
    </row>
    <row r="590" spans="1:9">
      <c r="A590">
        <v>589</v>
      </c>
      <c r="B590">
        <v>16</v>
      </c>
      <c r="C590">
        <v>9000</v>
      </c>
      <c r="D590">
        <v>9940</v>
      </c>
      <c r="E590" s="5">
        <f t="shared" si="37"/>
        <v>940</v>
      </c>
      <c r="F590" s="5">
        <f t="shared" si="38"/>
        <v>883600</v>
      </c>
      <c r="G590" s="6">
        <f>SQRT(SUM($F$2:F590)/A590)</f>
        <v>1100.7577225108314</v>
      </c>
      <c r="H590" s="5">
        <f t="shared" si="39"/>
        <v>1</v>
      </c>
      <c r="I590" s="5">
        <f t="shared" si="40"/>
        <v>0</v>
      </c>
    </row>
    <row r="591" spans="1:9">
      <c r="A591">
        <v>590</v>
      </c>
      <c r="B591">
        <v>16</v>
      </c>
      <c r="C591">
        <v>9000</v>
      </c>
      <c r="D591">
        <v>10247</v>
      </c>
      <c r="E591" s="5">
        <f t="shared" si="37"/>
        <v>1247</v>
      </c>
      <c r="F591" s="5">
        <f t="shared" si="38"/>
        <v>1555009</v>
      </c>
      <c r="G591" s="6">
        <f>SQRT(SUM($F$2:F591)/A591)</f>
        <v>1101.0220244414209</v>
      </c>
      <c r="H591" s="5">
        <f t="shared" si="39"/>
        <v>1</v>
      </c>
      <c r="I591" s="5">
        <f t="shared" si="40"/>
        <v>0</v>
      </c>
    </row>
    <row r="592" spans="1:9">
      <c r="A592">
        <v>591</v>
      </c>
      <c r="B592">
        <v>15</v>
      </c>
      <c r="C592">
        <v>9000</v>
      </c>
      <c r="D592">
        <v>9058</v>
      </c>
      <c r="E592" s="5">
        <f t="shared" si="37"/>
        <v>58</v>
      </c>
      <c r="F592" s="5">
        <f t="shared" si="38"/>
        <v>3364</v>
      </c>
      <c r="G592" s="6">
        <f>SQRT(SUM($F$2:F592)/A592)</f>
        <v>1100.0927264409077</v>
      </c>
      <c r="H592" s="5">
        <f t="shared" si="39"/>
        <v>1</v>
      </c>
      <c r="I592" s="5">
        <f t="shared" si="40"/>
        <v>1</v>
      </c>
    </row>
    <row r="593" spans="1:9">
      <c r="A593">
        <v>592</v>
      </c>
      <c r="B593">
        <v>16</v>
      </c>
      <c r="C593">
        <v>9000</v>
      </c>
      <c r="D593">
        <v>10046</v>
      </c>
      <c r="E593" s="5">
        <f t="shared" si="37"/>
        <v>1046</v>
      </c>
      <c r="F593" s="5">
        <f t="shared" si="38"/>
        <v>1094116</v>
      </c>
      <c r="G593" s="6">
        <f>SQRT(SUM($F$2:F593)/A593)</f>
        <v>1100.0035964314673</v>
      </c>
      <c r="H593" s="5">
        <f t="shared" si="39"/>
        <v>1</v>
      </c>
      <c r="I593" s="5">
        <f t="shared" si="40"/>
        <v>0</v>
      </c>
    </row>
    <row r="594" spans="1:9">
      <c r="A594">
        <v>593</v>
      </c>
      <c r="B594">
        <v>15</v>
      </c>
      <c r="C594">
        <v>9000</v>
      </c>
      <c r="D594">
        <v>8809</v>
      </c>
      <c r="E594" s="5">
        <f t="shared" si="37"/>
        <v>191</v>
      </c>
      <c r="F594" s="5">
        <f t="shared" si="38"/>
        <v>36481</v>
      </c>
      <c r="G594" s="6">
        <f>SQRT(SUM($F$2:F594)/A594)</f>
        <v>1099.1037012207262</v>
      </c>
      <c r="H594" s="5">
        <f t="shared" si="39"/>
        <v>1</v>
      </c>
      <c r="I594" s="5">
        <f t="shared" si="40"/>
        <v>1</v>
      </c>
    </row>
    <row r="595" spans="1:9">
      <c r="A595">
        <v>594</v>
      </c>
      <c r="B595">
        <v>16</v>
      </c>
      <c r="C595">
        <v>9000</v>
      </c>
      <c r="D595">
        <v>10088</v>
      </c>
      <c r="E595" s="5">
        <f t="shared" si="37"/>
        <v>1088</v>
      </c>
      <c r="F595" s="5">
        <f t="shared" si="38"/>
        <v>1183744</v>
      </c>
      <c r="G595" s="6">
        <f>SQRT(SUM($F$2:F595)/A595)</f>
        <v>1099.0851023872365</v>
      </c>
      <c r="H595" s="5">
        <f t="shared" si="39"/>
        <v>1</v>
      </c>
      <c r="I595" s="5">
        <f t="shared" si="40"/>
        <v>0</v>
      </c>
    </row>
    <row r="596" spans="1:9">
      <c r="A596">
        <v>595</v>
      </c>
      <c r="B596">
        <v>15</v>
      </c>
      <c r="C596">
        <v>9000</v>
      </c>
      <c r="D596">
        <v>9522</v>
      </c>
      <c r="E596" s="5">
        <f t="shared" si="37"/>
        <v>522</v>
      </c>
      <c r="F596" s="5">
        <f t="shared" si="38"/>
        <v>272484</v>
      </c>
      <c r="G596" s="6">
        <f>SQRT(SUM($F$2:F596)/A596)</f>
        <v>1098.3696038012986</v>
      </c>
      <c r="H596" s="5">
        <f t="shared" si="39"/>
        <v>1</v>
      </c>
      <c r="I596" s="5">
        <f t="shared" si="40"/>
        <v>1</v>
      </c>
    </row>
    <row r="597" spans="1:9">
      <c r="A597">
        <v>596</v>
      </c>
      <c r="B597">
        <v>15</v>
      </c>
      <c r="C597">
        <v>9000</v>
      </c>
      <c r="D597">
        <v>9399</v>
      </c>
      <c r="E597" s="5">
        <f t="shared" si="37"/>
        <v>399</v>
      </c>
      <c r="F597" s="5">
        <f t="shared" si="38"/>
        <v>159201</v>
      </c>
      <c r="G597" s="6">
        <f>SQRT(SUM($F$2:F597)/A597)</f>
        <v>1097.5694578317587</v>
      </c>
      <c r="H597" s="5">
        <f t="shared" si="39"/>
        <v>1</v>
      </c>
      <c r="I597" s="5">
        <f t="shared" si="40"/>
        <v>1</v>
      </c>
    </row>
    <row r="598" spans="1:9">
      <c r="A598">
        <v>597</v>
      </c>
      <c r="B598">
        <v>15</v>
      </c>
      <c r="C598">
        <v>9000</v>
      </c>
      <c r="D598">
        <v>8802</v>
      </c>
      <c r="E598" s="5">
        <f t="shared" si="37"/>
        <v>198</v>
      </c>
      <c r="F598" s="5">
        <f t="shared" si="38"/>
        <v>39204</v>
      </c>
      <c r="G598" s="6">
        <f>SQRT(SUM($F$2:F598)/A598)</f>
        <v>1096.6797751911142</v>
      </c>
      <c r="H598" s="5">
        <f t="shared" si="39"/>
        <v>1</v>
      </c>
      <c r="I598" s="5">
        <f t="shared" si="40"/>
        <v>1</v>
      </c>
    </row>
    <row r="599" spans="1:9">
      <c r="A599">
        <v>598</v>
      </c>
      <c r="B599">
        <v>16</v>
      </c>
      <c r="C599">
        <v>9000</v>
      </c>
      <c r="D599">
        <v>10333</v>
      </c>
      <c r="E599" s="5">
        <f t="shared" si="37"/>
        <v>1333</v>
      </c>
      <c r="F599" s="5">
        <f t="shared" si="38"/>
        <v>1776889</v>
      </c>
      <c r="G599" s="6">
        <f>SQRT(SUM($F$2:F599)/A599)</f>
        <v>1097.1174507175137</v>
      </c>
      <c r="H599" s="5">
        <f t="shared" si="39"/>
        <v>1</v>
      </c>
      <c r="I599" s="5">
        <f t="shared" si="40"/>
        <v>0</v>
      </c>
    </row>
    <row r="600" spans="1:9">
      <c r="A600">
        <v>599</v>
      </c>
      <c r="B600">
        <v>14</v>
      </c>
      <c r="C600">
        <v>9000</v>
      </c>
      <c r="D600">
        <v>8890</v>
      </c>
      <c r="E600" s="5">
        <f t="shared" si="37"/>
        <v>110</v>
      </c>
      <c r="F600" s="5">
        <f t="shared" si="38"/>
        <v>12100</v>
      </c>
      <c r="G600" s="6">
        <f>SQRT(SUM($F$2:F600)/A600)</f>
        <v>1096.2104910711982</v>
      </c>
      <c r="H600" s="5">
        <f t="shared" si="39"/>
        <v>1</v>
      </c>
      <c r="I600" s="5">
        <f t="shared" si="40"/>
        <v>1</v>
      </c>
    </row>
    <row r="601" spans="1:9">
      <c r="A601">
        <v>600</v>
      </c>
      <c r="B601">
        <v>15</v>
      </c>
      <c r="C601">
        <v>9000</v>
      </c>
      <c r="D601">
        <v>9167</v>
      </c>
      <c r="E601" s="5">
        <f t="shared" si="37"/>
        <v>167</v>
      </c>
      <c r="F601" s="5">
        <f t="shared" si="38"/>
        <v>27889</v>
      </c>
      <c r="G601" s="6">
        <f>SQRT(SUM($F$2:F601)/A601)</f>
        <v>1095.3178199347744</v>
      </c>
      <c r="H601" s="5">
        <f t="shared" si="39"/>
        <v>1</v>
      </c>
      <c r="I601" s="5">
        <f t="shared" si="40"/>
        <v>1</v>
      </c>
    </row>
    <row r="602" spans="1:9">
      <c r="A602">
        <v>601</v>
      </c>
      <c r="B602">
        <v>1</v>
      </c>
      <c r="C602">
        <v>5000</v>
      </c>
      <c r="D602">
        <v>878</v>
      </c>
      <c r="E602" s="5">
        <f t="shared" si="37"/>
        <v>4122</v>
      </c>
      <c r="F602" s="5">
        <f t="shared" si="38"/>
        <v>16990884</v>
      </c>
      <c r="G602" s="6">
        <f>SQRT(SUM($F$2:F602)/A602)</f>
        <v>1107.2470095239967</v>
      </c>
      <c r="H602" s="5">
        <f t="shared" si="39"/>
        <v>0</v>
      </c>
      <c r="I602" s="5">
        <f t="shared" si="40"/>
        <v>0</v>
      </c>
    </row>
    <row r="603" spans="1:9">
      <c r="A603">
        <v>602</v>
      </c>
      <c r="B603">
        <v>5</v>
      </c>
      <c r="C603">
        <v>5000</v>
      </c>
      <c r="D603">
        <v>2884</v>
      </c>
      <c r="E603" s="5">
        <f t="shared" si="37"/>
        <v>2116</v>
      </c>
      <c r="F603" s="5">
        <f t="shared" si="38"/>
        <v>4477456</v>
      </c>
      <c r="G603" s="6">
        <f>SQRT(SUM($F$2:F603)/A603)</f>
        <v>1109.6833046166148</v>
      </c>
      <c r="H603" s="5">
        <f t="shared" si="39"/>
        <v>0</v>
      </c>
      <c r="I603" s="5">
        <f t="shared" si="40"/>
        <v>0</v>
      </c>
    </row>
    <row r="604" spans="1:9">
      <c r="A604">
        <v>603</v>
      </c>
      <c r="B604">
        <v>3</v>
      </c>
      <c r="C604">
        <v>5000</v>
      </c>
      <c r="D604">
        <v>2186</v>
      </c>
      <c r="E604" s="5">
        <f t="shared" si="37"/>
        <v>2814</v>
      </c>
      <c r="F604" s="5">
        <f t="shared" si="38"/>
        <v>7918596</v>
      </c>
      <c r="G604" s="6">
        <f>SQRT(SUM($F$2:F604)/A604)</f>
        <v>1114.6689727177461</v>
      </c>
      <c r="H604" s="5">
        <f t="shared" si="39"/>
        <v>0</v>
      </c>
      <c r="I604" s="5">
        <f t="shared" si="40"/>
        <v>0</v>
      </c>
    </row>
    <row r="605" spans="1:9">
      <c r="A605">
        <v>604</v>
      </c>
      <c r="B605">
        <v>5</v>
      </c>
      <c r="C605">
        <v>5000</v>
      </c>
      <c r="D605">
        <v>3449</v>
      </c>
      <c r="E605" s="5">
        <f t="shared" si="37"/>
        <v>1551</v>
      </c>
      <c r="F605" s="5">
        <f t="shared" si="38"/>
        <v>2405601</v>
      </c>
      <c r="G605" s="6">
        <f>SQRT(SUM($F$2:F605)/A605)</f>
        <v>1115.5324308618892</v>
      </c>
      <c r="H605" s="5">
        <f t="shared" si="39"/>
        <v>0</v>
      </c>
      <c r="I605" s="5">
        <f t="shared" si="40"/>
        <v>0</v>
      </c>
    </row>
    <row r="606" spans="1:9">
      <c r="A606">
        <v>605</v>
      </c>
      <c r="B606">
        <v>4</v>
      </c>
      <c r="C606">
        <v>5000</v>
      </c>
      <c r="D606">
        <v>2680</v>
      </c>
      <c r="E606" s="5">
        <f t="shared" si="37"/>
        <v>2320</v>
      </c>
      <c r="F606" s="5">
        <f t="shared" si="38"/>
        <v>5382400</v>
      </c>
      <c r="G606" s="6">
        <f>SQRT(SUM($F$2:F606)/A606)</f>
        <v>1118.5938730801997</v>
      </c>
      <c r="H606" s="5">
        <f t="shared" si="39"/>
        <v>0</v>
      </c>
      <c r="I606" s="5">
        <f t="shared" si="40"/>
        <v>0</v>
      </c>
    </row>
    <row r="607" spans="1:9">
      <c r="A607">
        <v>606</v>
      </c>
      <c r="B607">
        <v>5</v>
      </c>
      <c r="C607">
        <v>5000</v>
      </c>
      <c r="D607">
        <v>4454</v>
      </c>
      <c r="E607" s="5">
        <f t="shared" si="37"/>
        <v>546</v>
      </c>
      <c r="F607" s="5">
        <f t="shared" si="38"/>
        <v>298116</v>
      </c>
      <c r="G607" s="6">
        <f>SQRT(SUM($F$2:F607)/A607)</f>
        <v>1117.8906121763789</v>
      </c>
      <c r="H607" s="5">
        <f t="shared" si="39"/>
        <v>1</v>
      </c>
      <c r="I607" s="5">
        <f t="shared" si="40"/>
        <v>0</v>
      </c>
    </row>
    <row r="608" spans="1:9">
      <c r="A608">
        <v>607</v>
      </c>
      <c r="B608">
        <v>4</v>
      </c>
      <c r="C608">
        <v>5000</v>
      </c>
      <c r="D608">
        <v>2919</v>
      </c>
      <c r="E608" s="5">
        <f t="shared" si="37"/>
        <v>2081</v>
      </c>
      <c r="F608" s="5">
        <f t="shared" si="38"/>
        <v>4330561</v>
      </c>
      <c r="G608" s="6">
        <f>SQRT(SUM($F$2:F608)/A608)</f>
        <v>1120.1584746084959</v>
      </c>
      <c r="H608" s="5">
        <f t="shared" si="39"/>
        <v>0</v>
      </c>
      <c r="I608" s="5">
        <f t="shared" si="40"/>
        <v>0</v>
      </c>
    </row>
    <row r="609" spans="1:9">
      <c r="A609">
        <v>608</v>
      </c>
      <c r="B609">
        <v>6</v>
      </c>
      <c r="C609">
        <v>5000</v>
      </c>
      <c r="D609">
        <v>4246</v>
      </c>
      <c r="E609" s="5">
        <f t="shared" si="37"/>
        <v>754</v>
      </c>
      <c r="F609" s="5">
        <f t="shared" si="38"/>
        <v>568516</v>
      </c>
      <c r="G609" s="6">
        <f>SQRT(SUM($F$2:F609)/A609)</f>
        <v>1119.6545563958086</v>
      </c>
      <c r="H609" s="5">
        <f t="shared" si="39"/>
        <v>1</v>
      </c>
      <c r="I609" s="5">
        <f t="shared" si="40"/>
        <v>0</v>
      </c>
    </row>
    <row r="610" spans="1:9">
      <c r="A610">
        <v>609</v>
      </c>
      <c r="B610">
        <v>5</v>
      </c>
      <c r="C610">
        <v>5000</v>
      </c>
      <c r="D610">
        <v>3809</v>
      </c>
      <c r="E610" s="5">
        <f t="shared" si="37"/>
        <v>1191</v>
      </c>
      <c r="F610" s="5">
        <f t="shared" si="38"/>
        <v>1418481</v>
      </c>
      <c r="G610" s="6">
        <f>SQRT(SUM($F$2:F610)/A610)</f>
        <v>1119.7754341779898</v>
      </c>
      <c r="H610" s="5">
        <f t="shared" si="39"/>
        <v>0</v>
      </c>
      <c r="I610" s="5">
        <f t="shared" si="40"/>
        <v>0</v>
      </c>
    </row>
    <row r="611" spans="1:9">
      <c r="A611">
        <v>610</v>
      </c>
      <c r="B611">
        <v>5</v>
      </c>
      <c r="C611">
        <v>5000</v>
      </c>
      <c r="D611">
        <v>3234</v>
      </c>
      <c r="E611" s="5">
        <f t="shared" si="37"/>
        <v>1766</v>
      </c>
      <c r="F611" s="5">
        <f t="shared" si="38"/>
        <v>3118756</v>
      </c>
      <c r="G611" s="6">
        <f>SQRT(SUM($F$2:F611)/A611)</f>
        <v>1121.1396741050862</v>
      </c>
      <c r="H611" s="5">
        <f t="shared" si="39"/>
        <v>0</v>
      </c>
      <c r="I611" s="5">
        <f t="shared" si="40"/>
        <v>0</v>
      </c>
    </row>
    <row r="612" spans="1:9">
      <c r="A612">
        <v>611</v>
      </c>
      <c r="B612">
        <v>6</v>
      </c>
      <c r="C612">
        <v>5000</v>
      </c>
      <c r="D612">
        <v>4749</v>
      </c>
      <c r="E612" s="5">
        <f t="shared" si="37"/>
        <v>251</v>
      </c>
      <c r="F612" s="5">
        <f t="shared" si="38"/>
        <v>63001</v>
      </c>
      <c r="G612" s="6">
        <f>SQRT(SUM($F$2:F612)/A612)</f>
        <v>1120.26785726142</v>
      </c>
      <c r="H612" s="5">
        <f t="shared" si="39"/>
        <v>1</v>
      </c>
      <c r="I612" s="5">
        <f t="shared" si="40"/>
        <v>1</v>
      </c>
    </row>
    <row r="613" spans="1:9">
      <c r="A613">
        <v>612</v>
      </c>
      <c r="B613">
        <v>5</v>
      </c>
      <c r="C613">
        <v>5000</v>
      </c>
      <c r="D613">
        <v>3743</v>
      </c>
      <c r="E613" s="5">
        <f t="shared" si="37"/>
        <v>1257</v>
      </c>
      <c r="F613" s="5">
        <f t="shared" si="38"/>
        <v>1580049</v>
      </c>
      <c r="G613" s="6">
        <f>SQRT(SUM($F$2:F613)/A613)</f>
        <v>1120.5048851800773</v>
      </c>
      <c r="H613" s="5">
        <f t="shared" si="39"/>
        <v>0</v>
      </c>
      <c r="I613" s="5">
        <f t="shared" si="40"/>
        <v>0</v>
      </c>
    </row>
    <row r="614" spans="1:9">
      <c r="A614">
        <v>613</v>
      </c>
      <c r="B614">
        <v>6</v>
      </c>
      <c r="C614">
        <v>5000</v>
      </c>
      <c r="D614">
        <v>4483</v>
      </c>
      <c r="E614" s="5">
        <f t="shared" si="37"/>
        <v>517</v>
      </c>
      <c r="F614" s="5">
        <f t="shared" si="38"/>
        <v>267289</v>
      </c>
      <c r="G614" s="6">
        <f>SQRT(SUM($F$2:F614)/A614)</f>
        <v>1119.785272762706</v>
      </c>
      <c r="H614" s="5">
        <f t="shared" si="39"/>
        <v>1</v>
      </c>
      <c r="I614" s="5">
        <f t="shared" si="40"/>
        <v>0</v>
      </c>
    </row>
    <row r="615" spans="1:9">
      <c r="A615">
        <v>614</v>
      </c>
      <c r="B615">
        <v>6</v>
      </c>
      <c r="C615">
        <v>5000</v>
      </c>
      <c r="D615">
        <v>4217</v>
      </c>
      <c r="E615" s="5">
        <f t="shared" si="37"/>
        <v>783</v>
      </c>
      <c r="F615" s="5">
        <f t="shared" si="38"/>
        <v>613089</v>
      </c>
      <c r="G615" s="6">
        <f>SQRT(SUM($F$2:F615)/A615)</f>
        <v>1119.3191501689112</v>
      </c>
      <c r="H615" s="5">
        <f t="shared" si="39"/>
        <v>1</v>
      </c>
      <c r="I615" s="5">
        <f t="shared" si="40"/>
        <v>0</v>
      </c>
    </row>
    <row r="616" spans="1:9">
      <c r="A616">
        <v>615</v>
      </c>
      <c r="B616">
        <v>6</v>
      </c>
      <c r="C616">
        <v>5000</v>
      </c>
      <c r="D616">
        <v>3223</v>
      </c>
      <c r="E616" s="5">
        <f t="shared" si="37"/>
        <v>1777</v>
      </c>
      <c r="F616" s="5">
        <f t="shared" si="38"/>
        <v>3157729</v>
      </c>
      <c r="G616" s="6">
        <f>SQRT(SUM($F$2:F616)/A616)</f>
        <v>1120.7018706716024</v>
      </c>
      <c r="H616" s="5">
        <f t="shared" si="39"/>
        <v>0</v>
      </c>
      <c r="I616" s="5">
        <f t="shared" si="40"/>
        <v>0</v>
      </c>
    </row>
    <row r="617" spans="1:9">
      <c r="A617">
        <v>616</v>
      </c>
      <c r="B617">
        <v>7</v>
      </c>
      <c r="C617">
        <v>5000</v>
      </c>
      <c r="D617">
        <v>3073</v>
      </c>
      <c r="E617" s="5">
        <f t="shared" si="37"/>
        <v>1927</v>
      </c>
      <c r="F617" s="5">
        <f t="shared" si="38"/>
        <v>3713329</v>
      </c>
      <c r="G617" s="6">
        <f>SQRT(SUM($F$2:F617)/A617)</f>
        <v>1122.4802438026572</v>
      </c>
      <c r="H617" s="5">
        <f t="shared" si="39"/>
        <v>0</v>
      </c>
      <c r="I617" s="5">
        <f t="shared" si="40"/>
        <v>0</v>
      </c>
    </row>
    <row r="618" spans="1:9">
      <c r="A618">
        <v>617</v>
      </c>
      <c r="B618">
        <v>8</v>
      </c>
      <c r="C618">
        <v>5000</v>
      </c>
      <c r="D618">
        <v>3648</v>
      </c>
      <c r="E618" s="5">
        <f t="shared" si="37"/>
        <v>1352</v>
      </c>
      <c r="F618" s="5">
        <f t="shared" si="38"/>
        <v>1827904</v>
      </c>
      <c r="G618" s="6">
        <f>SQRT(SUM($F$2:F618)/A618)</f>
        <v>1122.8901938115698</v>
      </c>
      <c r="H618" s="5">
        <f t="shared" si="39"/>
        <v>0</v>
      </c>
      <c r="I618" s="5">
        <f t="shared" si="40"/>
        <v>0</v>
      </c>
    </row>
    <row r="619" spans="1:9">
      <c r="A619">
        <v>618</v>
      </c>
      <c r="B619">
        <v>8</v>
      </c>
      <c r="C619">
        <v>5000</v>
      </c>
      <c r="D619">
        <v>2499</v>
      </c>
      <c r="E619" s="5">
        <f t="shared" si="37"/>
        <v>2501</v>
      </c>
      <c r="F619" s="5">
        <f t="shared" si="38"/>
        <v>6255001</v>
      </c>
      <c r="G619" s="6">
        <f>SQRT(SUM($F$2:F619)/A619)</f>
        <v>1126.4827941148917</v>
      </c>
      <c r="H619" s="5">
        <f t="shared" si="39"/>
        <v>0</v>
      </c>
      <c r="I619" s="5">
        <f t="shared" si="40"/>
        <v>0</v>
      </c>
    </row>
    <row r="620" spans="1:9">
      <c r="A620">
        <v>619</v>
      </c>
      <c r="B620">
        <v>9</v>
      </c>
      <c r="C620">
        <v>5000</v>
      </c>
      <c r="D620">
        <v>3420</v>
      </c>
      <c r="E620" s="5">
        <f t="shared" si="37"/>
        <v>1580</v>
      </c>
      <c r="F620" s="5">
        <f t="shared" si="38"/>
        <v>2496400</v>
      </c>
      <c r="G620" s="6">
        <f>SQRT(SUM($F$2:F620)/A620)</f>
        <v>1127.3625947459452</v>
      </c>
      <c r="H620" s="5">
        <f t="shared" si="39"/>
        <v>0</v>
      </c>
      <c r="I620" s="5">
        <f t="shared" si="40"/>
        <v>0</v>
      </c>
    </row>
    <row r="621" spans="1:9">
      <c r="A621">
        <v>620</v>
      </c>
      <c r="B621">
        <v>9</v>
      </c>
      <c r="C621">
        <v>5000</v>
      </c>
      <c r="D621">
        <v>4857</v>
      </c>
      <c r="E621" s="5">
        <f t="shared" si="37"/>
        <v>143</v>
      </c>
      <c r="F621" s="5">
        <f t="shared" si="38"/>
        <v>20449</v>
      </c>
      <c r="G621" s="6">
        <f>SQRT(SUM($F$2:F621)/A621)</f>
        <v>1126.4677042461881</v>
      </c>
      <c r="H621" s="5">
        <f t="shared" si="39"/>
        <v>1</v>
      </c>
      <c r="I621" s="5">
        <f t="shared" si="40"/>
        <v>1</v>
      </c>
    </row>
    <row r="622" spans="1:9">
      <c r="A622">
        <v>621</v>
      </c>
      <c r="B622">
        <v>8</v>
      </c>
      <c r="C622">
        <v>5000</v>
      </c>
      <c r="D622">
        <v>4716</v>
      </c>
      <c r="E622" s="5">
        <f t="shared" si="37"/>
        <v>284</v>
      </c>
      <c r="F622" s="5">
        <f t="shared" si="38"/>
        <v>80656</v>
      </c>
      <c r="G622" s="6">
        <f>SQRT(SUM($F$2:F622)/A622)</f>
        <v>1125.6180545953046</v>
      </c>
      <c r="H622" s="5">
        <f t="shared" si="39"/>
        <v>1</v>
      </c>
      <c r="I622" s="5">
        <f t="shared" si="40"/>
        <v>1</v>
      </c>
    </row>
    <row r="623" spans="1:9">
      <c r="A623">
        <v>622</v>
      </c>
      <c r="B623">
        <v>8</v>
      </c>
      <c r="C623">
        <v>5000</v>
      </c>
      <c r="D623">
        <v>4176</v>
      </c>
      <c r="E623" s="5">
        <f t="shared" si="37"/>
        <v>824</v>
      </c>
      <c r="F623" s="5">
        <f t="shared" si="38"/>
        <v>678976</v>
      </c>
      <c r="G623" s="6">
        <f>SQRT(SUM($F$2:F623)/A623)</f>
        <v>1125.1980283016367</v>
      </c>
      <c r="H623" s="5">
        <f t="shared" si="39"/>
        <v>1</v>
      </c>
      <c r="I623" s="5">
        <f t="shared" si="40"/>
        <v>0</v>
      </c>
    </row>
    <row r="624" spans="1:9">
      <c r="A624">
        <v>623</v>
      </c>
      <c r="B624">
        <v>9</v>
      </c>
      <c r="C624">
        <v>5000</v>
      </c>
      <c r="D624">
        <v>5047</v>
      </c>
      <c r="E624" s="5">
        <f t="shared" si="37"/>
        <v>47</v>
      </c>
      <c r="F624" s="5">
        <f t="shared" si="38"/>
        <v>2209</v>
      </c>
      <c r="G624" s="6">
        <f>SQRT(SUM($F$2:F624)/A624)</f>
        <v>1124.2961943297103</v>
      </c>
      <c r="H624" s="5">
        <f t="shared" si="39"/>
        <v>1</v>
      </c>
      <c r="I624" s="5">
        <f t="shared" si="40"/>
        <v>1</v>
      </c>
    </row>
    <row r="625" spans="1:9">
      <c r="A625">
        <v>624</v>
      </c>
      <c r="B625">
        <v>8</v>
      </c>
      <c r="C625">
        <v>5000</v>
      </c>
      <c r="D625">
        <v>4898</v>
      </c>
      <c r="E625" s="5">
        <f t="shared" si="37"/>
        <v>102</v>
      </c>
      <c r="F625" s="5">
        <f t="shared" si="38"/>
        <v>10404</v>
      </c>
      <c r="G625" s="6">
        <f>SQRT(SUM($F$2:F625)/A625)</f>
        <v>1123.4023755698122</v>
      </c>
      <c r="H625" s="5">
        <f t="shared" si="39"/>
        <v>1</v>
      </c>
      <c r="I625" s="5">
        <f t="shared" si="40"/>
        <v>1</v>
      </c>
    </row>
    <row r="626" spans="1:9">
      <c r="A626">
        <v>625</v>
      </c>
      <c r="B626">
        <v>8</v>
      </c>
      <c r="C626">
        <v>5000</v>
      </c>
      <c r="D626">
        <v>4313</v>
      </c>
      <c r="E626" s="5">
        <f t="shared" si="37"/>
        <v>687</v>
      </c>
      <c r="F626" s="5">
        <f t="shared" si="38"/>
        <v>471969</v>
      </c>
      <c r="G626" s="6">
        <f>SQRT(SUM($F$2:F626)/A626)</f>
        <v>1122.8396124113185</v>
      </c>
      <c r="H626" s="5">
        <f t="shared" si="39"/>
        <v>1</v>
      </c>
      <c r="I626" s="5">
        <f t="shared" si="40"/>
        <v>0</v>
      </c>
    </row>
    <row r="627" spans="1:9">
      <c r="A627">
        <v>626</v>
      </c>
      <c r="B627">
        <v>9</v>
      </c>
      <c r="C627">
        <v>5000</v>
      </c>
      <c r="D627">
        <v>5394</v>
      </c>
      <c r="E627" s="5">
        <f t="shared" si="37"/>
        <v>394</v>
      </c>
      <c r="F627" s="5">
        <f t="shared" si="38"/>
        <v>155236</v>
      </c>
      <c r="G627" s="6">
        <f>SQRT(SUM($F$2:F627)/A627)</f>
        <v>1122.0529258330942</v>
      </c>
      <c r="H627" s="5">
        <f t="shared" si="39"/>
        <v>1</v>
      </c>
      <c r="I627" s="5">
        <f t="shared" si="40"/>
        <v>1</v>
      </c>
    </row>
    <row r="628" spans="1:9">
      <c r="A628">
        <v>627</v>
      </c>
      <c r="B628">
        <v>8</v>
      </c>
      <c r="C628">
        <v>5000</v>
      </c>
      <c r="D628">
        <v>4704</v>
      </c>
      <c r="E628" s="5">
        <f t="shared" si="37"/>
        <v>296</v>
      </c>
      <c r="F628" s="5">
        <f t="shared" si="38"/>
        <v>87616</v>
      </c>
      <c r="G628" s="6">
        <f>SQRT(SUM($F$2:F628)/A628)</f>
        <v>1121.2201068080637</v>
      </c>
      <c r="H628" s="5">
        <f t="shared" si="39"/>
        <v>1</v>
      </c>
      <c r="I628" s="5">
        <f t="shared" si="40"/>
        <v>1</v>
      </c>
    </row>
    <row r="629" spans="1:9">
      <c r="A629">
        <v>628</v>
      </c>
      <c r="B629">
        <v>8</v>
      </c>
      <c r="C629">
        <v>5000</v>
      </c>
      <c r="D629">
        <v>4870</v>
      </c>
      <c r="E629" s="5">
        <f t="shared" si="37"/>
        <v>130</v>
      </c>
      <c r="F629" s="5">
        <f t="shared" si="38"/>
        <v>16900</v>
      </c>
      <c r="G629" s="6">
        <f>SQRT(SUM($F$2:F629)/A629)</f>
        <v>1120.3390701772412</v>
      </c>
      <c r="H629" s="5">
        <f t="shared" si="39"/>
        <v>1</v>
      </c>
      <c r="I629" s="5">
        <f t="shared" si="40"/>
        <v>1</v>
      </c>
    </row>
    <row r="630" spans="1:9">
      <c r="A630">
        <v>629</v>
      </c>
      <c r="B630">
        <v>8</v>
      </c>
      <c r="C630">
        <v>5000</v>
      </c>
      <c r="D630">
        <v>4899</v>
      </c>
      <c r="E630" s="5">
        <f t="shared" si="37"/>
        <v>101</v>
      </c>
      <c r="F630" s="5">
        <f t="shared" si="38"/>
        <v>10201</v>
      </c>
      <c r="G630" s="6">
        <f>SQRT(SUM($F$2:F630)/A630)</f>
        <v>1119.4553879721057</v>
      </c>
      <c r="H630" s="5">
        <f t="shared" si="39"/>
        <v>1</v>
      </c>
      <c r="I630" s="5">
        <f t="shared" si="40"/>
        <v>1</v>
      </c>
    </row>
    <row r="631" spans="1:9">
      <c r="A631">
        <v>630</v>
      </c>
      <c r="B631">
        <v>8</v>
      </c>
      <c r="C631">
        <v>5000</v>
      </c>
      <c r="D631">
        <v>4706</v>
      </c>
      <c r="E631" s="5">
        <f t="shared" si="37"/>
        <v>294</v>
      </c>
      <c r="F631" s="5">
        <f t="shared" si="38"/>
        <v>86436</v>
      </c>
      <c r="G631" s="6">
        <f>SQRT(SUM($F$2:F631)/A631)</f>
        <v>1118.6279052822661</v>
      </c>
      <c r="H631" s="5">
        <f t="shared" si="39"/>
        <v>1</v>
      </c>
      <c r="I631" s="5">
        <f t="shared" si="40"/>
        <v>1</v>
      </c>
    </row>
    <row r="632" spans="1:9">
      <c r="A632">
        <v>631</v>
      </c>
      <c r="B632">
        <v>8</v>
      </c>
      <c r="C632">
        <v>5000</v>
      </c>
      <c r="D632">
        <v>5216</v>
      </c>
      <c r="E632" s="5">
        <f t="shared" si="37"/>
        <v>216</v>
      </c>
      <c r="F632" s="5">
        <f t="shared" si="38"/>
        <v>46656</v>
      </c>
      <c r="G632" s="6">
        <f>SQRT(SUM($F$2:F632)/A632)</f>
        <v>1117.7742359136153</v>
      </c>
      <c r="H632" s="5">
        <f t="shared" si="39"/>
        <v>1</v>
      </c>
      <c r="I632" s="5">
        <f t="shared" si="40"/>
        <v>1</v>
      </c>
    </row>
    <row r="633" spans="1:9">
      <c r="A633">
        <v>632</v>
      </c>
      <c r="B633">
        <v>8</v>
      </c>
      <c r="C633">
        <v>5000</v>
      </c>
      <c r="D633">
        <v>5234</v>
      </c>
      <c r="E633" s="5">
        <f t="shared" si="37"/>
        <v>234</v>
      </c>
      <c r="F633" s="5">
        <f t="shared" si="38"/>
        <v>54756</v>
      </c>
      <c r="G633" s="6">
        <f>SQRT(SUM($F$2:F633)/A633)</f>
        <v>1116.9283560424301</v>
      </c>
      <c r="H633" s="5">
        <f t="shared" si="39"/>
        <v>1</v>
      </c>
      <c r="I633" s="5">
        <f t="shared" si="40"/>
        <v>1</v>
      </c>
    </row>
    <row r="634" spans="1:9">
      <c r="A634">
        <v>633</v>
      </c>
      <c r="B634">
        <v>8</v>
      </c>
      <c r="C634">
        <v>5000</v>
      </c>
      <c r="D634">
        <v>4866</v>
      </c>
      <c r="E634" s="5">
        <f t="shared" si="37"/>
        <v>134</v>
      </c>
      <c r="F634" s="5">
        <f t="shared" si="38"/>
        <v>17956</v>
      </c>
      <c r="G634" s="6">
        <f>SQRT(SUM($F$2:F634)/A634)</f>
        <v>1116.0584658565656</v>
      </c>
      <c r="H634" s="5">
        <f t="shared" si="39"/>
        <v>1</v>
      </c>
      <c r="I634" s="5">
        <f t="shared" si="40"/>
        <v>1</v>
      </c>
    </row>
    <row r="635" spans="1:9">
      <c r="A635">
        <v>634</v>
      </c>
      <c r="B635">
        <v>8</v>
      </c>
      <c r="C635">
        <v>5000</v>
      </c>
      <c r="D635">
        <v>4852</v>
      </c>
      <c r="E635" s="5">
        <f t="shared" si="37"/>
        <v>148</v>
      </c>
      <c r="F635" s="5">
        <f t="shared" si="38"/>
        <v>21904</v>
      </c>
      <c r="G635" s="6">
        <f>SQRT(SUM($F$2:F635)/A635)</f>
        <v>1115.1934364185054</v>
      </c>
      <c r="H635" s="5">
        <f t="shared" si="39"/>
        <v>1</v>
      </c>
      <c r="I635" s="5">
        <f t="shared" si="40"/>
        <v>1</v>
      </c>
    </row>
    <row r="636" spans="1:9">
      <c r="A636">
        <v>635</v>
      </c>
      <c r="B636">
        <v>8</v>
      </c>
      <c r="C636">
        <v>5000</v>
      </c>
      <c r="D636">
        <v>5406</v>
      </c>
      <c r="E636" s="5">
        <f t="shared" si="37"/>
        <v>406</v>
      </c>
      <c r="F636" s="5">
        <f t="shared" si="38"/>
        <v>164836</v>
      </c>
      <c r="G636" s="6">
        <f>SQRT(SUM($F$2:F636)/A636)</f>
        <v>1114.4314563337405</v>
      </c>
      <c r="H636" s="5">
        <f t="shared" si="39"/>
        <v>1</v>
      </c>
      <c r="I636" s="5">
        <f t="shared" si="40"/>
        <v>1</v>
      </c>
    </row>
    <row r="637" spans="1:9">
      <c r="A637">
        <v>636</v>
      </c>
      <c r="B637">
        <v>8</v>
      </c>
      <c r="C637">
        <v>5000</v>
      </c>
      <c r="D637">
        <v>5233</v>
      </c>
      <c r="E637" s="5">
        <f t="shared" si="37"/>
        <v>233</v>
      </c>
      <c r="F637" s="5">
        <f t="shared" si="38"/>
        <v>54289</v>
      </c>
      <c r="G637" s="6">
        <f>SQRT(SUM($F$2:F637)/A637)</f>
        <v>1113.5933133824317</v>
      </c>
      <c r="H637" s="5">
        <f t="shared" si="39"/>
        <v>1</v>
      </c>
      <c r="I637" s="5">
        <f t="shared" si="40"/>
        <v>1</v>
      </c>
    </row>
    <row r="638" spans="1:9">
      <c r="A638">
        <v>637</v>
      </c>
      <c r="B638">
        <v>8</v>
      </c>
      <c r="C638">
        <v>5000</v>
      </c>
      <c r="D638">
        <v>5551</v>
      </c>
      <c r="E638" s="5">
        <f t="shared" si="37"/>
        <v>551</v>
      </c>
      <c r="F638" s="5">
        <f t="shared" si="38"/>
        <v>303601</v>
      </c>
      <c r="G638" s="6">
        <f>SQRT(SUM($F$2:F638)/A638)</f>
        <v>1112.9330222829728</v>
      </c>
      <c r="H638" s="5">
        <f t="shared" si="39"/>
        <v>1</v>
      </c>
      <c r="I638" s="5">
        <f t="shared" si="40"/>
        <v>0</v>
      </c>
    </row>
    <row r="639" spans="1:9">
      <c r="A639">
        <v>638</v>
      </c>
      <c r="B639">
        <v>7</v>
      </c>
      <c r="C639">
        <v>5000</v>
      </c>
      <c r="D639">
        <v>5432</v>
      </c>
      <c r="E639" s="5">
        <f t="shared" si="37"/>
        <v>432</v>
      </c>
      <c r="F639" s="5">
        <f t="shared" si="38"/>
        <v>186624</v>
      </c>
      <c r="G639" s="6">
        <f>SQRT(SUM($F$2:F639)/A639)</f>
        <v>1112.1919868772572</v>
      </c>
      <c r="H639" s="5">
        <f t="shared" si="39"/>
        <v>1</v>
      </c>
      <c r="I639" s="5">
        <f t="shared" si="40"/>
        <v>1</v>
      </c>
    </row>
    <row r="640" spans="1:9">
      <c r="A640">
        <v>639</v>
      </c>
      <c r="B640">
        <v>7</v>
      </c>
      <c r="C640">
        <v>5000</v>
      </c>
      <c r="D640">
        <v>4693</v>
      </c>
      <c r="E640" s="5">
        <f t="shared" si="37"/>
        <v>307</v>
      </c>
      <c r="F640" s="5">
        <f t="shared" si="38"/>
        <v>94249</v>
      </c>
      <c r="G640" s="6">
        <f>SQRT(SUM($F$2:F640)/A640)</f>
        <v>1111.3877443583131</v>
      </c>
      <c r="H640" s="5">
        <f t="shared" si="39"/>
        <v>1</v>
      </c>
      <c r="I640" s="5">
        <f t="shared" si="40"/>
        <v>1</v>
      </c>
    </row>
    <row r="641" spans="1:9">
      <c r="A641">
        <v>640</v>
      </c>
      <c r="B641">
        <v>8</v>
      </c>
      <c r="C641">
        <v>5000</v>
      </c>
      <c r="D641">
        <v>5614</v>
      </c>
      <c r="E641" s="5">
        <f t="shared" si="37"/>
        <v>614</v>
      </c>
      <c r="F641" s="5">
        <f t="shared" si="38"/>
        <v>376996</v>
      </c>
      <c r="G641" s="6">
        <f>SQRT(SUM($F$2:F641)/A641)</f>
        <v>1110.7843182015579</v>
      </c>
      <c r="H641" s="5">
        <f t="shared" si="39"/>
        <v>1</v>
      </c>
      <c r="I641" s="5">
        <f t="shared" si="40"/>
        <v>0</v>
      </c>
    </row>
    <row r="642" spans="1:9">
      <c r="A642">
        <v>641</v>
      </c>
      <c r="B642">
        <v>7</v>
      </c>
      <c r="C642">
        <v>5000</v>
      </c>
      <c r="D642">
        <v>4664</v>
      </c>
      <c r="E642" s="5">
        <f t="shared" si="37"/>
        <v>336</v>
      </c>
      <c r="F642" s="5">
        <f t="shared" si="38"/>
        <v>112896</v>
      </c>
      <c r="G642" s="6">
        <f>SQRT(SUM($F$2:F642)/A642)</f>
        <v>1109.996872140749</v>
      </c>
      <c r="H642" s="5">
        <f t="shared" si="39"/>
        <v>1</v>
      </c>
      <c r="I642" s="5">
        <f t="shared" si="40"/>
        <v>1</v>
      </c>
    </row>
    <row r="643" spans="1:9">
      <c r="A643">
        <v>642</v>
      </c>
      <c r="B643">
        <v>8</v>
      </c>
      <c r="C643">
        <v>5000</v>
      </c>
      <c r="D643">
        <v>5339</v>
      </c>
      <c r="E643" s="5">
        <f t="shared" ref="E643:E706" si="41">ABS(C643-D643)</f>
        <v>339</v>
      </c>
      <c r="F643" s="5">
        <f t="shared" ref="F643:F706" si="42">POWER(E643,2)</f>
        <v>114921</v>
      </c>
      <c r="G643" s="6">
        <f>SQRT(SUM($F$2:F643)/A643)</f>
        <v>1109.2127445952763</v>
      </c>
      <c r="H643" s="5">
        <f t="shared" ref="H643:H706" si="43">IF(ABS(E643)/C643&gt;0.2,0,1)</f>
        <v>1</v>
      </c>
      <c r="I643" s="5">
        <f t="shared" ref="I643:I706" si="44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4274</v>
      </c>
      <c r="E644" s="5">
        <f t="shared" si="41"/>
        <v>726</v>
      </c>
      <c r="F644" s="5">
        <f t="shared" si="42"/>
        <v>527076</v>
      </c>
      <c r="G644" s="6">
        <f>SQRT(SUM($F$2:F644)/A644)</f>
        <v>1108.719608159739</v>
      </c>
      <c r="H644" s="5">
        <f t="shared" si="43"/>
        <v>1</v>
      </c>
      <c r="I644" s="5">
        <f t="shared" si="44"/>
        <v>0</v>
      </c>
    </row>
    <row r="645" spans="1:9">
      <c r="A645">
        <v>644</v>
      </c>
      <c r="B645">
        <v>8</v>
      </c>
      <c r="C645">
        <v>5000</v>
      </c>
      <c r="D645">
        <v>5147</v>
      </c>
      <c r="E645" s="5">
        <f t="shared" si="41"/>
        <v>147</v>
      </c>
      <c r="F645" s="5">
        <f t="shared" si="42"/>
        <v>21609</v>
      </c>
      <c r="G645" s="6">
        <f>SQRT(SUM($F$2:F645)/A645)</f>
        <v>1107.8736102712276</v>
      </c>
      <c r="H645" s="5">
        <f t="shared" si="43"/>
        <v>1</v>
      </c>
      <c r="I645" s="5">
        <f t="shared" si="44"/>
        <v>1</v>
      </c>
    </row>
    <row r="646" spans="1:9">
      <c r="A646">
        <v>645</v>
      </c>
      <c r="B646">
        <v>8</v>
      </c>
      <c r="C646">
        <v>5000</v>
      </c>
      <c r="D646">
        <v>4917</v>
      </c>
      <c r="E646" s="5">
        <f t="shared" si="41"/>
        <v>83</v>
      </c>
      <c r="F646" s="5">
        <f t="shared" si="42"/>
        <v>6889</v>
      </c>
      <c r="G646" s="6">
        <f>SQRT(SUM($F$2:F646)/A646)</f>
        <v>1107.0192844408948</v>
      </c>
      <c r="H646" s="5">
        <f t="shared" si="43"/>
        <v>1</v>
      </c>
      <c r="I646" s="5">
        <f t="shared" si="44"/>
        <v>1</v>
      </c>
    </row>
    <row r="647" spans="1:9">
      <c r="A647">
        <v>646</v>
      </c>
      <c r="B647">
        <v>8</v>
      </c>
      <c r="C647">
        <v>5000</v>
      </c>
      <c r="D647">
        <v>5547</v>
      </c>
      <c r="E647" s="5">
        <f t="shared" si="41"/>
        <v>547</v>
      </c>
      <c r="F647" s="5">
        <f t="shared" si="42"/>
        <v>299209</v>
      </c>
      <c r="G647" s="6">
        <f>SQRT(SUM($F$2:F647)/A647)</f>
        <v>1106.3714665434138</v>
      </c>
      <c r="H647" s="5">
        <f t="shared" si="43"/>
        <v>1</v>
      </c>
      <c r="I647" s="5">
        <f t="shared" si="44"/>
        <v>0</v>
      </c>
    </row>
    <row r="648" spans="1:9">
      <c r="A648">
        <v>647</v>
      </c>
      <c r="B648">
        <v>7</v>
      </c>
      <c r="C648">
        <v>5000</v>
      </c>
      <c r="D648">
        <v>4965</v>
      </c>
      <c r="E648" s="5">
        <f t="shared" si="41"/>
        <v>35</v>
      </c>
      <c r="F648" s="5">
        <f t="shared" si="42"/>
        <v>1225</v>
      </c>
      <c r="G648" s="6">
        <f>SQRT(SUM($F$2:F648)/A648)</f>
        <v>1105.5169911040641</v>
      </c>
      <c r="H648" s="5">
        <f t="shared" si="43"/>
        <v>1</v>
      </c>
      <c r="I648" s="5">
        <f t="shared" si="44"/>
        <v>1</v>
      </c>
    </row>
    <row r="649" spans="1:9">
      <c r="A649">
        <v>648</v>
      </c>
      <c r="B649">
        <v>8</v>
      </c>
      <c r="C649">
        <v>5000</v>
      </c>
      <c r="D649">
        <v>5695</v>
      </c>
      <c r="E649" s="5">
        <f t="shared" si="41"/>
        <v>695</v>
      </c>
      <c r="F649" s="5">
        <f t="shared" si="42"/>
        <v>483025</v>
      </c>
      <c r="G649" s="6">
        <f>SQRT(SUM($F$2:F649)/A649)</f>
        <v>1105.0009796934376</v>
      </c>
      <c r="H649" s="5">
        <f t="shared" si="43"/>
        <v>1</v>
      </c>
      <c r="I649" s="5">
        <f t="shared" si="44"/>
        <v>0</v>
      </c>
    </row>
    <row r="650" spans="1:9">
      <c r="A650">
        <v>649</v>
      </c>
      <c r="B650">
        <v>7</v>
      </c>
      <c r="C650">
        <v>5000</v>
      </c>
      <c r="D650">
        <v>4638</v>
      </c>
      <c r="E650" s="5">
        <f t="shared" si="41"/>
        <v>362</v>
      </c>
      <c r="F650" s="5">
        <f t="shared" si="42"/>
        <v>131044</v>
      </c>
      <c r="G650" s="6">
        <f>SQRT(SUM($F$2:F650)/A650)</f>
        <v>1104.2407727164534</v>
      </c>
      <c r="H650" s="5">
        <f t="shared" si="43"/>
        <v>1</v>
      </c>
      <c r="I650" s="5">
        <f t="shared" si="44"/>
        <v>1</v>
      </c>
    </row>
    <row r="651" spans="1:9">
      <c r="A651">
        <v>650</v>
      </c>
      <c r="B651">
        <v>8</v>
      </c>
      <c r="C651">
        <v>5000</v>
      </c>
      <c r="D651">
        <v>5013</v>
      </c>
      <c r="E651" s="5">
        <f t="shared" si="41"/>
        <v>13</v>
      </c>
      <c r="F651" s="5">
        <f t="shared" si="42"/>
        <v>169</v>
      </c>
      <c r="G651" s="6">
        <f>SQRT(SUM($F$2:F651)/A651)</f>
        <v>1103.3911476060448</v>
      </c>
      <c r="H651" s="5">
        <f t="shared" si="43"/>
        <v>1</v>
      </c>
      <c r="I651" s="5">
        <f t="shared" si="44"/>
        <v>1</v>
      </c>
    </row>
    <row r="652" spans="1:9">
      <c r="A652">
        <v>651</v>
      </c>
      <c r="B652">
        <v>8</v>
      </c>
      <c r="C652">
        <v>5000</v>
      </c>
      <c r="D652">
        <v>5279</v>
      </c>
      <c r="E652" s="5">
        <f t="shared" si="41"/>
        <v>279</v>
      </c>
      <c r="F652" s="5">
        <f t="shared" si="42"/>
        <v>77841</v>
      </c>
      <c r="G652" s="6">
        <f>SQRT(SUM($F$2:F652)/A652)</f>
        <v>1102.5975872112713</v>
      </c>
      <c r="H652" s="5">
        <f t="shared" si="43"/>
        <v>1</v>
      </c>
      <c r="I652" s="5">
        <f t="shared" si="44"/>
        <v>1</v>
      </c>
    </row>
    <row r="653" spans="1:9">
      <c r="A653">
        <v>652</v>
      </c>
      <c r="B653">
        <v>7</v>
      </c>
      <c r="C653">
        <v>5000</v>
      </c>
      <c r="D653">
        <v>4446</v>
      </c>
      <c r="E653" s="5">
        <f t="shared" si="41"/>
        <v>554</v>
      </c>
      <c r="F653" s="5">
        <f t="shared" si="42"/>
        <v>306916</v>
      </c>
      <c r="G653" s="6">
        <f>SQRT(SUM($F$2:F653)/A653)</f>
        <v>1101.965319758712</v>
      </c>
      <c r="H653" s="5">
        <f t="shared" si="43"/>
        <v>1</v>
      </c>
      <c r="I653" s="5">
        <f t="shared" si="44"/>
        <v>0</v>
      </c>
    </row>
    <row r="654" spans="1:9">
      <c r="A654">
        <v>653</v>
      </c>
      <c r="B654">
        <v>8</v>
      </c>
      <c r="C654">
        <v>5000</v>
      </c>
      <c r="D654">
        <v>5553</v>
      </c>
      <c r="E654" s="5">
        <f t="shared" si="41"/>
        <v>553</v>
      </c>
      <c r="F654" s="5">
        <f t="shared" si="42"/>
        <v>305809</v>
      </c>
      <c r="G654" s="6">
        <f>SQRT(SUM($F$2:F654)/A654)</f>
        <v>1101.3338578571354</v>
      </c>
      <c r="H654" s="5">
        <f t="shared" si="43"/>
        <v>1</v>
      </c>
      <c r="I654" s="5">
        <f t="shared" si="44"/>
        <v>0</v>
      </c>
    </row>
    <row r="655" spans="1:9">
      <c r="A655">
        <v>654</v>
      </c>
      <c r="B655">
        <v>7</v>
      </c>
      <c r="C655">
        <v>5000</v>
      </c>
      <c r="D655">
        <v>4738</v>
      </c>
      <c r="E655" s="5">
        <f t="shared" si="41"/>
        <v>262</v>
      </c>
      <c r="F655" s="5">
        <f t="shared" si="42"/>
        <v>68644</v>
      </c>
      <c r="G655" s="6">
        <f>SQRT(SUM($F$2:F655)/A655)</f>
        <v>1100.5392242432158</v>
      </c>
      <c r="H655" s="5">
        <f t="shared" si="43"/>
        <v>1</v>
      </c>
      <c r="I655" s="5">
        <f t="shared" si="44"/>
        <v>1</v>
      </c>
    </row>
    <row r="656" spans="1:9">
      <c r="A656">
        <v>655</v>
      </c>
      <c r="B656">
        <v>8</v>
      </c>
      <c r="C656">
        <v>5000</v>
      </c>
      <c r="D656">
        <v>4985</v>
      </c>
      <c r="E656" s="5">
        <f t="shared" si="41"/>
        <v>15</v>
      </c>
      <c r="F656" s="5">
        <f t="shared" si="42"/>
        <v>225</v>
      </c>
      <c r="G656" s="6">
        <f>SQRT(SUM($F$2:F656)/A656)</f>
        <v>1099.6989532532345</v>
      </c>
      <c r="H656" s="5">
        <f t="shared" si="43"/>
        <v>1</v>
      </c>
      <c r="I656" s="5">
        <f t="shared" si="44"/>
        <v>1</v>
      </c>
    </row>
    <row r="657" spans="1:9">
      <c r="A657">
        <v>656</v>
      </c>
      <c r="B657">
        <v>8</v>
      </c>
      <c r="C657">
        <v>5000</v>
      </c>
      <c r="D657">
        <v>5210</v>
      </c>
      <c r="E657" s="5">
        <f t="shared" si="41"/>
        <v>210</v>
      </c>
      <c r="F657" s="5">
        <f t="shared" si="42"/>
        <v>44100</v>
      </c>
      <c r="G657" s="6">
        <f>SQRT(SUM($F$2:F657)/A657)</f>
        <v>1098.8910367596652</v>
      </c>
      <c r="H657" s="5">
        <f t="shared" si="43"/>
        <v>1</v>
      </c>
      <c r="I657" s="5">
        <f t="shared" si="44"/>
        <v>1</v>
      </c>
    </row>
    <row r="658" spans="1:9">
      <c r="A658">
        <v>657</v>
      </c>
      <c r="B658">
        <v>7</v>
      </c>
      <c r="C658">
        <v>5000</v>
      </c>
      <c r="D658">
        <v>4815</v>
      </c>
      <c r="E658" s="5">
        <f t="shared" si="41"/>
        <v>185</v>
      </c>
      <c r="F658" s="5">
        <f t="shared" si="42"/>
        <v>34225</v>
      </c>
      <c r="G658" s="6">
        <f>SQRT(SUM($F$2:F658)/A658)</f>
        <v>1098.0781440089208</v>
      </c>
      <c r="H658" s="5">
        <f t="shared" si="43"/>
        <v>1</v>
      </c>
      <c r="I658" s="5">
        <f t="shared" si="44"/>
        <v>1</v>
      </c>
    </row>
    <row r="659" spans="1:9">
      <c r="A659">
        <v>658</v>
      </c>
      <c r="B659">
        <v>8</v>
      </c>
      <c r="C659">
        <v>5000</v>
      </c>
      <c r="D659">
        <v>5289</v>
      </c>
      <c r="E659" s="5">
        <f t="shared" si="41"/>
        <v>289</v>
      </c>
      <c r="F659" s="5">
        <f t="shared" si="42"/>
        <v>83521</v>
      </c>
      <c r="G659" s="6">
        <f>SQRT(SUM($F$2:F659)/A659)</f>
        <v>1097.3012604708895</v>
      </c>
      <c r="H659" s="5">
        <f t="shared" si="43"/>
        <v>1</v>
      </c>
      <c r="I659" s="5">
        <f t="shared" si="44"/>
        <v>1</v>
      </c>
    </row>
    <row r="660" spans="1:9">
      <c r="A660">
        <v>659</v>
      </c>
      <c r="B660">
        <v>7</v>
      </c>
      <c r="C660">
        <v>5000</v>
      </c>
      <c r="D660">
        <v>4374</v>
      </c>
      <c r="E660" s="5">
        <f t="shared" si="41"/>
        <v>626</v>
      </c>
      <c r="F660" s="5">
        <f t="shared" si="42"/>
        <v>391876</v>
      </c>
      <c r="G660" s="6">
        <f>SQRT(SUM($F$2:F660)/A660)</f>
        <v>1096.7395277848639</v>
      </c>
      <c r="H660" s="5">
        <f t="shared" si="43"/>
        <v>1</v>
      </c>
      <c r="I660" s="5">
        <f t="shared" si="44"/>
        <v>0</v>
      </c>
    </row>
    <row r="661" spans="1:9">
      <c r="A661">
        <v>660</v>
      </c>
      <c r="B661">
        <v>8</v>
      </c>
      <c r="C661">
        <v>5000</v>
      </c>
      <c r="D661">
        <v>5056</v>
      </c>
      <c r="E661" s="5">
        <f t="shared" si="41"/>
        <v>56</v>
      </c>
      <c r="F661" s="5">
        <f t="shared" si="42"/>
        <v>3136</v>
      </c>
      <c r="G661" s="6">
        <f>SQRT(SUM($F$2:F661)/A661)</f>
        <v>1095.9105173878077</v>
      </c>
      <c r="H661" s="5">
        <f t="shared" si="43"/>
        <v>1</v>
      </c>
      <c r="I661" s="5">
        <f t="shared" si="44"/>
        <v>1</v>
      </c>
    </row>
    <row r="662" spans="1:9">
      <c r="A662">
        <v>661</v>
      </c>
      <c r="B662">
        <v>8</v>
      </c>
      <c r="C662">
        <v>5000</v>
      </c>
      <c r="D662">
        <v>5472</v>
      </c>
      <c r="E662" s="5">
        <f t="shared" si="41"/>
        <v>472</v>
      </c>
      <c r="F662" s="5">
        <f t="shared" si="42"/>
        <v>222784</v>
      </c>
      <c r="G662" s="6">
        <f>SQRT(SUM($F$2:F662)/A662)</f>
        <v>1095.2351021107809</v>
      </c>
      <c r="H662" s="5">
        <f t="shared" si="43"/>
        <v>1</v>
      </c>
      <c r="I662" s="5">
        <f t="shared" si="44"/>
        <v>1</v>
      </c>
    </row>
    <row r="663" spans="1:9">
      <c r="A663">
        <v>662</v>
      </c>
      <c r="B663">
        <v>7</v>
      </c>
      <c r="C663">
        <v>5000</v>
      </c>
      <c r="D663">
        <v>5153</v>
      </c>
      <c r="E663" s="5">
        <f t="shared" si="41"/>
        <v>153</v>
      </c>
      <c r="F663" s="5">
        <f t="shared" si="42"/>
        <v>23409</v>
      </c>
      <c r="G663" s="6">
        <f>SQRT(SUM($F$2:F663)/A663)</f>
        <v>1094.4237278460787</v>
      </c>
      <c r="H663" s="5">
        <f t="shared" si="43"/>
        <v>1</v>
      </c>
      <c r="I663" s="5">
        <f t="shared" si="44"/>
        <v>1</v>
      </c>
    </row>
    <row r="664" spans="1:9">
      <c r="A664">
        <v>663</v>
      </c>
      <c r="B664">
        <v>7</v>
      </c>
      <c r="C664">
        <v>5000</v>
      </c>
      <c r="D664">
        <v>5224</v>
      </c>
      <c r="E664" s="5">
        <f t="shared" si="41"/>
        <v>224</v>
      </c>
      <c r="F664" s="5">
        <f t="shared" si="42"/>
        <v>50176</v>
      </c>
      <c r="G664" s="6">
        <f>SQRT(SUM($F$2:F664)/A664)</f>
        <v>1093.6326600707634</v>
      </c>
      <c r="H664" s="5">
        <f t="shared" si="43"/>
        <v>1</v>
      </c>
      <c r="I664" s="5">
        <f t="shared" si="44"/>
        <v>1</v>
      </c>
    </row>
    <row r="665" spans="1:9">
      <c r="A665">
        <v>664</v>
      </c>
      <c r="B665">
        <v>7</v>
      </c>
      <c r="C665">
        <v>5000</v>
      </c>
      <c r="D665">
        <v>4303</v>
      </c>
      <c r="E665" s="5">
        <f t="shared" si="41"/>
        <v>697</v>
      </c>
      <c r="F665" s="5">
        <f t="shared" si="42"/>
        <v>485809</v>
      </c>
      <c r="G665" s="6">
        <f>SQRT(SUM($F$2:F665)/A665)</f>
        <v>1093.1435320334224</v>
      </c>
      <c r="H665" s="5">
        <f t="shared" si="43"/>
        <v>1</v>
      </c>
      <c r="I665" s="5">
        <f t="shared" si="44"/>
        <v>0</v>
      </c>
    </row>
    <row r="666" spans="1:9">
      <c r="A666">
        <v>665</v>
      </c>
      <c r="B666">
        <v>8</v>
      </c>
      <c r="C666">
        <v>5000</v>
      </c>
      <c r="D666">
        <v>5322</v>
      </c>
      <c r="E666" s="5">
        <f t="shared" si="41"/>
        <v>322</v>
      </c>
      <c r="F666" s="5">
        <f t="shared" si="42"/>
        <v>103684</v>
      </c>
      <c r="G666" s="6">
        <f>SQRT(SUM($F$2:F666)/A666)</f>
        <v>1092.3926770636351</v>
      </c>
      <c r="H666" s="5">
        <f t="shared" si="43"/>
        <v>1</v>
      </c>
      <c r="I666" s="5">
        <f t="shared" si="44"/>
        <v>1</v>
      </c>
    </row>
    <row r="667" spans="1:9">
      <c r="A667">
        <v>666</v>
      </c>
      <c r="B667">
        <v>7</v>
      </c>
      <c r="C667">
        <v>5000</v>
      </c>
      <c r="D667">
        <v>4729</v>
      </c>
      <c r="E667" s="5">
        <f t="shared" si="41"/>
        <v>271</v>
      </c>
      <c r="F667" s="5">
        <f t="shared" si="42"/>
        <v>73441</v>
      </c>
      <c r="G667" s="6">
        <f>SQRT(SUM($F$2:F667)/A667)</f>
        <v>1091.6227637138475</v>
      </c>
      <c r="H667" s="5">
        <f t="shared" si="43"/>
        <v>1</v>
      </c>
      <c r="I667" s="5">
        <f t="shared" si="44"/>
        <v>1</v>
      </c>
    </row>
    <row r="668" spans="1:9">
      <c r="A668">
        <v>667</v>
      </c>
      <c r="B668">
        <v>8</v>
      </c>
      <c r="C668">
        <v>5000</v>
      </c>
      <c r="D668">
        <v>5481</v>
      </c>
      <c r="E668" s="5">
        <f t="shared" si="41"/>
        <v>481</v>
      </c>
      <c r="F668" s="5">
        <f t="shared" si="42"/>
        <v>231361</v>
      </c>
      <c r="G668" s="6">
        <f>SQRT(SUM($F$2:F668)/A668)</f>
        <v>1090.9631337586022</v>
      </c>
      <c r="H668" s="5">
        <f t="shared" si="43"/>
        <v>1</v>
      </c>
      <c r="I668" s="5">
        <f t="shared" si="44"/>
        <v>1</v>
      </c>
    </row>
    <row r="669" spans="1:9">
      <c r="A669">
        <v>668</v>
      </c>
      <c r="B669">
        <v>7</v>
      </c>
      <c r="C669">
        <v>5000</v>
      </c>
      <c r="D669">
        <v>4743</v>
      </c>
      <c r="E669" s="5">
        <f t="shared" si="41"/>
        <v>257</v>
      </c>
      <c r="F669" s="5">
        <f t="shared" si="42"/>
        <v>66049</v>
      </c>
      <c r="G669" s="6">
        <f>SQRT(SUM($F$2:F669)/A669)</f>
        <v>1090.1915875683458</v>
      </c>
      <c r="H669" s="5">
        <f t="shared" si="43"/>
        <v>1</v>
      </c>
      <c r="I669" s="5">
        <f t="shared" si="44"/>
        <v>1</v>
      </c>
    </row>
    <row r="670" spans="1:9">
      <c r="A670">
        <v>669</v>
      </c>
      <c r="B670">
        <v>8</v>
      </c>
      <c r="C670">
        <v>5000</v>
      </c>
      <c r="D670">
        <v>5330</v>
      </c>
      <c r="E670" s="5">
        <f t="shared" si="41"/>
        <v>330</v>
      </c>
      <c r="F670" s="5">
        <f t="shared" si="42"/>
        <v>108900</v>
      </c>
      <c r="G670" s="6">
        <f>SQRT(SUM($F$2:F670)/A670)</f>
        <v>1089.4512009642797</v>
      </c>
      <c r="H670" s="5">
        <f t="shared" si="43"/>
        <v>1</v>
      </c>
      <c r="I670" s="5">
        <f t="shared" si="44"/>
        <v>1</v>
      </c>
    </row>
    <row r="671" spans="1:9">
      <c r="A671">
        <v>670</v>
      </c>
      <c r="B671">
        <v>7</v>
      </c>
      <c r="C671">
        <v>5000</v>
      </c>
      <c r="D671">
        <v>4956</v>
      </c>
      <c r="E671" s="5">
        <f t="shared" si="41"/>
        <v>44</v>
      </c>
      <c r="F671" s="5">
        <f t="shared" si="42"/>
        <v>1936</v>
      </c>
      <c r="G671" s="6">
        <f>SQRT(SUM($F$2:F671)/A671)</f>
        <v>1088.6392012268166</v>
      </c>
      <c r="H671" s="5">
        <f t="shared" si="43"/>
        <v>1</v>
      </c>
      <c r="I671" s="5">
        <f t="shared" si="44"/>
        <v>1</v>
      </c>
    </row>
    <row r="672" spans="1:9">
      <c r="A672">
        <v>671</v>
      </c>
      <c r="B672">
        <v>8</v>
      </c>
      <c r="C672">
        <v>5000</v>
      </c>
      <c r="D672">
        <v>5313</v>
      </c>
      <c r="E672" s="5">
        <f t="shared" si="41"/>
        <v>313</v>
      </c>
      <c r="F672" s="5">
        <f t="shared" si="42"/>
        <v>97969</v>
      </c>
      <c r="G672" s="6">
        <f>SQRT(SUM($F$2:F672)/A672)</f>
        <v>1087.8947984062631</v>
      </c>
      <c r="H672" s="5">
        <f t="shared" si="43"/>
        <v>1</v>
      </c>
      <c r="I672" s="5">
        <f t="shared" si="44"/>
        <v>1</v>
      </c>
    </row>
    <row r="673" spans="1:9">
      <c r="A673">
        <v>672</v>
      </c>
      <c r="B673">
        <v>7</v>
      </c>
      <c r="C673">
        <v>5000</v>
      </c>
      <c r="D673">
        <v>4861</v>
      </c>
      <c r="E673" s="5">
        <f t="shared" si="41"/>
        <v>139</v>
      </c>
      <c r="F673" s="5">
        <f t="shared" si="42"/>
        <v>19321</v>
      </c>
      <c r="G673" s="6">
        <f>SQRT(SUM($F$2:F673)/A673)</f>
        <v>1087.0982755548303</v>
      </c>
      <c r="H673" s="5">
        <f t="shared" si="43"/>
        <v>1</v>
      </c>
      <c r="I673" s="5">
        <f t="shared" si="44"/>
        <v>1</v>
      </c>
    </row>
    <row r="674" spans="1:9">
      <c r="A674">
        <v>673</v>
      </c>
      <c r="B674">
        <v>8</v>
      </c>
      <c r="C674">
        <v>5000</v>
      </c>
      <c r="D674">
        <v>6029</v>
      </c>
      <c r="E674" s="5">
        <f t="shared" si="41"/>
        <v>1029</v>
      </c>
      <c r="F674" s="5">
        <f t="shared" si="42"/>
        <v>1058841</v>
      </c>
      <c r="G674" s="6">
        <f>SQRT(SUM($F$2:F674)/A674)</f>
        <v>1087.0142518179211</v>
      </c>
      <c r="H674" s="5">
        <f t="shared" si="43"/>
        <v>0</v>
      </c>
      <c r="I674" s="5">
        <f t="shared" si="44"/>
        <v>0</v>
      </c>
    </row>
    <row r="675" spans="1:9">
      <c r="A675">
        <v>674</v>
      </c>
      <c r="B675">
        <v>6</v>
      </c>
      <c r="C675">
        <v>5000</v>
      </c>
      <c r="D675">
        <v>4291</v>
      </c>
      <c r="E675" s="5">
        <f t="shared" si="41"/>
        <v>709</v>
      </c>
      <c r="F675" s="5">
        <f t="shared" si="42"/>
        <v>502681</v>
      </c>
      <c r="G675" s="6">
        <f>SQRT(SUM($F$2:F675)/A675)</f>
        <v>1086.5508204681182</v>
      </c>
      <c r="H675" s="5">
        <f t="shared" si="43"/>
        <v>1</v>
      </c>
      <c r="I675" s="5">
        <f t="shared" si="44"/>
        <v>0</v>
      </c>
    </row>
    <row r="676" spans="1:9">
      <c r="A676">
        <v>675</v>
      </c>
      <c r="B676">
        <v>8</v>
      </c>
      <c r="C676">
        <v>5000</v>
      </c>
      <c r="D676">
        <v>5254</v>
      </c>
      <c r="E676" s="5">
        <f t="shared" si="41"/>
        <v>254</v>
      </c>
      <c r="F676" s="5">
        <f t="shared" si="42"/>
        <v>64516</v>
      </c>
      <c r="G676" s="6">
        <f>SQRT(SUM($F$2:F676)/A676)</f>
        <v>1085.7896842936566</v>
      </c>
      <c r="H676" s="5">
        <f t="shared" si="43"/>
        <v>1</v>
      </c>
      <c r="I676" s="5">
        <f t="shared" si="44"/>
        <v>1</v>
      </c>
    </row>
    <row r="677" spans="1:9">
      <c r="A677">
        <v>676</v>
      </c>
      <c r="B677">
        <v>7</v>
      </c>
      <c r="C677">
        <v>5000</v>
      </c>
      <c r="D677">
        <v>3502</v>
      </c>
      <c r="E677" s="5">
        <f t="shared" si="41"/>
        <v>1498</v>
      </c>
      <c r="F677" s="5">
        <f t="shared" si="42"/>
        <v>2244004</v>
      </c>
      <c r="G677" s="6">
        <f>SQRT(SUM($F$2:F677)/A677)</f>
        <v>1086.5149691129473</v>
      </c>
      <c r="H677" s="5">
        <f t="shared" si="43"/>
        <v>0</v>
      </c>
      <c r="I677" s="5">
        <f t="shared" si="44"/>
        <v>0</v>
      </c>
    </row>
    <row r="678" spans="1:9">
      <c r="A678">
        <v>677</v>
      </c>
      <c r="B678">
        <v>9</v>
      </c>
      <c r="C678">
        <v>5000</v>
      </c>
      <c r="D678">
        <v>4895</v>
      </c>
      <c r="E678" s="5">
        <f t="shared" si="41"/>
        <v>105</v>
      </c>
      <c r="F678" s="5">
        <f t="shared" si="42"/>
        <v>11025</v>
      </c>
      <c r="G678" s="6">
        <f>SQRT(SUM($F$2:F678)/A678)</f>
        <v>1085.719723987113</v>
      </c>
      <c r="H678" s="5">
        <f t="shared" si="43"/>
        <v>1</v>
      </c>
      <c r="I678" s="5">
        <f t="shared" si="44"/>
        <v>1</v>
      </c>
    </row>
    <row r="679" spans="1:9">
      <c r="A679">
        <v>678</v>
      </c>
      <c r="B679">
        <v>8</v>
      </c>
      <c r="C679">
        <v>5000</v>
      </c>
      <c r="D679">
        <v>2804</v>
      </c>
      <c r="E679" s="5">
        <f t="shared" si="41"/>
        <v>2196</v>
      </c>
      <c r="F679" s="5">
        <f t="shared" si="42"/>
        <v>4822416</v>
      </c>
      <c r="G679" s="6">
        <f>SQRT(SUM($F$2:F679)/A679)</f>
        <v>1088.1918041663737</v>
      </c>
      <c r="H679" s="5">
        <f t="shared" si="43"/>
        <v>0</v>
      </c>
      <c r="I679" s="5">
        <f t="shared" si="44"/>
        <v>0</v>
      </c>
    </row>
    <row r="680" spans="1:9">
      <c r="A680">
        <v>679</v>
      </c>
      <c r="B680">
        <v>10</v>
      </c>
      <c r="C680">
        <v>5000</v>
      </c>
      <c r="D680">
        <v>6743</v>
      </c>
      <c r="E680" s="5">
        <f t="shared" si="41"/>
        <v>1743</v>
      </c>
      <c r="F680" s="5">
        <f t="shared" si="42"/>
        <v>3038049</v>
      </c>
      <c r="G680" s="6">
        <f>SQRT(SUM($F$2:F680)/A680)</f>
        <v>1089.4456035627657</v>
      </c>
      <c r="H680" s="5">
        <f t="shared" si="43"/>
        <v>0</v>
      </c>
      <c r="I680" s="5">
        <f t="shared" si="44"/>
        <v>0</v>
      </c>
    </row>
    <row r="681" spans="1:9">
      <c r="A681">
        <v>680</v>
      </c>
      <c r="B681">
        <v>6</v>
      </c>
      <c r="C681">
        <v>5000</v>
      </c>
      <c r="D681">
        <v>3363</v>
      </c>
      <c r="E681" s="5">
        <f t="shared" si="41"/>
        <v>1637</v>
      </c>
      <c r="F681" s="5">
        <f t="shared" si="42"/>
        <v>2679769</v>
      </c>
      <c r="G681" s="6">
        <f>SQRT(SUM($F$2:F681)/A681)</f>
        <v>1090.4527183158164</v>
      </c>
      <c r="H681" s="5">
        <f t="shared" si="43"/>
        <v>0</v>
      </c>
      <c r="I681" s="5">
        <f t="shared" si="44"/>
        <v>0</v>
      </c>
    </row>
    <row r="682" spans="1:9">
      <c r="A682">
        <v>681</v>
      </c>
      <c r="B682">
        <v>10</v>
      </c>
      <c r="C682">
        <v>5000</v>
      </c>
      <c r="D682">
        <v>6310</v>
      </c>
      <c r="E682" s="5">
        <f t="shared" si="41"/>
        <v>1310</v>
      </c>
      <c r="F682" s="5">
        <f t="shared" si="42"/>
        <v>1716100</v>
      </c>
      <c r="G682" s="6">
        <f>SQRT(SUM($F$2:F682)/A682)</f>
        <v>1090.8075044422046</v>
      </c>
      <c r="H682" s="5">
        <f t="shared" si="43"/>
        <v>0</v>
      </c>
      <c r="I682" s="5">
        <f t="shared" si="44"/>
        <v>0</v>
      </c>
    </row>
    <row r="683" spans="1:9">
      <c r="A683">
        <v>682</v>
      </c>
      <c r="B683">
        <v>7</v>
      </c>
      <c r="C683">
        <v>5000</v>
      </c>
      <c r="D683">
        <v>4106</v>
      </c>
      <c r="E683" s="5">
        <f t="shared" si="41"/>
        <v>894</v>
      </c>
      <c r="F683" s="5">
        <f t="shared" si="42"/>
        <v>799236</v>
      </c>
      <c r="G683" s="6">
        <f>SQRT(SUM($F$2:F683)/A683)</f>
        <v>1090.5449315826406</v>
      </c>
      <c r="H683" s="5">
        <f t="shared" si="43"/>
        <v>1</v>
      </c>
      <c r="I683" s="5">
        <f t="shared" si="44"/>
        <v>0</v>
      </c>
    </row>
    <row r="684" spans="1:9">
      <c r="A684">
        <v>683</v>
      </c>
      <c r="B684">
        <v>9</v>
      </c>
      <c r="C684">
        <v>5000</v>
      </c>
      <c r="D684">
        <v>6048</v>
      </c>
      <c r="E684" s="5">
        <f t="shared" si="41"/>
        <v>1048</v>
      </c>
      <c r="F684" s="5">
        <f t="shared" si="42"/>
        <v>1098304</v>
      </c>
      <c r="G684" s="6">
        <f>SQRT(SUM($F$2:F684)/A684)</f>
        <v>1090.4838536810585</v>
      </c>
      <c r="H684" s="5">
        <f t="shared" si="43"/>
        <v>0</v>
      </c>
      <c r="I684" s="5">
        <f t="shared" si="44"/>
        <v>0</v>
      </c>
    </row>
    <row r="685" spans="1:9">
      <c r="A685">
        <v>684</v>
      </c>
      <c r="B685">
        <v>7</v>
      </c>
      <c r="C685">
        <v>5000</v>
      </c>
      <c r="D685">
        <v>4764</v>
      </c>
      <c r="E685" s="5">
        <f t="shared" si="41"/>
        <v>236</v>
      </c>
      <c r="F685" s="5">
        <f t="shared" si="42"/>
        <v>55696</v>
      </c>
      <c r="G685" s="6">
        <f>SQRT(SUM($F$2:F685)/A685)</f>
        <v>1089.7237866939263</v>
      </c>
      <c r="H685" s="5">
        <f t="shared" si="43"/>
        <v>1</v>
      </c>
      <c r="I685" s="5">
        <f t="shared" si="44"/>
        <v>1</v>
      </c>
    </row>
    <row r="686" spans="1:9">
      <c r="A686">
        <v>685</v>
      </c>
      <c r="B686">
        <v>8</v>
      </c>
      <c r="C686">
        <v>5000</v>
      </c>
      <c r="D686">
        <v>5764</v>
      </c>
      <c r="E686" s="5">
        <f t="shared" si="41"/>
        <v>764</v>
      </c>
      <c r="F686" s="5">
        <f t="shared" si="42"/>
        <v>583696</v>
      </c>
      <c r="G686" s="6">
        <f>SQRT(SUM($F$2:F686)/A686)</f>
        <v>1089.3192684484832</v>
      </c>
      <c r="H686" s="5">
        <f t="shared" si="43"/>
        <v>1</v>
      </c>
      <c r="I686" s="5">
        <f t="shared" si="44"/>
        <v>0</v>
      </c>
    </row>
    <row r="687" spans="1:9">
      <c r="A687">
        <v>686</v>
      </c>
      <c r="B687">
        <v>7</v>
      </c>
      <c r="C687">
        <v>5000</v>
      </c>
      <c r="D687">
        <v>4143</v>
      </c>
      <c r="E687" s="5">
        <f t="shared" si="41"/>
        <v>857</v>
      </c>
      <c r="F687" s="5">
        <f t="shared" si="42"/>
        <v>734449</v>
      </c>
      <c r="G687" s="6">
        <f>SQRT(SUM($F$2:F687)/A687)</f>
        <v>1089.0166813972669</v>
      </c>
      <c r="H687" s="5">
        <f t="shared" si="43"/>
        <v>1</v>
      </c>
      <c r="I687" s="5">
        <f t="shared" si="44"/>
        <v>0</v>
      </c>
    </row>
    <row r="688" spans="1:9">
      <c r="A688">
        <v>687</v>
      </c>
      <c r="B688">
        <v>9</v>
      </c>
      <c r="C688">
        <v>5000</v>
      </c>
      <c r="D688">
        <v>6191</v>
      </c>
      <c r="E688" s="5">
        <f t="shared" si="41"/>
        <v>1191</v>
      </c>
      <c r="F688" s="5">
        <f t="shared" si="42"/>
        <v>1418481</v>
      </c>
      <c r="G688" s="6">
        <f>SQRT(SUM($F$2:F688)/A688)</f>
        <v>1089.1720684812963</v>
      </c>
      <c r="H688" s="5">
        <f t="shared" si="43"/>
        <v>0</v>
      </c>
      <c r="I688" s="5">
        <f t="shared" si="44"/>
        <v>0</v>
      </c>
    </row>
    <row r="689" spans="1:9">
      <c r="A689">
        <v>688</v>
      </c>
      <c r="B689">
        <v>7</v>
      </c>
      <c r="C689">
        <v>5000</v>
      </c>
      <c r="D689">
        <v>5265</v>
      </c>
      <c r="E689" s="5">
        <f t="shared" si="41"/>
        <v>265</v>
      </c>
      <c r="F689" s="5">
        <f t="shared" si="42"/>
        <v>70225</v>
      </c>
      <c r="G689" s="6">
        <f>SQRT(SUM($F$2:F689)/A689)</f>
        <v>1088.4271215093868</v>
      </c>
      <c r="H689" s="5">
        <f t="shared" si="43"/>
        <v>1</v>
      </c>
      <c r="I689" s="5">
        <f t="shared" si="44"/>
        <v>1</v>
      </c>
    </row>
    <row r="690" spans="1:9">
      <c r="A690">
        <v>689</v>
      </c>
      <c r="B690">
        <v>7</v>
      </c>
      <c r="C690">
        <v>5000</v>
      </c>
      <c r="D690">
        <v>4817</v>
      </c>
      <c r="E690" s="5">
        <f t="shared" si="41"/>
        <v>183</v>
      </c>
      <c r="F690" s="5">
        <f t="shared" si="42"/>
        <v>33489</v>
      </c>
      <c r="G690" s="6">
        <f>SQRT(SUM($F$2:F690)/A690)</f>
        <v>1087.6593188605561</v>
      </c>
      <c r="H690" s="5">
        <f t="shared" si="43"/>
        <v>1</v>
      </c>
      <c r="I690" s="5">
        <f t="shared" si="44"/>
        <v>1</v>
      </c>
    </row>
    <row r="691" spans="1:9">
      <c r="A691">
        <v>690</v>
      </c>
      <c r="B691">
        <v>8</v>
      </c>
      <c r="C691">
        <v>5000</v>
      </c>
      <c r="D691">
        <v>5030</v>
      </c>
      <c r="E691" s="5">
        <f t="shared" si="41"/>
        <v>30</v>
      </c>
      <c r="F691" s="5">
        <f t="shared" si="42"/>
        <v>900</v>
      </c>
      <c r="G691" s="6">
        <f>SQRT(SUM($F$2:F691)/A691)</f>
        <v>1086.871474209014</v>
      </c>
      <c r="H691" s="5">
        <f t="shared" si="43"/>
        <v>1</v>
      </c>
      <c r="I691" s="5">
        <f t="shared" si="44"/>
        <v>1</v>
      </c>
    </row>
    <row r="692" spans="1:9">
      <c r="A692">
        <v>691</v>
      </c>
      <c r="B692">
        <v>8</v>
      </c>
      <c r="C692">
        <v>5000</v>
      </c>
      <c r="D692">
        <v>5723</v>
      </c>
      <c r="E692" s="5">
        <f t="shared" si="41"/>
        <v>723</v>
      </c>
      <c r="F692" s="5">
        <f t="shared" si="42"/>
        <v>522729</v>
      </c>
      <c r="G692" s="6">
        <f>SQRT(SUM($F$2:F692)/A692)</f>
        <v>1086.4329464045561</v>
      </c>
      <c r="H692" s="5">
        <f t="shared" si="43"/>
        <v>1</v>
      </c>
      <c r="I692" s="5">
        <f t="shared" si="44"/>
        <v>0</v>
      </c>
    </row>
    <row r="693" spans="1:9">
      <c r="A693">
        <v>692</v>
      </c>
      <c r="B693">
        <v>7</v>
      </c>
      <c r="C693">
        <v>5000</v>
      </c>
      <c r="D693">
        <v>5011</v>
      </c>
      <c r="E693" s="5">
        <f t="shared" si="41"/>
        <v>11</v>
      </c>
      <c r="F693" s="5">
        <f t="shared" si="42"/>
        <v>121</v>
      </c>
      <c r="G693" s="6">
        <f>SQRT(SUM($F$2:F693)/A693)</f>
        <v>1085.6477482300575</v>
      </c>
      <c r="H693" s="5">
        <f t="shared" si="43"/>
        <v>1</v>
      </c>
      <c r="I693" s="5">
        <f t="shared" si="44"/>
        <v>1</v>
      </c>
    </row>
    <row r="694" spans="1:9">
      <c r="A694">
        <v>693</v>
      </c>
      <c r="B694">
        <v>7</v>
      </c>
      <c r="C694">
        <v>5000</v>
      </c>
      <c r="D694">
        <v>5272</v>
      </c>
      <c r="E694" s="5">
        <f t="shared" si="41"/>
        <v>272</v>
      </c>
      <c r="F694" s="5">
        <f t="shared" si="42"/>
        <v>73984</v>
      </c>
      <c r="G694" s="6">
        <f>SQRT(SUM($F$2:F694)/A694)</f>
        <v>1084.9133725666884</v>
      </c>
      <c r="H694" s="5">
        <f t="shared" si="43"/>
        <v>1</v>
      </c>
      <c r="I694" s="5">
        <f t="shared" si="44"/>
        <v>1</v>
      </c>
    </row>
    <row r="695" spans="1:9">
      <c r="A695">
        <v>694</v>
      </c>
      <c r="B695">
        <v>7</v>
      </c>
      <c r="C695">
        <v>5000</v>
      </c>
      <c r="D695">
        <v>4708</v>
      </c>
      <c r="E695" s="5">
        <f t="shared" si="41"/>
        <v>292</v>
      </c>
      <c r="F695" s="5">
        <f t="shared" si="42"/>
        <v>85264</v>
      </c>
      <c r="G695" s="6">
        <f>SQRT(SUM($F$2:F695)/A695)</f>
        <v>1084.1881137488256</v>
      </c>
      <c r="H695" s="5">
        <f t="shared" si="43"/>
        <v>1</v>
      </c>
      <c r="I695" s="5">
        <f t="shared" si="44"/>
        <v>1</v>
      </c>
    </row>
    <row r="696" spans="1:9">
      <c r="A696">
        <v>695</v>
      </c>
      <c r="B696">
        <v>8</v>
      </c>
      <c r="C696">
        <v>5000</v>
      </c>
      <c r="D696">
        <v>5742</v>
      </c>
      <c r="E696" s="5">
        <f t="shared" si="41"/>
        <v>742</v>
      </c>
      <c r="F696" s="5">
        <f t="shared" si="42"/>
        <v>550564</v>
      </c>
      <c r="G696" s="6">
        <f>SQRT(SUM($F$2:F696)/A696)</f>
        <v>1083.7733755247925</v>
      </c>
      <c r="H696" s="5">
        <f t="shared" si="43"/>
        <v>1</v>
      </c>
      <c r="I696" s="5">
        <f t="shared" si="44"/>
        <v>0</v>
      </c>
    </row>
    <row r="697" spans="1:9">
      <c r="A697">
        <v>696</v>
      </c>
      <c r="B697">
        <v>7</v>
      </c>
      <c r="C697">
        <v>5000</v>
      </c>
      <c r="D697">
        <v>4947</v>
      </c>
      <c r="E697" s="5">
        <f t="shared" si="41"/>
        <v>53</v>
      </c>
      <c r="F697" s="5">
        <f t="shared" si="42"/>
        <v>2809</v>
      </c>
      <c r="G697" s="6">
        <f>SQRT(SUM($F$2:F697)/A697)</f>
        <v>1082.996386149923</v>
      </c>
      <c r="H697" s="5">
        <f t="shared" si="43"/>
        <v>1</v>
      </c>
      <c r="I697" s="5">
        <f t="shared" si="44"/>
        <v>1</v>
      </c>
    </row>
    <row r="698" spans="1:9">
      <c r="A698">
        <v>697</v>
      </c>
      <c r="B698">
        <v>7</v>
      </c>
      <c r="C698">
        <v>5000</v>
      </c>
      <c r="D698">
        <v>4893</v>
      </c>
      <c r="E698" s="5">
        <f t="shared" si="41"/>
        <v>107</v>
      </c>
      <c r="F698" s="5">
        <f t="shared" si="42"/>
        <v>11449</v>
      </c>
      <c r="G698" s="6">
        <f>SQRT(SUM($F$2:F698)/A698)</f>
        <v>1082.2267979406049</v>
      </c>
      <c r="H698" s="5">
        <f t="shared" si="43"/>
        <v>1</v>
      </c>
      <c r="I698" s="5">
        <f t="shared" si="44"/>
        <v>1</v>
      </c>
    </row>
    <row r="699" spans="1:9">
      <c r="A699">
        <v>698</v>
      </c>
      <c r="B699">
        <v>7</v>
      </c>
      <c r="C699">
        <v>5000</v>
      </c>
      <c r="D699">
        <v>4817</v>
      </c>
      <c r="E699" s="5">
        <f t="shared" si="41"/>
        <v>183</v>
      </c>
      <c r="F699" s="5">
        <f t="shared" si="42"/>
        <v>33489</v>
      </c>
      <c r="G699" s="6">
        <f>SQRT(SUM($F$2:F699)/A699)</f>
        <v>1081.4734682201795</v>
      </c>
      <c r="H699" s="5">
        <f t="shared" si="43"/>
        <v>1</v>
      </c>
      <c r="I699" s="5">
        <f t="shared" si="44"/>
        <v>1</v>
      </c>
    </row>
    <row r="700" spans="1:9">
      <c r="A700">
        <v>699</v>
      </c>
      <c r="B700">
        <v>8</v>
      </c>
      <c r="C700">
        <v>5000</v>
      </c>
      <c r="D700">
        <v>5394</v>
      </c>
      <c r="E700" s="5">
        <f t="shared" si="41"/>
        <v>394</v>
      </c>
      <c r="F700" s="5">
        <f t="shared" si="42"/>
        <v>155236</v>
      </c>
      <c r="G700" s="6">
        <f>SQRT(SUM($F$2:F700)/A700)</f>
        <v>1080.8023499231613</v>
      </c>
      <c r="H700" s="5">
        <f t="shared" si="43"/>
        <v>1</v>
      </c>
      <c r="I700" s="5">
        <f t="shared" si="44"/>
        <v>1</v>
      </c>
    </row>
    <row r="701" spans="1:9">
      <c r="A701">
        <v>700</v>
      </c>
      <c r="B701">
        <v>7</v>
      </c>
      <c r="C701">
        <v>5000</v>
      </c>
      <c r="D701">
        <v>4434</v>
      </c>
      <c r="E701" s="5">
        <f t="shared" si="41"/>
        <v>566</v>
      </c>
      <c r="F701" s="5">
        <f t="shared" si="42"/>
        <v>320356</v>
      </c>
      <c r="G701" s="6">
        <f>SQRT(SUM($F$2:F701)/A701)</f>
        <v>1080.2419213173632</v>
      </c>
      <c r="H701" s="5">
        <f t="shared" si="43"/>
        <v>1</v>
      </c>
      <c r="I701" s="5">
        <f t="shared" si="44"/>
        <v>0</v>
      </c>
    </row>
    <row r="702" spans="1:9">
      <c r="A702">
        <v>701</v>
      </c>
      <c r="B702">
        <v>8</v>
      </c>
      <c r="C702">
        <v>6000</v>
      </c>
      <c r="D702">
        <v>5728</v>
      </c>
      <c r="E702" s="5">
        <f t="shared" si="41"/>
        <v>272</v>
      </c>
      <c r="F702" s="5">
        <f t="shared" si="42"/>
        <v>73984</v>
      </c>
      <c r="G702" s="6">
        <f>SQRT(SUM($F$2:F702)/A702)</f>
        <v>1079.5200299240087</v>
      </c>
      <c r="H702" s="5">
        <f t="shared" si="43"/>
        <v>1</v>
      </c>
      <c r="I702" s="5">
        <f t="shared" si="44"/>
        <v>1</v>
      </c>
    </row>
    <row r="703" spans="1:9">
      <c r="A703">
        <v>702</v>
      </c>
      <c r="B703">
        <v>8</v>
      </c>
      <c r="C703">
        <v>6000</v>
      </c>
      <c r="D703">
        <v>5540</v>
      </c>
      <c r="E703" s="5">
        <f t="shared" si="41"/>
        <v>460</v>
      </c>
      <c r="F703" s="5">
        <f t="shared" si="42"/>
        <v>211600</v>
      </c>
      <c r="G703" s="6">
        <f>SQRT(SUM($F$2:F703)/A703)</f>
        <v>1078.8905679214447</v>
      </c>
      <c r="H703" s="5">
        <f t="shared" si="43"/>
        <v>1</v>
      </c>
      <c r="I703" s="5">
        <f t="shared" si="44"/>
        <v>1</v>
      </c>
    </row>
    <row r="704" spans="1:9">
      <c r="A704">
        <v>703</v>
      </c>
      <c r="B704">
        <v>8</v>
      </c>
      <c r="C704">
        <v>6000</v>
      </c>
      <c r="D704">
        <v>5002</v>
      </c>
      <c r="E704" s="5">
        <f t="shared" si="41"/>
        <v>998</v>
      </c>
      <c r="F704" s="5">
        <f t="shared" si="42"/>
        <v>996004</v>
      </c>
      <c r="G704" s="6">
        <f>SQRT(SUM($F$2:F704)/A704)</f>
        <v>1078.7798109494315</v>
      </c>
      <c r="H704" s="5">
        <f t="shared" si="43"/>
        <v>1</v>
      </c>
      <c r="I704" s="5">
        <f t="shared" si="44"/>
        <v>0</v>
      </c>
    </row>
    <row r="705" spans="1:9">
      <c r="A705">
        <v>704</v>
      </c>
      <c r="B705">
        <v>9</v>
      </c>
      <c r="C705">
        <v>6000</v>
      </c>
      <c r="D705">
        <v>5695</v>
      </c>
      <c r="E705" s="5">
        <f t="shared" si="41"/>
        <v>305</v>
      </c>
      <c r="F705" s="5">
        <f t="shared" si="42"/>
        <v>93025</v>
      </c>
      <c r="G705" s="6">
        <f>SQRT(SUM($F$2:F705)/A705)</f>
        <v>1078.0746457279122</v>
      </c>
      <c r="H705" s="5">
        <f t="shared" si="43"/>
        <v>1</v>
      </c>
      <c r="I705" s="5">
        <f t="shared" si="44"/>
        <v>1</v>
      </c>
    </row>
    <row r="706" spans="1:9">
      <c r="A706">
        <v>705</v>
      </c>
      <c r="B706">
        <v>8</v>
      </c>
      <c r="C706">
        <v>6000</v>
      </c>
      <c r="D706">
        <v>5424</v>
      </c>
      <c r="E706" s="5">
        <f t="shared" si="41"/>
        <v>576</v>
      </c>
      <c r="F706" s="5">
        <f t="shared" si="42"/>
        <v>331776</v>
      </c>
      <c r="G706" s="6">
        <f>SQRT(SUM($F$2:F706)/A706)</f>
        <v>1077.5281767226347</v>
      </c>
      <c r="H706" s="5">
        <f t="shared" si="43"/>
        <v>1</v>
      </c>
      <c r="I706" s="5">
        <f t="shared" si="44"/>
        <v>1</v>
      </c>
    </row>
    <row r="707" spans="1:9">
      <c r="A707">
        <v>706</v>
      </c>
      <c r="B707">
        <v>9</v>
      </c>
      <c r="C707">
        <v>6000</v>
      </c>
      <c r="D707">
        <v>6083</v>
      </c>
      <c r="E707" s="5">
        <f t="shared" ref="E707:E770" si="45">ABS(C707-D707)</f>
        <v>83</v>
      </c>
      <c r="F707" s="5">
        <f t="shared" ref="F707:F770" si="46">POWER(E707,2)</f>
        <v>6889</v>
      </c>
      <c r="G707" s="6">
        <f>SQRT(SUM($F$2:F707)/A707)</f>
        <v>1076.7693154247229</v>
      </c>
      <c r="H707" s="5">
        <f t="shared" ref="H707:H770" si="47">IF(ABS(E707)/C707&gt;0.2,0,1)</f>
        <v>1</v>
      </c>
      <c r="I707" s="5">
        <f t="shared" ref="I707:I770" si="48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4876</v>
      </c>
      <c r="E708" s="5">
        <f t="shared" si="45"/>
        <v>1124</v>
      </c>
      <c r="F708" s="5">
        <f t="shared" si="46"/>
        <v>1263376</v>
      </c>
      <c r="G708" s="6">
        <f>SQRT(SUM($F$2:F708)/A708)</f>
        <v>1076.8375827543582</v>
      </c>
      <c r="H708" s="5">
        <f t="shared" si="47"/>
        <v>1</v>
      </c>
      <c r="I708" s="5">
        <f t="shared" si="48"/>
        <v>0</v>
      </c>
    </row>
    <row r="709" spans="1:9">
      <c r="A709">
        <v>708</v>
      </c>
      <c r="B709">
        <v>9</v>
      </c>
      <c r="C709">
        <v>6000</v>
      </c>
      <c r="D709">
        <v>5217</v>
      </c>
      <c r="E709" s="5">
        <f t="shared" si="45"/>
        <v>783</v>
      </c>
      <c r="F709" s="5">
        <f t="shared" si="46"/>
        <v>613089</v>
      </c>
      <c r="G709" s="6">
        <f>SQRT(SUM($F$2:F709)/A709)</f>
        <v>1076.4791223462987</v>
      </c>
      <c r="H709" s="5">
        <f t="shared" si="47"/>
        <v>1</v>
      </c>
      <c r="I709" s="5">
        <f t="shared" si="48"/>
        <v>0</v>
      </c>
    </row>
    <row r="710" spans="1:9">
      <c r="A710">
        <v>709</v>
      </c>
      <c r="B710">
        <v>9</v>
      </c>
      <c r="C710">
        <v>6000</v>
      </c>
      <c r="D710">
        <v>6149</v>
      </c>
      <c r="E710" s="5">
        <f t="shared" si="45"/>
        <v>149</v>
      </c>
      <c r="F710" s="5">
        <f t="shared" si="46"/>
        <v>22201</v>
      </c>
      <c r="G710" s="6">
        <f>SQRT(SUM($F$2:F710)/A710)</f>
        <v>1075.7342557521301</v>
      </c>
      <c r="H710" s="5">
        <f t="shared" si="47"/>
        <v>1</v>
      </c>
      <c r="I710" s="5">
        <f t="shared" si="48"/>
        <v>1</v>
      </c>
    </row>
    <row r="711" spans="1:9">
      <c r="A711">
        <v>710</v>
      </c>
      <c r="B711">
        <v>8</v>
      </c>
      <c r="C711">
        <v>6000</v>
      </c>
      <c r="D711">
        <v>4812</v>
      </c>
      <c r="E711" s="5">
        <f t="shared" si="45"/>
        <v>1188</v>
      </c>
      <c r="F711" s="5">
        <f t="shared" si="46"/>
        <v>1411344</v>
      </c>
      <c r="G711" s="6">
        <f>SQRT(SUM($F$2:F711)/A711)</f>
        <v>1075.9006145524625</v>
      </c>
      <c r="H711" s="5">
        <f t="shared" si="47"/>
        <v>1</v>
      </c>
      <c r="I711" s="5">
        <f t="shared" si="48"/>
        <v>0</v>
      </c>
    </row>
    <row r="712" spans="1:9">
      <c r="A712">
        <v>711</v>
      </c>
      <c r="B712">
        <v>10</v>
      </c>
      <c r="C712">
        <v>6000</v>
      </c>
      <c r="D712">
        <v>6698</v>
      </c>
      <c r="E712" s="5">
        <f t="shared" si="45"/>
        <v>698</v>
      </c>
      <c r="F712" s="5">
        <f t="shared" si="46"/>
        <v>487204</v>
      </c>
      <c r="G712" s="6">
        <f>SQRT(SUM($F$2:F712)/A712)</f>
        <v>1075.462362871049</v>
      </c>
      <c r="H712" s="5">
        <f t="shared" si="47"/>
        <v>1</v>
      </c>
      <c r="I712" s="5">
        <f t="shared" si="48"/>
        <v>0</v>
      </c>
    </row>
    <row r="713" spans="1:9">
      <c r="A713">
        <v>712</v>
      </c>
      <c r="B713">
        <v>8</v>
      </c>
      <c r="C713">
        <v>6000</v>
      </c>
      <c r="D713">
        <v>5683</v>
      </c>
      <c r="E713" s="5">
        <f t="shared" si="45"/>
        <v>317</v>
      </c>
      <c r="F713" s="5">
        <f t="shared" si="46"/>
        <v>100489</v>
      </c>
      <c r="G713" s="6">
        <f>SQRT(SUM($F$2:F713)/A713)</f>
        <v>1074.7725177392845</v>
      </c>
      <c r="H713" s="5">
        <f t="shared" si="47"/>
        <v>1</v>
      </c>
      <c r="I713" s="5">
        <f t="shared" si="48"/>
        <v>1</v>
      </c>
    </row>
    <row r="714" spans="1:9">
      <c r="A714">
        <v>713</v>
      </c>
      <c r="B714">
        <v>9</v>
      </c>
      <c r="C714">
        <v>6000</v>
      </c>
      <c r="D714">
        <v>5599</v>
      </c>
      <c r="E714" s="5">
        <f t="shared" si="45"/>
        <v>401</v>
      </c>
      <c r="F714" s="5">
        <f t="shared" si="46"/>
        <v>160801</v>
      </c>
      <c r="G714" s="6">
        <f>SQRT(SUM($F$2:F714)/A714)</f>
        <v>1074.1235430313636</v>
      </c>
      <c r="H714" s="5">
        <f t="shared" si="47"/>
        <v>1</v>
      </c>
      <c r="I714" s="5">
        <f t="shared" si="48"/>
        <v>1</v>
      </c>
    </row>
    <row r="715" spans="1:9">
      <c r="A715">
        <v>714</v>
      </c>
      <c r="B715">
        <v>9</v>
      </c>
      <c r="C715">
        <v>6000</v>
      </c>
      <c r="D715">
        <v>6152</v>
      </c>
      <c r="E715" s="5">
        <f t="shared" si="45"/>
        <v>152</v>
      </c>
      <c r="F715" s="5">
        <f t="shared" si="46"/>
        <v>23104</v>
      </c>
      <c r="G715" s="6">
        <f>SQRT(SUM($F$2:F715)/A715)</f>
        <v>1073.386165340311</v>
      </c>
      <c r="H715" s="5">
        <f t="shared" si="47"/>
        <v>1</v>
      </c>
      <c r="I715" s="5">
        <f t="shared" si="48"/>
        <v>1</v>
      </c>
    </row>
    <row r="716" spans="1:9">
      <c r="A716">
        <v>715</v>
      </c>
      <c r="B716">
        <v>9</v>
      </c>
      <c r="C716">
        <v>6000</v>
      </c>
      <c r="D716">
        <v>6090</v>
      </c>
      <c r="E716" s="5">
        <f t="shared" si="45"/>
        <v>90</v>
      </c>
      <c r="F716" s="5">
        <f t="shared" si="46"/>
        <v>8100</v>
      </c>
      <c r="G716" s="6">
        <f>SQRT(SUM($F$2:F716)/A716)</f>
        <v>1072.6405637588853</v>
      </c>
      <c r="H716" s="5">
        <f t="shared" si="47"/>
        <v>1</v>
      </c>
      <c r="I716" s="5">
        <f t="shared" si="48"/>
        <v>1</v>
      </c>
    </row>
    <row r="717" spans="1:9">
      <c r="A717">
        <v>716</v>
      </c>
      <c r="B717">
        <v>9</v>
      </c>
      <c r="C717">
        <v>6000</v>
      </c>
      <c r="D717">
        <v>6170</v>
      </c>
      <c r="E717" s="5">
        <f t="shared" si="45"/>
        <v>170</v>
      </c>
      <c r="F717" s="5">
        <f t="shared" si="46"/>
        <v>28900</v>
      </c>
      <c r="G717" s="6">
        <f>SQRT(SUM($F$2:F717)/A717)</f>
        <v>1071.9100791937237</v>
      </c>
      <c r="H717" s="5">
        <f t="shared" si="47"/>
        <v>1</v>
      </c>
      <c r="I717" s="5">
        <f t="shared" si="48"/>
        <v>1</v>
      </c>
    </row>
    <row r="718" spans="1:9">
      <c r="A718">
        <v>717</v>
      </c>
      <c r="B718">
        <v>9</v>
      </c>
      <c r="C718">
        <v>6000</v>
      </c>
      <c r="D718">
        <v>5989</v>
      </c>
      <c r="E718" s="5">
        <f t="shared" si="45"/>
        <v>11</v>
      </c>
      <c r="F718" s="5">
        <f t="shared" si="46"/>
        <v>121</v>
      </c>
      <c r="G718" s="6">
        <f>SQRT(SUM($F$2:F718)/A718)</f>
        <v>1071.1624005835852</v>
      </c>
      <c r="H718" s="5">
        <f t="shared" si="47"/>
        <v>1</v>
      </c>
      <c r="I718" s="5">
        <f t="shared" si="48"/>
        <v>1</v>
      </c>
    </row>
    <row r="719" spans="1:9">
      <c r="A719">
        <v>718</v>
      </c>
      <c r="B719">
        <v>9</v>
      </c>
      <c r="C719">
        <v>6000</v>
      </c>
      <c r="D719">
        <v>5975</v>
      </c>
      <c r="E719" s="5">
        <f t="shared" si="45"/>
        <v>25</v>
      </c>
      <c r="F719" s="5">
        <f t="shared" si="46"/>
        <v>625</v>
      </c>
      <c r="G719" s="6">
        <f>SQRT(SUM($F$2:F719)/A719)</f>
        <v>1070.4166124617009</v>
      </c>
      <c r="H719" s="5">
        <f t="shared" si="47"/>
        <v>1</v>
      </c>
      <c r="I719" s="5">
        <f t="shared" si="48"/>
        <v>1</v>
      </c>
    </row>
    <row r="720" spans="1:9">
      <c r="A720">
        <v>719</v>
      </c>
      <c r="B720">
        <v>9</v>
      </c>
      <c r="C720">
        <v>6000</v>
      </c>
      <c r="D720">
        <v>5710</v>
      </c>
      <c r="E720" s="5">
        <f t="shared" si="45"/>
        <v>290</v>
      </c>
      <c r="F720" s="5">
        <f t="shared" si="46"/>
        <v>84100</v>
      </c>
      <c r="G720" s="6">
        <f>SQRT(SUM($F$2:F720)/A720)</f>
        <v>1069.7266480414062</v>
      </c>
      <c r="H720" s="5">
        <f t="shared" si="47"/>
        <v>1</v>
      </c>
      <c r="I720" s="5">
        <f t="shared" si="48"/>
        <v>1</v>
      </c>
    </row>
    <row r="721" spans="1:9">
      <c r="A721">
        <v>720</v>
      </c>
      <c r="B721">
        <v>9</v>
      </c>
      <c r="C721">
        <v>6000</v>
      </c>
      <c r="D721">
        <v>5889</v>
      </c>
      <c r="E721" s="5">
        <f t="shared" si="45"/>
        <v>111</v>
      </c>
      <c r="F721" s="5">
        <f t="shared" si="46"/>
        <v>12321</v>
      </c>
      <c r="G721" s="6">
        <f>SQRT(SUM($F$2:F721)/A721)</f>
        <v>1068.9915282639054</v>
      </c>
      <c r="H721" s="5">
        <f t="shared" si="47"/>
        <v>1</v>
      </c>
      <c r="I721" s="5">
        <f t="shared" si="48"/>
        <v>1</v>
      </c>
    </row>
    <row r="722" spans="1:9">
      <c r="A722">
        <v>721</v>
      </c>
      <c r="B722">
        <v>9</v>
      </c>
      <c r="C722">
        <v>6000</v>
      </c>
      <c r="D722">
        <v>6240</v>
      </c>
      <c r="E722" s="5">
        <f t="shared" si="45"/>
        <v>240</v>
      </c>
      <c r="F722" s="5">
        <f t="shared" si="46"/>
        <v>57600</v>
      </c>
      <c r="G722" s="6">
        <f>SQRT(SUM($F$2:F722)/A722)</f>
        <v>1068.2873372606532</v>
      </c>
      <c r="H722" s="5">
        <f t="shared" si="47"/>
        <v>1</v>
      </c>
      <c r="I722" s="5">
        <f t="shared" si="48"/>
        <v>1</v>
      </c>
    </row>
    <row r="723" spans="1:9">
      <c r="A723">
        <v>722</v>
      </c>
      <c r="B723">
        <v>9</v>
      </c>
      <c r="C723">
        <v>6000</v>
      </c>
      <c r="D723">
        <v>5031</v>
      </c>
      <c r="E723" s="5">
        <f t="shared" si="45"/>
        <v>969</v>
      </c>
      <c r="F723" s="5">
        <f t="shared" si="46"/>
        <v>938961</v>
      </c>
      <c r="G723" s="6">
        <f>SQRT(SUM($F$2:F723)/A723)</f>
        <v>1068.1562025893938</v>
      </c>
      <c r="H723" s="5">
        <f t="shared" si="47"/>
        <v>1</v>
      </c>
      <c r="I723" s="5">
        <f t="shared" si="48"/>
        <v>0</v>
      </c>
    </row>
    <row r="724" spans="1:9">
      <c r="A724">
        <v>723</v>
      </c>
      <c r="B724">
        <v>10</v>
      </c>
      <c r="C724">
        <v>6000</v>
      </c>
      <c r="D724">
        <v>6403</v>
      </c>
      <c r="E724" s="5">
        <f t="shared" si="45"/>
        <v>403</v>
      </c>
      <c r="F724" s="5">
        <f t="shared" si="46"/>
        <v>162409</v>
      </c>
      <c r="G724" s="6">
        <f>SQRT(SUM($F$2:F724)/A724)</f>
        <v>1067.5224668131161</v>
      </c>
      <c r="H724" s="5">
        <f t="shared" si="47"/>
        <v>1</v>
      </c>
      <c r="I724" s="5">
        <f t="shared" si="48"/>
        <v>1</v>
      </c>
    </row>
    <row r="725" spans="1:9">
      <c r="A725">
        <v>724</v>
      </c>
      <c r="B725">
        <v>9</v>
      </c>
      <c r="C725">
        <v>6000</v>
      </c>
      <c r="D725">
        <v>5964</v>
      </c>
      <c r="E725" s="5">
        <f t="shared" si="45"/>
        <v>36</v>
      </c>
      <c r="F725" s="5">
        <f t="shared" si="46"/>
        <v>1296</v>
      </c>
      <c r="G725" s="6">
        <f>SQRT(SUM($F$2:F725)/A725)</f>
        <v>1066.7858117879355</v>
      </c>
      <c r="H725" s="5">
        <f t="shared" si="47"/>
        <v>1</v>
      </c>
      <c r="I725" s="5">
        <f t="shared" si="48"/>
        <v>1</v>
      </c>
    </row>
    <row r="726" spans="1:9">
      <c r="A726">
        <v>725</v>
      </c>
      <c r="B726">
        <v>9</v>
      </c>
      <c r="C726">
        <v>6000</v>
      </c>
      <c r="D726">
        <v>5930</v>
      </c>
      <c r="E726" s="5">
        <f t="shared" si="45"/>
        <v>70</v>
      </c>
      <c r="F726" s="5">
        <f t="shared" si="46"/>
        <v>4900</v>
      </c>
      <c r="G726" s="6">
        <f>SQRT(SUM($F$2:F726)/A726)</f>
        <v>1066.0530134970807</v>
      </c>
      <c r="H726" s="5">
        <f t="shared" si="47"/>
        <v>1</v>
      </c>
      <c r="I726" s="5">
        <f t="shared" si="48"/>
        <v>1</v>
      </c>
    </row>
    <row r="727" spans="1:9">
      <c r="A727">
        <v>726</v>
      </c>
      <c r="B727">
        <v>9</v>
      </c>
      <c r="C727">
        <v>6000</v>
      </c>
      <c r="D727">
        <v>6074</v>
      </c>
      <c r="E727" s="5">
        <f t="shared" si="45"/>
        <v>74</v>
      </c>
      <c r="F727" s="5">
        <f t="shared" si="46"/>
        <v>5476</v>
      </c>
      <c r="G727" s="6">
        <f>SQRT(SUM($F$2:F727)/A727)</f>
        <v>1065.322104318883</v>
      </c>
      <c r="H727" s="5">
        <f t="shared" si="47"/>
        <v>1</v>
      </c>
      <c r="I727" s="5">
        <f t="shared" si="48"/>
        <v>1</v>
      </c>
    </row>
    <row r="728" spans="1:9">
      <c r="A728">
        <v>727</v>
      </c>
      <c r="B728">
        <v>9</v>
      </c>
      <c r="C728">
        <v>6000</v>
      </c>
      <c r="D728">
        <v>5664</v>
      </c>
      <c r="E728" s="5">
        <f t="shared" si="45"/>
        <v>336</v>
      </c>
      <c r="F728" s="5">
        <f t="shared" si="46"/>
        <v>112896</v>
      </c>
      <c r="G728" s="6">
        <f>SQRT(SUM($F$2:F728)/A728)</f>
        <v>1064.6621003376897</v>
      </c>
      <c r="H728" s="5">
        <f t="shared" si="47"/>
        <v>1</v>
      </c>
      <c r="I728" s="5">
        <f t="shared" si="48"/>
        <v>1</v>
      </c>
    </row>
    <row r="729" spans="1:9">
      <c r="A729">
        <v>728</v>
      </c>
      <c r="B729">
        <v>9</v>
      </c>
      <c r="C729">
        <v>6000</v>
      </c>
      <c r="D729">
        <v>5835</v>
      </c>
      <c r="E729" s="5">
        <f t="shared" si="45"/>
        <v>165</v>
      </c>
      <c r="F729" s="5">
        <f t="shared" si="46"/>
        <v>27225</v>
      </c>
      <c r="G729" s="6">
        <f>SQRT(SUM($F$2:F729)/A729)</f>
        <v>1063.9481998565636</v>
      </c>
      <c r="H729" s="5">
        <f t="shared" si="47"/>
        <v>1</v>
      </c>
      <c r="I729" s="5">
        <f t="shared" si="48"/>
        <v>1</v>
      </c>
    </row>
    <row r="730" spans="1:9">
      <c r="A730">
        <v>729</v>
      </c>
      <c r="B730">
        <v>9</v>
      </c>
      <c r="C730">
        <v>6000</v>
      </c>
      <c r="D730">
        <v>6638</v>
      </c>
      <c r="E730" s="5">
        <f t="shared" si="45"/>
        <v>638</v>
      </c>
      <c r="F730" s="5">
        <f t="shared" si="46"/>
        <v>407044</v>
      </c>
      <c r="G730" s="6">
        <f>SQRT(SUM($F$2:F730)/A730)</f>
        <v>1063.4807656089986</v>
      </c>
      <c r="H730" s="5">
        <f t="shared" si="47"/>
        <v>1</v>
      </c>
      <c r="I730" s="5">
        <f t="shared" si="48"/>
        <v>0</v>
      </c>
    </row>
    <row r="731" spans="1:9">
      <c r="A731">
        <v>730</v>
      </c>
      <c r="B731">
        <v>8</v>
      </c>
      <c r="C731">
        <v>6000</v>
      </c>
      <c r="D731">
        <v>5469</v>
      </c>
      <c r="E731" s="5">
        <f t="shared" si="45"/>
        <v>531</v>
      </c>
      <c r="F731" s="5">
        <f t="shared" si="46"/>
        <v>281961</v>
      </c>
      <c r="G731" s="6">
        <f>SQRT(SUM($F$2:F731)/A731)</f>
        <v>1062.9338095862997</v>
      </c>
      <c r="H731" s="5">
        <f t="shared" si="47"/>
        <v>1</v>
      </c>
      <c r="I731" s="5">
        <f t="shared" si="48"/>
        <v>1</v>
      </c>
    </row>
    <row r="732" spans="1:9">
      <c r="A732">
        <v>731</v>
      </c>
      <c r="B732">
        <v>9</v>
      </c>
      <c r="C732">
        <v>6000</v>
      </c>
      <c r="D732">
        <v>5470</v>
      </c>
      <c r="E732" s="5">
        <f t="shared" si="45"/>
        <v>530</v>
      </c>
      <c r="F732" s="5">
        <f t="shared" si="46"/>
        <v>280900</v>
      </c>
      <c r="G732" s="6">
        <f>SQRT(SUM($F$2:F732)/A732)</f>
        <v>1062.3873864840114</v>
      </c>
      <c r="H732" s="5">
        <f t="shared" si="47"/>
        <v>1</v>
      </c>
      <c r="I732" s="5">
        <f t="shared" si="48"/>
        <v>1</v>
      </c>
    </row>
    <row r="733" spans="1:9">
      <c r="A733">
        <v>732</v>
      </c>
      <c r="B733">
        <v>10</v>
      </c>
      <c r="C733">
        <v>6000</v>
      </c>
      <c r="D733">
        <v>6868</v>
      </c>
      <c r="E733" s="5">
        <f t="shared" si="45"/>
        <v>868</v>
      </c>
      <c r="F733" s="5">
        <f t="shared" si="46"/>
        <v>753424</v>
      </c>
      <c r="G733" s="6">
        <f>SQRT(SUM($F$2:F733)/A733)</f>
        <v>1062.1460972800367</v>
      </c>
      <c r="H733" s="5">
        <f t="shared" si="47"/>
        <v>1</v>
      </c>
      <c r="I733" s="5">
        <f t="shared" si="48"/>
        <v>0</v>
      </c>
    </row>
    <row r="734" spans="1:9">
      <c r="A734">
        <v>733</v>
      </c>
      <c r="B734">
        <v>8</v>
      </c>
      <c r="C734">
        <v>6000</v>
      </c>
      <c r="D734">
        <v>4823</v>
      </c>
      <c r="E734" s="5">
        <f t="shared" si="45"/>
        <v>1177</v>
      </c>
      <c r="F734" s="5">
        <f t="shared" si="46"/>
        <v>1385329</v>
      </c>
      <c r="G734" s="6">
        <f>SQRT(SUM($F$2:F734)/A734)</f>
        <v>1062.3112463749146</v>
      </c>
      <c r="H734" s="5">
        <f t="shared" si="47"/>
        <v>1</v>
      </c>
      <c r="I734" s="5">
        <f t="shared" si="48"/>
        <v>0</v>
      </c>
    </row>
    <row r="735" spans="1:9">
      <c r="A735">
        <v>734</v>
      </c>
      <c r="B735">
        <v>10</v>
      </c>
      <c r="C735">
        <v>6000</v>
      </c>
      <c r="D735">
        <v>7485</v>
      </c>
      <c r="E735" s="5">
        <f t="shared" si="45"/>
        <v>1485</v>
      </c>
      <c r="F735" s="5">
        <f t="shared" si="46"/>
        <v>2205225</v>
      </c>
      <c r="G735" s="6">
        <f>SQRT(SUM($F$2:F735)/A735)</f>
        <v>1063.0014604433204</v>
      </c>
      <c r="H735" s="5">
        <f t="shared" si="47"/>
        <v>0</v>
      </c>
      <c r="I735" s="5">
        <f t="shared" si="48"/>
        <v>0</v>
      </c>
    </row>
    <row r="736" spans="1:9">
      <c r="A736">
        <v>735</v>
      </c>
      <c r="B736">
        <v>8</v>
      </c>
      <c r="C736">
        <v>6000</v>
      </c>
      <c r="D736">
        <v>5195</v>
      </c>
      <c r="E736" s="5">
        <f t="shared" si="45"/>
        <v>805</v>
      </c>
      <c r="F736" s="5">
        <f t="shared" si="46"/>
        <v>648025</v>
      </c>
      <c r="G736" s="6">
        <f>SQRT(SUM($F$2:F736)/A736)</f>
        <v>1062.6929916762522</v>
      </c>
      <c r="H736" s="5">
        <f t="shared" si="47"/>
        <v>1</v>
      </c>
      <c r="I736" s="5">
        <f t="shared" si="48"/>
        <v>0</v>
      </c>
    </row>
    <row r="737" spans="1:9">
      <c r="A737">
        <v>736</v>
      </c>
      <c r="B737">
        <v>10</v>
      </c>
      <c r="C737">
        <v>6000</v>
      </c>
      <c r="D737">
        <v>5237</v>
      </c>
      <c r="E737" s="5">
        <f t="shared" si="45"/>
        <v>763</v>
      </c>
      <c r="F737" s="5">
        <f t="shared" si="46"/>
        <v>582169</v>
      </c>
      <c r="G737" s="6">
        <f>SQRT(SUM($F$2:F737)/A737)</f>
        <v>1062.3431591400865</v>
      </c>
      <c r="H737" s="5">
        <f t="shared" si="47"/>
        <v>1</v>
      </c>
      <c r="I737" s="5">
        <f t="shared" si="48"/>
        <v>0</v>
      </c>
    </row>
    <row r="738" spans="1:9">
      <c r="A738">
        <v>737</v>
      </c>
      <c r="B738">
        <v>10</v>
      </c>
      <c r="C738">
        <v>6000</v>
      </c>
      <c r="D738">
        <v>4264</v>
      </c>
      <c r="E738" s="5">
        <f t="shared" si="45"/>
        <v>1736</v>
      </c>
      <c r="F738" s="5">
        <f t="shared" si="46"/>
        <v>3013696</v>
      </c>
      <c r="G738" s="6">
        <f>SQRT(SUM($F$2:F738)/A738)</f>
        <v>1063.5463416774664</v>
      </c>
      <c r="H738" s="5">
        <f t="shared" si="47"/>
        <v>0</v>
      </c>
      <c r="I738" s="5">
        <f t="shared" si="48"/>
        <v>0</v>
      </c>
    </row>
    <row r="739" spans="1:9">
      <c r="A739">
        <v>738</v>
      </c>
      <c r="B739">
        <v>11</v>
      </c>
      <c r="C739">
        <v>6000</v>
      </c>
      <c r="D739">
        <v>1393</v>
      </c>
      <c r="E739" s="5">
        <f t="shared" si="45"/>
        <v>4607</v>
      </c>
      <c r="F739" s="5">
        <f t="shared" si="46"/>
        <v>21224449</v>
      </c>
      <c r="G739" s="6">
        <f>SQRT(SUM($F$2:F739)/A739)</f>
        <v>1076.2701980893985</v>
      </c>
      <c r="H739" s="5">
        <f t="shared" si="47"/>
        <v>0</v>
      </c>
      <c r="I739" s="5">
        <f t="shared" si="48"/>
        <v>0</v>
      </c>
    </row>
    <row r="740" spans="1:9">
      <c r="A740">
        <v>739</v>
      </c>
      <c r="B740">
        <v>15</v>
      </c>
      <c r="C740">
        <v>6000</v>
      </c>
      <c r="D740">
        <v>6036</v>
      </c>
      <c r="E740" s="5">
        <f t="shared" si="45"/>
        <v>36</v>
      </c>
      <c r="F740" s="5">
        <f t="shared" si="46"/>
        <v>1296</v>
      </c>
      <c r="G740" s="6">
        <f>SQRT(SUM($F$2:F740)/A740)</f>
        <v>1075.5425732126848</v>
      </c>
      <c r="H740" s="5">
        <f t="shared" si="47"/>
        <v>1</v>
      </c>
      <c r="I740" s="5">
        <f t="shared" si="48"/>
        <v>1</v>
      </c>
    </row>
    <row r="741" spans="1:9">
      <c r="A741">
        <v>740</v>
      </c>
      <c r="B741">
        <v>11</v>
      </c>
      <c r="C741">
        <v>6000</v>
      </c>
      <c r="D741">
        <v>6359</v>
      </c>
      <c r="E741" s="5">
        <f t="shared" si="45"/>
        <v>359</v>
      </c>
      <c r="F741" s="5">
        <f t="shared" si="46"/>
        <v>128881</v>
      </c>
      <c r="G741" s="6">
        <f>SQRT(SUM($F$2:F741)/A741)</f>
        <v>1074.8966267079397</v>
      </c>
      <c r="H741" s="5">
        <f t="shared" si="47"/>
        <v>1</v>
      </c>
      <c r="I741" s="5">
        <f t="shared" si="48"/>
        <v>1</v>
      </c>
    </row>
    <row r="742" spans="1:9">
      <c r="A742">
        <v>741</v>
      </c>
      <c r="B742">
        <v>10</v>
      </c>
      <c r="C742">
        <v>6000</v>
      </c>
      <c r="D742">
        <v>6157</v>
      </c>
      <c r="E742" s="5">
        <f t="shared" si="45"/>
        <v>157</v>
      </c>
      <c r="F742" s="5">
        <f t="shared" si="46"/>
        <v>24649</v>
      </c>
      <c r="G742" s="6">
        <f>SQRT(SUM($F$2:F742)/A742)</f>
        <v>1074.1865641632648</v>
      </c>
      <c r="H742" s="5">
        <f t="shared" si="47"/>
        <v>1</v>
      </c>
      <c r="I742" s="5">
        <f t="shared" si="48"/>
        <v>1</v>
      </c>
    </row>
    <row r="743" spans="1:9">
      <c r="A743">
        <v>742</v>
      </c>
      <c r="B743">
        <v>11</v>
      </c>
      <c r="C743">
        <v>6000</v>
      </c>
      <c r="D743">
        <v>6832</v>
      </c>
      <c r="E743" s="5">
        <f t="shared" si="45"/>
        <v>832</v>
      </c>
      <c r="F743" s="5">
        <f t="shared" si="46"/>
        <v>692224</v>
      </c>
      <c r="G743" s="6">
        <f>SQRT(SUM($F$2:F743)/A743)</f>
        <v>1073.8969229298345</v>
      </c>
      <c r="H743" s="5">
        <f t="shared" si="47"/>
        <v>1</v>
      </c>
      <c r="I743" s="5">
        <f t="shared" si="48"/>
        <v>0</v>
      </c>
    </row>
    <row r="744" spans="1:9">
      <c r="A744">
        <v>743</v>
      </c>
      <c r="B744">
        <v>10</v>
      </c>
      <c r="C744">
        <v>6000</v>
      </c>
      <c r="D744">
        <v>6302</v>
      </c>
      <c r="E744" s="5">
        <f t="shared" si="45"/>
        <v>302</v>
      </c>
      <c r="F744" s="5">
        <f t="shared" si="46"/>
        <v>91204</v>
      </c>
      <c r="G744" s="6">
        <f>SQRT(SUM($F$2:F744)/A744)</f>
        <v>1073.2311924571461</v>
      </c>
      <c r="H744" s="5">
        <f t="shared" si="47"/>
        <v>1</v>
      </c>
      <c r="I744" s="5">
        <f t="shared" si="48"/>
        <v>1</v>
      </c>
    </row>
    <row r="745" spans="1:9">
      <c r="A745">
        <v>744</v>
      </c>
      <c r="B745">
        <v>10</v>
      </c>
      <c r="C745">
        <v>6000</v>
      </c>
      <c r="D745">
        <v>6663</v>
      </c>
      <c r="E745" s="5">
        <f t="shared" si="45"/>
        <v>663</v>
      </c>
      <c r="F745" s="5">
        <f t="shared" si="46"/>
        <v>439569</v>
      </c>
      <c r="G745" s="6">
        <f>SQRT(SUM($F$2:F745)/A745)</f>
        <v>1072.7850944485422</v>
      </c>
      <c r="H745" s="5">
        <f t="shared" si="47"/>
        <v>1</v>
      </c>
      <c r="I745" s="5">
        <f t="shared" si="48"/>
        <v>0</v>
      </c>
    </row>
    <row r="746" spans="1:9">
      <c r="A746">
        <v>745</v>
      </c>
      <c r="B746">
        <v>10</v>
      </c>
      <c r="C746">
        <v>6000</v>
      </c>
      <c r="D746">
        <v>5845</v>
      </c>
      <c r="E746" s="5">
        <f t="shared" si="45"/>
        <v>155</v>
      </c>
      <c r="F746" s="5">
        <f t="shared" si="46"/>
        <v>24025</v>
      </c>
      <c r="G746" s="6">
        <f>SQRT(SUM($F$2:F746)/A746)</f>
        <v>1072.0799028620979</v>
      </c>
      <c r="H746" s="5">
        <f t="shared" si="47"/>
        <v>1</v>
      </c>
      <c r="I746" s="5">
        <f t="shared" si="48"/>
        <v>1</v>
      </c>
    </row>
    <row r="747" spans="1:9">
      <c r="A747">
        <v>746</v>
      </c>
      <c r="B747">
        <v>10</v>
      </c>
      <c r="C747">
        <v>6000</v>
      </c>
      <c r="D747">
        <v>6753</v>
      </c>
      <c r="E747" s="5">
        <f t="shared" si="45"/>
        <v>753</v>
      </c>
      <c r="F747" s="5">
        <f t="shared" si="46"/>
        <v>567009</v>
      </c>
      <c r="G747" s="6">
        <f>SQRT(SUM($F$2:F747)/A747)</f>
        <v>1071.7157706358018</v>
      </c>
      <c r="H747" s="5">
        <f t="shared" si="47"/>
        <v>1</v>
      </c>
      <c r="I747" s="5">
        <f t="shared" si="48"/>
        <v>0</v>
      </c>
    </row>
    <row r="748" spans="1:9">
      <c r="A748">
        <v>747</v>
      </c>
      <c r="B748">
        <v>9</v>
      </c>
      <c r="C748">
        <v>6000</v>
      </c>
      <c r="D748">
        <v>5421</v>
      </c>
      <c r="E748" s="5">
        <f t="shared" si="45"/>
        <v>579</v>
      </c>
      <c r="F748" s="5">
        <f t="shared" si="46"/>
        <v>335241</v>
      </c>
      <c r="G748" s="6">
        <f>SQRT(SUM($F$2:F748)/A748)</f>
        <v>1071.2076796331107</v>
      </c>
      <c r="H748" s="5">
        <f t="shared" si="47"/>
        <v>1</v>
      </c>
      <c r="I748" s="5">
        <f t="shared" si="48"/>
        <v>1</v>
      </c>
    </row>
    <row r="749" spans="1:9">
      <c r="A749">
        <v>748</v>
      </c>
      <c r="B749">
        <v>11</v>
      </c>
      <c r="C749">
        <v>6000</v>
      </c>
      <c r="D749">
        <v>7460</v>
      </c>
      <c r="E749" s="5">
        <f t="shared" si="45"/>
        <v>1460</v>
      </c>
      <c r="F749" s="5">
        <f t="shared" si="46"/>
        <v>2131600</v>
      </c>
      <c r="G749" s="6">
        <f>SQRT(SUM($F$2:F749)/A749)</f>
        <v>1071.8216052477837</v>
      </c>
      <c r="H749" s="5">
        <f t="shared" si="47"/>
        <v>0</v>
      </c>
      <c r="I749" s="5">
        <f t="shared" si="48"/>
        <v>0</v>
      </c>
    </row>
    <row r="750" spans="1:9">
      <c r="A750">
        <v>749</v>
      </c>
      <c r="B750">
        <v>9</v>
      </c>
      <c r="C750">
        <v>6000</v>
      </c>
      <c r="D750">
        <v>5567</v>
      </c>
      <c r="E750" s="5">
        <f t="shared" si="45"/>
        <v>433</v>
      </c>
      <c r="F750" s="5">
        <f t="shared" si="46"/>
        <v>187489</v>
      </c>
      <c r="G750" s="6">
        <f>SQRT(SUM($F$2:F750)/A750)</f>
        <v>1071.2227089279011</v>
      </c>
      <c r="H750" s="5">
        <f t="shared" si="47"/>
        <v>1</v>
      </c>
      <c r="I750" s="5">
        <f t="shared" si="48"/>
        <v>1</v>
      </c>
    </row>
    <row r="751" spans="1:9">
      <c r="A751">
        <v>750</v>
      </c>
      <c r="B751">
        <v>10</v>
      </c>
      <c r="C751">
        <v>6000</v>
      </c>
      <c r="D751">
        <v>5499</v>
      </c>
      <c r="E751" s="5">
        <f t="shared" si="45"/>
        <v>501</v>
      </c>
      <c r="F751" s="5">
        <f t="shared" si="46"/>
        <v>251001</v>
      </c>
      <c r="G751" s="6">
        <f>SQRT(SUM($F$2:F751)/A751)</f>
        <v>1070.6646234932768</v>
      </c>
      <c r="H751" s="5">
        <f t="shared" si="47"/>
        <v>1</v>
      </c>
      <c r="I751" s="5">
        <f t="shared" si="48"/>
        <v>1</v>
      </c>
    </row>
    <row r="752" spans="1:9">
      <c r="A752">
        <v>751</v>
      </c>
      <c r="B752">
        <v>11</v>
      </c>
      <c r="C752">
        <v>6000</v>
      </c>
      <c r="D752">
        <v>7241</v>
      </c>
      <c r="E752" s="5">
        <f t="shared" si="45"/>
        <v>1241</v>
      </c>
      <c r="F752" s="5">
        <f t="shared" si="46"/>
        <v>1540081</v>
      </c>
      <c r="G752" s="6">
        <f>SQRT(SUM($F$2:F752)/A752)</f>
        <v>1070.9094489900092</v>
      </c>
      <c r="H752" s="5">
        <f t="shared" si="47"/>
        <v>0</v>
      </c>
      <c r="I752" s="5">
        <f t="shared" si="48"/>
        <v>0</v>
      </c>
    </row>
    <row r="753" spans="1:9">
      <c r="A753">
        <v>752</v>
      </c>
      <c r="B753">
        <v>9</v>
      </c>
      <c r="C753">
        <v>6000</v>
      </c>
      <c r="D753">
        <v>6014</v>
      </c>
      <c r="E753" s="5">
        <f t="shared" si="45"/>
        <v>14</v>
      </c>
      <c r="F753" s="5">
        <f t="shared" si="46"/>
        <v>196</v>
      </c>
      <c r="G753" s="6">
        <f>SQRT(SUM($F$2:F753)/A753)</f>
        <v>1070.1972930308871</v>
      </c>
      <c r="H753" s="5">
        <f t="shared" si="47"/>
        <v>1</v>
      </c>
      <c r="I753" s="5">
        <f t="shared" si="48"/>
        <v>1</v>
      </c>
    </row>
    <row r="754" spans="1:9">
      <c r="A754">
        <v>753</v>
      </c>
      <c r="B754">
        <v>10</v>
      </c>
      <c r="C754">
        <v>6000</v>
      </c>
      <c r="D754">
        <v>6488</v>
      </c>
      <c r="E754" s="5">
        <f t="shared" si="45"/>
        <v>488</v>
      </c>
      <c r="F754" s="5">
        <f t="shared" si="46"/>
        <v>238144</v>
      </c>
      <c r="G754" s="6">
        <f>SQRT(SUM($F$2:F754)/A754)</f>
        <v>1069.6342805014733</v>
      </c>
      <c r="H754" s="5">
        <f t="shared" si="47"/>
        <v>1</v>
      </c>
      <c r="I754" s="5">
        <f t="shared" si="48"/>
        <v>1</v>
      </c>
    </row>
    <row r="755" spans="1:9">
      <c r="A755">
        <v>754</v>
      </c>
      <c r="B755">
        <v>9</v>
      </c>
      <c r="C755">
        <v>6000</v>
      </c>
      <c r="D755">
        <v>6134</v>
      </c>
      <c r="E755" s="5">
        <f t="shared" si="45"/>
        <v>134</v>
      </c>
      <c r="F755" s="5">
        <f t="shared" si="46"/>
        <v>17956</v>
      </c>
      <c r="G755" s="6">
        <f>SQRT(SUM($F$2:F755)/A755)</f>
        <v>1068.9358779368308</v>
      </c>
      <c r="H755" s="5">
        <f t="shared" si="47"/>
        <v>1</v>
      </c>
      <c r="I755" s="5">
        <f t="shared" si="48"/>
        <v>1</v>
      </c>
    </row>
    <row r="756" spans="1:9">
      <c r="A756">
        <v>755</v>
      </c>
      <c r="B756">
        <v>10</v>
      </c>
      <c r="C756">
        <v>6000</v>
      </c>
      <c r="D756">
        <v>6418</v>
      </c>
      <c r="E756" s="5">
        <f t="shared" si="45"/>
        <v>418</v>
      </c>
      <c r="F756" s="5">
        <f t="shared" si="46"/>
        <v>174724</v>
      </c>
      <c r="G756" s="6">
        <f>SQRT(SUM($F$2:F756)/A756)</f>
        <v>1068.3360541062495</v>
      </c>
      <c r="H756" s="5">
        <f t="shared" si="47"/>
        <v>1</v>
      </c>
      <c r="I756" s="5">
        <f t="shared" si="48"/>
        <v>1</v>
      </c>
    </row>
    <row r="757" spans="1:9">
      <c r="A757">
        <v>756</v>
      </c>
      <c r="B757">
        <v>9</v>
      </c>
      <c r="C757">
        <v>6000</v>
      </c>
      <c r="D757">
        <v>6366</v>
      </c>
      <c r="E757" s="5">
        <f t="shared" si="45"/>
        <v>366</v>
      </c>
      <c r="F757" s="5">
        <f t="shared" si="46"/>
        <v>133956</v>
      </c>
      <c r="G757" s="6">
        <f>SQRT(SUM($F$2:F757)/A757)</f>
        <v>1067.7122287578959</v>
      </c>
      <c r="H757" s="5">
        <f t="shared" si="47"/>
        <v>1</v>
      </c>
      <c r="I757" s="5">
        <f t="shared" si="48"/>
        <v>1</v>
      </c>
    </row>
    <row r="758" spans="1:9">
      <c r="A758">
        <v>757</v>
      </c>
      <c r="B758">
        <v>9</v>
      </c>
      <c r="C758">
        <v>6000</v>
      </c>
      <c r="D758">
        <v>5510</v>
      </c>
      <c r="E758" s="5">
        <f t="shared" si="45"/>
        <v>490</v>
      </c>
      <c r="F758" s="5">
        <f t="shared" si="46"/>
        <v>240100</v>
      </c>
      <c r="G758" s="6">
        <f>SQRT(SUM($F$2:F758)/A758)</f>
        <v>1067.1553867880996</v>
      </c>
      <c r="H758" s="5">
        <f t="shared" si="47"/>
        <v>1</v>
      </c>
      <c r="I758" s="5">
        <f t="shared" si="48"/>
        <v>1</v>
      </c>
    </row>
    <row r="759" spans="1:9">
      <c r="A759">
        <v>758</v>
      </c>
      <c r="B759">
        <v>10</v>
      </c>
      <c r="C759">
        <v>6000</v>
      </c>
      <c r="D759">
        <v>7043</v>
      </c>
      <c r="E759" s="5">
        <f t="shared" si="45"/>
        <v>1043</v>
      </c>
      <c r="F759" s="5">
        <f t="shared" si="46"/>
        <v>1087849</v>
      </c>
      <c r="G759" s="6">
        <f>SQRT(SUM($F$2:F759)/A759)</f>
        <v>1067.123879720712</v>
      </c>
      <c r="H759" s="5">
        <f t="shared" si="47"/>
        <v>1</v>
      </c>
      <c r="I759" s="5">
        <f t="shared" si="48"/>
        <v>0</v>
      </c>
    </row>
    <row r="760" spans="1:9">
      <c r="A760">
        <v>759</v>
      </c>
      <c r="B760">
        <v>8</v>
      </c>
      <c r="C760">
        <v>6000</v>
      </c>
      <c r="D760">
        <v>5695</v>
      </c>
      <c r="E760" s="5">
        <f t="shared" si="45"/>
        <v>305</v>
      </c>
      <c r="F760" s="5">
        <f t="shared" si="46"/>
        <v>93025</v>
      </c>
      <c r="G760" s="6">
        <f>SQRT(SUM($F$2:F760)/A760)</f>
        <v>1066.4781307769795</v>
      </c>
      <c r="H760" s="5">
        <f t="shared" si="47"/>
        <v>1</v>
      </c>
      <c r="I760" s="5">
        <f t="shared" si="48"/>
        <v>1</v>
      </c>
    </row>
    <row r="761" spans="1:9">
      <c r="A761">
        <v>760</v>
      </c>
      <c r="B761">
        <v>10</v>
      </c>
      <c r="C761">
        <v>6000</v>
      </c>
      <c r="D761">
        <v>6806</v>
      </c>
      <c r="E761" s="5">
        <f t="shared" si="45"/>
        <v>806</v>
      </c>
      <c r="F761" s="5">
        <f t="shared" si="46"/>
        <v>649636</v>
      </c>
      <c r="G761" s="6">
        <f>SQRT(SUM($F$2:F761)/A761)</f>
        <v>1066.1772089054773</v>
      </c>
      <c r="H761" s="5">
        <f t="shared" si="47"/>
        <v>1</v>
      </c>
      <c r="I761" s="5">
        <f t="shared" si="48"/>
        <v>0</v>
      </c>
    </row>
    <row r="762" spans="1:9">
      <c r="A762">
        <v>761</v>
      </c>
      <c r="B762">
        <v>8</v>
      </c>
      <c r="C762">
        <v>6000</v>
      </c>
      <c r="D762">
        <v>5661</v>
      </c>
      <c r="E762" s="5">
        <f t="shared" si="45"/>
        <v>339</v>
      </c>
      <c r="F762" s="5">
        <f t="shared" si="46"/>
        <v>114921</v>
      </c>
      <c r="G762" s="6">
        <f>SQRT(SUM($F$2:F762)/A762)</f>
        <v>1065.547332102793</v>
      </c>
      <c r="H762" s="5">
        <f t="shared" si="47"/>
        <v>1</v>
      </c>
      <c r="I762" s="5">
        <f t="shared" si="48"/>
        <v>1</v>
      </c>
    </row>
    <row r="763" spans="1:9">
      <c r="A763">
        <v>762</v>
      </c>
      <c r="B763">
        <v>10</v>
      </c>
      <c r="C763">
        <v>6000</v>
      </c>
      <c r="D763">
        <v>6826</v>
      </c>
      <c r="E763" s="5">
        <f t="shared" si="45"/>
        <v>826</v>
      </c>
      <c r="F763" s="5">
        <f t="shared" si="46"/>
        <v>682276</v>
      </c>
      <c r="G763" s="6">
        <f>SQRT(SUM($F$2:F763)/A763)</f>
        <v>1065.2682655980552</v>
      </c>
      <c r="H763" s="5">
        <f t="shared" si="47"/>
        <v>1</v>
      </c>
      <c r="I763" s="5">
        <f t="shared" si="48"/>
        <v>0</v>
      </c>
    </row>
    <row r="764" spans="1:9">
      <c r="A764">
        <v>763</v>
      </c>
      <c r="B764">
        <v>8</v>
      </c>
      <c r="C764">
        <v>6000</v>
      </c>
      <c r="D764">
        <v>4878</v>
      </c>
      <c r="E764" s="5">
        <f t="shared" si="45"/>
        <v>1122</v>
      </c>
      <c r="F764" s="5">
        <f t="shared" si="46"/>
        <v>1258884</v>
      </c>
      <c r="G764" s="6">
        <f>SQRT(SUM($F$2:F764)/A764)</f>
        <v>1065.3445962603494</v>
      </c>
      <c r="H764" s="5">
        <f t="shared" si="47"/>
        <v>1</v>
      </c>
      <c r="I764" s="5">
        <f t="shared" si="48"/>
        <v>0</v>
      </c>
    </row>
    <row r="765" spans="1:9">
      <c r="A765">
        <v>764</v>
      </c>
      <c r="B765">
        <v>10</v>
      </c>
      <c r="C765">
        <v>6000</v>
      </c>
      <c r="D765">
        <v>6516</v>
      </c>
      <c r="E765" s="5">
        <f t="shared" si="45"/>
        <v>516</v>
      </c>
      <c r="F765" s="5">
        <f t="shared" si="46"/>
        <v>266256</v>
      </c>
      <c r="G765" s="6">
        <f>SQRT(SUM($F$2:F765)/A765)</f>
        <v>1064.8108108144024</v>
      </c>
      <c r="H765" s="5">
        <f t="shared" si="47"/>
        <v>1</v>
      </c>
      <c r="I765" s="5">
        <f t="shared" si="48"/>
        <v>1</v>
      </c>
    </row>
    <row r="766" spans="1:9">
      <c r="A766">
        <v>765</v>
      </c>
      <c r="B766">
        <v>9</v>
      </c>
      <c r="C766">
        <v>6000</v>
      </c>
      <c r="D766">
        <v>5756</v>
      </c>
      <c r="E766" s="5">
        <f t="shared" si="45"/>
        <v>244</v>
      </c>
      <c r="F766" s="5">
        <f t="shared" si="46"/>
        <v>59536</v>
      </c>
      <c r="G766" s="6">
        <f>SQRT(SUM($F$2:F766)/A766)</f>
        <v>1064.1511957049436</v>
      </c>
      <c r="H766" s="5">
        <f t="shared" si="47"/>
        <v>1</v>
      </c>
      <c r="I766" s="5">
        <f t="shared" si="48"/>
        <v>1</v>
      </c>
    </row>
    <row r="767" spans="1:9">
      <c r="A767">
        <v>766</v>
      </c>
      <c r="B767">
        <v>9</v>
      </c>
      <c r="C767">
        <v>6000</v>
      </c>
      <c r="D767">
        <v>5460</v>
      </c>
      <c r="E767" s="5">
        <f t="shared" si="45"/>
        <v>540</v>
      </c>
      <c r="F767" s="5">
        <f t="shared" si="46"/>
        <v>291600</v>
      </c>
      <c r="G767" s="6">
        <f>SQRT(SUM($F$2:F767)/A767)</f>
        <v>1063.6353200203432</v>
      </c>
      <c r="H767" s="5">
        <f t="shared" si="47"/>
        <v>1</v>
      </c>
      <c r="I767" s="5">
        <f t="shared" si="48"/>
        <v>1</v>
      </c>
    </row>
    <row r="768" spans="1:9">
      <c r="A768">
        <v>767</v>
      </c>
      <c r="B768">
        <v>10</v>
      </c>
      <c r="C768">
        <v>6000</v>
      </c>
      <c r="D768">
        <v>6792</v>
      </c>
      <c r="E768" s="5">
        <f t="shared" si="45"/>
        <v>792</v>
      </c>
      <c r="F768" s="5">
        <f t="shared" si="46"/>
        <v>627264</v>
      </c>
      <c r="G768" s="6">
        <f>SQRT(SUM($F$2:F768)/A768)</f>
        <v>1063.3263446629344</v>
      </c>
      <c r="H768" s="5">
        <f t="shared" si="47"/>
        <v>1</v>
      </c>
      <c r="I768" s="5">
        <f t="shared" si="48"/>
        <v>0</v>
      </c>
    </row>
    <row r="769" spans="1:9">
      <c r="A769">
        <v>768</v>
      </c>
      <c r="B769">
        <v>9</v>
      </c>
      <c r="C769">
        <v>6000</v>
      </c>
      <c r="D769">
        <v>5929</v>
      </c>
      <c r="E769" s="5">
        <f t="shared" si="45"/>
        <v>71</v>
      </c>
      <c r="F769" s="5">
        <f t="shared" si="46"/>
        <v>5041</v>
      </c>
      <c r="G769" s="6">
        <f>SQRT(SUM($F$2:F769)/A769)</f>
        <v>1062.6369378667157</v>
      </c>
      <c r="H769" s="5">
        <f t="shared" si="47"/>
        <v>1</v>
      </c>
      <c r="I769" s="5">
        <f t="shared" si="48"/>
        <v>1</v>
      </c>
    </row>
    <row r="770" spans="1:9">
      <c r="A770">
        <v>769</v>
      </c>
      <c r="B770">
        <v>9</v>
      </c>
      <c r="C770">
        <v>6000</v>
      </c>
      <c r="D770">
        <v>5743</v>
      </c>
      <c r="E770" s="5">
        <f t="shared" si="45"/>
        <v>257</v>
      </c>
      <c r="F770" s="5">
        <f t="shared" si="46"/>
        <v>66049</v>
      </c>
      <c r="G770" s="6">
        <f>SQRT(SUM($F$2:F770)/A770)</f>
        <v>1061.9862307140652</v>
      </c>
      <c r="H770" s="5">
        <f t="shared" si="47"/>
        <v>1</v>
      </c>
      <c r="I770" s="5">
        <f t="shared" si="48"/>
        <v>1</v>
      </c>
    </row>
    <row r="771" spans="1:9">
      <c r="A771">
        <v>770</v>
      </c>
      <c r="B771">
        <v>9</v>
      </c>
      <c r="C771">
        <v>6000</v>
      </c>
      <c r="D771">
        <v>5795</v>
      </c>
      <c r="E771" s="5">
        <f t="shared" ref="E771:E834" si="49">ABS(C771-D771)</f>
        <v>205</v>
      </c>
      <c r="F771" s="5">
        <f t="shared" ref="F771:F834" si="50">POWER(E771,2)</f>
        <v>42025</v>
      </c>
      <c r="G771" s="6">
        <f>SQRT(SUM($F$2:F771)/A771)</f>
        <v>1061.3221177674277</v>
      </c>
      <c r="H771" s="5">
        <f t="shared" ref="H771:H834" si="51">IF(ABS(E771)/C771&gt;0.2,0,1)</f>
        <v>1</v>
      </c>
      <c r="I771" s="5">
        <f t="shared" ref="I771:I834" si="52">IF(ABS(E771)/C771&gt;0.1,0,1)</f>
        <v>1</v>
      </c>
    </row>
    <row r="772" spans="1:9">
      <c r="A772">
        <v>771</v>
      </c>
      <c r="B772">
        <v>9</v>
      </c>
      <c r="C772">
        <v>6000</v>
      </c>
      <c r="D772">
        <v>6108</v>
      </c>
      <c r="E772" s="5">
        <f t="shared" si="49"/>
        <v>108</v>
      </c>
      <c r="F772" s="5">
        <f t="shared" si="50"/>
        <v>11664</v>
      </c>
      <c r="G772" s="6">
        <f>SQRT(SUM($F$2:F772)/A772)</f>
        <v>1060.6407498580297</v>
      </c>
      <c r="H772" s="5">
        <f t="shared" si="51"/>
        <v>1</v>
      </c>
      <c r="I772" s="5">
        <f t="shared" si="52"/>
        <v>1</v>
      </c>
    </row>
    <row r="773" spans="1:9">
      <c r="A773">
        <v>772</v>
      </c>
      <c r="B773">
        <v>9</v>
      </c>
      <c r="C773">
        <v>6000</v>
      </c>
      <c r="D773">
        <v>5834</v>
      </c>
      <c r="E773" s="5">
        <f t="shared" si="49"/>
        <v>166</v>
      </c>
      <c r="F773" s="5">
        <f t="shared" si="50"/>
        <v>27556</v>
      </c>
      <c r="G773" s="6">
        <f>SQRT(SUM($F$2:F773)/A773)</f>
        <v>1059.9704213049772</v>
      </c>
      <c r="H773" s="5">
        <f t="shared" si="51"/>
        <v>1</v>
      </c>
      <c r="I773" s="5">
        <f t="shared" si="52"/>
        <v>1</v>
      </c>
    </row>
    <row r="774" spans="1:9">
      <c r="A774">
        <v>773</v>
      </c>
      <c r="B774">
        <v>9</v>
      </c>
      <c r="C774">
        <v>6000</v>
      </c>
      <c r="D774">
        <v>6007</v>
      </c>
      <c r="E774" s="5">
        <f t="shared" si="49"/>
        <v>7</v>
      </c>
      <c r="F774" s="5">
        <f t="shared" si="50"/>
        <v>49</v>
      </c>
      <c r="G774" s="6">
        <f>SQRT(SUM($F$2:F774)/A774)</f>
        <v>1059.2846081120892</v>
      </c>
      <c r="H774" s="5">
        <f t="shared" si="51"/>
        <v>1</v>
      </c>
      <c r="I774" s="5">
        <f t="shared" si="52"/>
        <v>1</v>
      </c>
    </row>
    <row r="775" spans="1:9">
      <c r="A775">
        <v>774</v>
      </c>
      <c r="B775">
        <v>9</v>
      </c>
      <c r="C775">
        <v>6000</v>
      </c>
      <c r="D775">
        <v>6309</v>
      </c>
      <c r="E775" s="5">
        <f t="shared" si="49"/>
        <v>309</v>
      </c>
      <c r="F775" s="5">
        <f t="shared" si="50"/>
        <v>95481</v>
      </c>
      <c r="G775" s="6">
        <f>SQRT(SUM($F$2:F775)/A775)</f>
        <v>1058.6583588069545</v>
      </c>
      <c r="H775" s="5">
        <f t="shared" si="51"/>
        <v>1</v>
      </c>
      <c r="I775" s="5">
        <f t="shared" si="52"/>
        <v>1</v>
      </c>
    </row>
    <row r="776" spans="1:9">
      <c r="A776">
        <v>775</v>
      </c>
      <c r="B776">
        <v>9</v>
      </c>
      <c r="C776">
        <v>6000</v>
      </c>
      <c r="D776">
        <v>5828</v>
      </c>
      <c r="E776" s="5">
        <f t="shared" si="49"/>
        <v>172</v>
      </c>
      <c r="F776" s="5">
        <f t="shared" si="50"/>
        <v>29584</v>
      </c>
      <c r="G776" s="6">
        <f>SQRT(SUM($F$2:F776)/A776)</f>
        <v>1057.9931733422054</v>
      </c>
      <c r="H776" s="5">
        <f t="shared" si="51"/>
        <v>1</v>
      </c>
      <c r="I776" s="5">
        <f t="shared" si="52"/>
        <v>1</v>
      </c>
    </row>
    <row r="777" spans="1:9">
      <c r="A777">
        <v>776</v>
      </c>
      <c r="B777">
        <v>9</v>
      </c>
      <c r="C777">
        <v>6000</v>
      </c>
      <c r="D777">
        <v>6061</v>
      </c>
      <c r="E777" s="5">
        <f t="shared" si="49"/>
        <v>61</v>
      </c>
      <c r="F777" s="5">
        <f t="shared" si="50"/>
        <v>3721</v>
      </c>
      <c r="G777" s="6">
        <f>SQRT(SUM($F$2:F777)/A777)</f>
        <v>1057.3135245400285</v>
      </c>
      <c r="H777" s="5">
        <f t="shared" si="51"/>
        <v>1</v>
      </c>
      <c r="I777" s="5">
        <f t="shared" si="52"/>
        <v>1</v>
      </c>
    </row>
    <row r="778" spans="1:9">
      <c r="A778">
        <v>777</v>
      </c>
      <c r="B778">
        <v>9</v>
      </c>
      <c r="C778">
        <v>6000</v>
      </c>
      <c r="D778">
        <v>5618</v>
      </c>
      <c r="E778" s="5">
        <f t="shared" si="49"/>
        <v>382</v>
      </c>
      <c r="F778" s="5">
        <f t="shared" si="50"/>
        <v>145924</v>
      </c>
      <c r="G778" s="6">
        <f>SQRT(SUM($F$2:F778)/A778)</f>
        <v>1056.7217890773993</v>
      </c>
      <c r="H778" s="5">
        <f t="shared" si="51"/>
        <v>1</v>
      </c>
      <c r="I778" s="5">
        <f t="shared" si="52"/>
        <v>1</v>
      </c>
    </row>
    <row r="779" spans="1:9">
      <c r="A779">
        <v>778</v>
      </c>
      <c r="B779">
        <v>10</v>
      </c>
      <c r="C779">
        <v>6000</v>
      </c>
      <c r="D779">
        <v>6591</v>
      </c>
      <c r="E779" s="5">
        <f t="shared" si="49"/>
        <v>591</v>
      </c>
      <c r="F779" s="5">
        <f t="shared" si="50"/>
        <v>349281</v>
      </c>
      <c r="G779" s="6">
        <f>SQRT(SUM($F$2:F779)/A779)</f>
        <v>1056.2549834080278</v>
      </c>
      <c r="H779" s="5">
        <f t="shared" si="51"/>
        <v>1</v>
      </c>
      <c r="I779" s="5">
        <f t="shared" si="52"/>
        <v>1</v>
      </c>
    </row>
    <row r="780" spans="1:9">
      <c r="A780">
        <v>779</v>
      </c>
      <c r="B780">
        <v>9</v>
      </c>
      <c r="C780">
        <v>6000</v>
      </c>
      <c r="D780">
        <v>5307</v>
      </c>
      <c r="E780" s="5">
        <f t="shared" si="49"/>
        <v>693</v>
      </c>
      <c r="F780" s="5">
        <f t="shared" si="50"/>
        <v>480249</v>
      </c>
      <c r="G780" s="6">
        <f>SQRT(SUM($F$2:F780)/A780)</f>
        <v>1055.8687873123909</v>
      </c>
      <c r="H780" s="5">
        <f t="shared" si="51"/>
        <v>1</v>
      </c>
      <c r="I780" s="5">
        <f t="shared" si="52"/>
        <v>0</v>
      </c>
    </row>
    <row r="781" spans="1:9">
      <c r="A781">
        <v>780</v>
      </c>
      <c r="B781">
        <v>10</v>
      </c>
      <c r="C781">
        <v>6000</v>
      </c>
      <c r="D781">
        <v>6952</v>
      </c>
      <c r="E781" s="5">
        <f t="shared" si="49"/>
        <v>952</v>
      </c>
      <c r="F781" s="5">
        <f t="shared" si="50"/>
        <v>906304</v>
      </c>
      <c r="G781" s="6">
        <f>SQRT(SUM($F$2:F781)/A781)</f>
        <v>1055.7421645215834</v>
      </c>
      <c r="H781" s="5">
        <f t="shared" si="51"/>
        <v>1</v>
      </c>
      <c r="I781" s="5">
        <f t="shared" si="52"/>
        <v>0</v>
      </c>
    </row>
    <row r="782" spans="1:9">
      <c r="A782">
        <v>781</v>
      </c>
      <c r="B782">
        <v>8</v>
      </c>
      <c r="C782">
        <v>6000</v>
      </c>
      <c r="D782">
        <v>5207</v>
      </c>
      <c r="E782" s="5">
        <f t="shared" si="49"/>
        <v>793</v>
      </c>
      <c r="F782" s="5">
        <f t="shared" si="50"/>
        <v>628849</v>
      </c>
      <c r="G782" s="6">
        <f>SQRT(SUM($F$2:F782)/A782)</f>
        <v>1055.4475678601571</v>
      </c>
      <c r="H782" s="5">
        <f t="shared" si="51"/>
        <v>1</v>
      </c>
      <c r="I782" s="5">
        <f t="shared" si="52"/>
        <v>0</v>
      </c>
    </row>
    <row r="783" spans="1:9">
      <c r="A783">
        <v>782</v>
      </c>
      <c r="B783">
        <v>10</v>
      </c>
      <c r="C783">
        <v>6000</v>
      </c>
      <c r="D783">
        <v>6420</v>
      </c>
      <c r="E783" s="5">
        <f t="shared" si="49"/>
        <v>420</v>
      </c>
      <c r="F783" s="5">
        <f t="shared" si="50"/>
        <v>176400</v>
      </c>
      <c r="G783" s="6">
        <f>SQRT(SUM($F$2:F783)/A783)</f>
        <v>1054.8794388150632</v>
      </c>
      <c r="H783" s="5">
        <f t="shared" si="51"/>
        <v>1</v>
      </c>
      <c r="I783" s="5">
        <f t="shared" si="52"/>
        <v>1</v>
      </c>
    </row>
    <row r="784" spans="1:9">
      <c r="A784">
        <v>783</v>
      </c>
      <c r="B784">
        <v>9</v>
      </c>
      <c r="C784">
        <v>6000</v>
      </c>
      <c r="D784">
        <v>6246</v>
      </c>
      <c r="E784" s="5">
        <f t="shared" si="49"/>
        <v>246</v>
      </c>
      <c r="F784" s="5">
        <f t="shared" si="50"/>
        <v>60516</v>
      </c>
      <c r="G784" s="6">
        <f>SQRT(SUM($F$2:F784)/A784)</f>
        <v>1054.2422657004756</v>
      </c>
      <c r="H784" s="5">
        <f t="shared" si="51"/>
        <v>1</v>
      </c>
      <c r="I784" s="5">
        <f t="shared" si="52"/>
        <v>1</v>
      </c>
    </row>
    <row r="785" spans="1:9">
      <c r="A785">
        <v>784</v>
      </c>
      <c r="B785">
        <v>9</v>
      </c>
      <c r="C785">
        <v>6000</v>
      </c>
      <c r="D785">
        <v>5576</v>
      </c>
      <c r="E785" s="5">
        <f t="shared" si="49"/>
        <v>424</v>
      </c>
      <c r="F785" s="5">
        <f t="shared" si="50"/>
        <v>179776</v>
      </c>
      <c r="G785" s="6">
        <f>SQRT(SUM($F$2:F785)/A785)</f>
        <v>1053.678520586283</v>
      </c>
      <c r="H785" s="5">
        <f t="shared" si="51"/>
        <v>1</v>
      </c>
      <c r="I785" s="5">
        <f t="shared" si="52"/>
        <v>1</v>
      </c>
    </row>
    <row r="786" spans="1:9">
      <c r="A786">
        <v>785</v>
      </c>
      <c r="B786">
        <v>10</v>
      </c>
      <c r="C786">
        <v>6000</v>
      </c>
      <c r="D786">
        <v>5938</v>
      </c>
      <c r="E786" s="5">
        <f t="shared" si="49"/>
        <v>62</v>
      </c>
      <c r="F786" s="5">
        <f t="shared" si="50"/>
        <v>3844</v>
      </c>
      <c r="G786" s="6">
        <f>SQRT(SUM($F$2:F786)/A786)</f>
        <v>1053.0094990528535</v>
      </c>
      <c r="H786" s="5">
        <f t="shared" si="51"/>
        <v>1</v>
      </c>
      <c r="I786" s="5">
        <f t="shared" si="52"/>
        <v>1</v>
      </c>
    </row>
    <row r="787" spans="1:9">
      <c r="A787">
        <v>786</v>
      </c>
      <c r="B787">
        <v>9</v>
      </c>
      <c r="C787">
        <v>6000</v>
      </c>
      <c r="D787">
        <v>5835</v>
      </c>
      <c r="E787" s="5">
        <f t="shared" si="49"/>
        <v>165</v>
      </c>
      <c r="F787" s="5">
        <f t="shared" si="50"/>
        <v>27225</v>
      </c>
      <c r="G787" s="6">
        <f>SQRT(SUM($F$2:F787)/A787)</f>
        <v>1052.3558896946715</v>
      </c>
      <c r="H787" s="5">
        <f t="shared" si="51"/>
        <v>1</v>
      </c>
      <c r="I787" s="5">
        <f t="shared" si="52"/>
        <v>1</v>
      </c>
    </row>
    <row r="788" spans="1:9">
      <c r="A788">
        <v>787</v>
      </c>
      <c r="B788">
        <v>9</v>
      </c>
      <c r="C788">
        <v>6000</v>
      </c>
      <c r="D788">
        <v>5545</v>
      </c>
      <c r="E788" s="5">
        <f t="shared" si="49"/>
        <v>455</v>
      </c>
      <c r="F788" s="5">
        <f t="shared" si="50"/>
        <v>207025</v>
      </c>
      <c r="G788" s="6">
        <f>SQRT(SUM($F$2:F788)/A788)</f>
        <v>1051.8121465422059</v>
      </c>
      <c r="H788" s="5">
        <f t="shared" si="51"/>
        <v>1</v>
      </c>
      <c r="I788" s="5">
        <f t="shared" si="52"/>
        <v>1</v>
      </c>
    </row>
    <row r="789" spans="1:9">
      <c r="A789">
        <v>788</v>
      </c>
      <c r="B789">
        <v>10</v>
      </c>
      <c r="C789">
        <v>6000</v>
      </c>
      <c r="D789">
        <v>6125</v>
      </c>
      <c r="E789" s="5">
        <f t="shared" si="49"/>
        <v>125</v>
      </c>
      <c r="F789" s="5">
        <f t="shared" si="50"/>
        <v>15625</v>
      </c>
      <c r="G789" s="6">
        <f>SQRT(SUM($F$2:F789)/A789)</f>
        <v>1051.1539730823945</v>
      </c>
      <c r="H789" s="5">
        <f t="shared" si="51"/>
        <v>1</v>
      </c>
      <c r="I789" s="5">
        <f t="shared" si="52"/>
        <v>1</v>
      </c>
    </row>
    <row r="790" spans="1:9">
      <c r="A790">
        <v>789</v>
      </c>
      <c r="B790">
        <v>9</v>
      </c>
      <c r="C790">
        <v>6000</v>
      </c>
      <c r="D790">
        <v>6310</v>
      </c>
      <c r="E790" s="5">
        <f t="shared" si="49"/>
        <v>310</v>
      </c>
      <c r="F790" s="5">
        <f t="shared" si="50"/>
        <v>96100</v>
      </c>
      <c r="G790" s="6">
        <f>SQRT(SUM($F$2:F790)/A790)</f>
        <v>1050.5456027090665</v>
      </c>
      <c r="H790" s="5">
        <f t="shared" si="51"/>
        <v>1</v>
      </c>
      <c r="I790" s="5">
        <f t="shared" si="52"/>
        <v>1</v>
      </c>
    </row>
    <row r="791" spans="1:9">
      <c r="A791">
        <v>790</v>
      </c>
      <c r="B791">
        <v>9</v>
      </c>
      <c r="C791">
        <v>6000</v>
      </c>
      <c r="D791">
        <v>6044</v>
      </c>
      <c r="E791" s="5">
        <f t="shared" si="49"/>
        <v>44</v>
      </c>
      <c r="F791" s="5">
        <f t="shared" si="50"/>
        <v>1936</v>
      </c>
      <c r="G791" s="6">
        <f>SQRT(SUM($F$2:F791)/A791)</f>
        <v>1049.8816569837222</v>
      </c>
      <c r="H791" s="5">
        <f t="shared" si="51"/>
        <v>1</v>
      </c>
      <c r="I791" s="5">
        <f t="shared" si="52"/>
        <v>1</v>
      </c>
    </row>
    <row r="792" spans="1:9">
      <c r="A792">
        <v>791</v>
      </c>
      <c r="B792">
        <v>9</v>
      </c>
      <c r="C792">
        <v>6000</v>
      </c>
      <c r="D792">
        <v>6093</v>
      </c>
      <c r="E792" s="5">
        <f t="shared" si="49"/>
        <v>93</v>
      </c>
      <c r="F792" s="5">
        <f t="shared" si="50"/>
        <v>8649</v>
      </c>
      <c r="G792" s="6">
        <f>SQRT(SUM($F$2:F792)/A792)</f>
        <v>1049.2230157544557</v>
      </c>
      <c r="H792" s="5">
        <f t="shared" si="51"/>
        <v>1</v>
      </c>
      <c r="I792" s="5">
        <f t="shared" si="52"/>
        <v>1</v>
      </c>
    </row>
    <row r="793" spans="1:9">
      <c r="A793">
        <v>792</v>
      </c>
      <c r="B793">
        <v>9</v>
      </c>
      <c r="C793">
        <v>6000</v>
      </c>
      <c r="D793">
        <v>5899</v>
      </c>
      <c r="E793" s="5">
        <f t="shared" si="49"/>
        <v>101</v>
      </c>
      <c r="F793" s="5">
        <f t="shared" si="50"/>
        <v>10201</v>
      </c>
      <c r="G793" s="6">
        <f>SQRT(SUM($F$2:F793)/A793)</f>
        <v>1048.5665600275838</v>
      </c>
      <c r="H793" s="5">
        <f t="shared" si="51"/>
        <v>1</v>
      </c>
      <c r="I793" s="5">
        <f t="shared" si="52"/>
        <v>1</v>
      </c>
    </row>
    <row r="794" spans="1:9">
      <c r="A794">
        <v>793</v>
      </c>
      <c r="B794">
        <v>9</v>
      </c>
      <c r="C794">
        <v>6000</v>
      </c>
      <c r="D794">
        <v>5678</v>
      </c>
      <c r="E794" s="5">
        <f t="shared" si="49"/>
        <v>322</v>
      </c>
      <c r="F794" s="5">
        <f t="shared" si="50"/>
        <v>103684</v>
      </c>
      <c r="G794" s="6">
        <f>SQRT(SUM($F$2:F794)/A794)</f>
        <v>1047.9675964590924</v>
      </c>
      <c r="H794" s="5">
        <f t="shared" si="51"/>
        <v>1</v>
      </c>
      <c r="I794" s="5">
        <f t="shared" si="52"/>
        <v>1</v>
      </c>
    </row>
    <row r="795" spans="1:9">
      <c r="A795">
        <v>794</v>
      </c>
      <c r="B795">
        <v>10</v>
      </c>
      <c r="C795">
        <v>6000</v>
      </c>
      <c r="D795">
        <v>6707</v>
      </c>
      <c r="E795" s="5">
        <f t="shared" si="49"/>
        <v>707</v>
      </c>
      <c r="F795" s="5">
        <f t="shared" si="50"/>
        <v>499849</v>
      </c>
      <c r="G795" s="6">
        <f>SQRT(SUM($F$2:F795)/A795)</f>
        <v>1047.6079644138233</v>
      </c>
      <c r="H795" s="5">
        <f t="shared" si="51"/>
        <v>1</v>
      </c>
      <c r="I795" s="5">
        <f t="shared" si="52"/>
        <v>0</v>
      </c>
    </row>
    <row r="796" spans="1:9">
      <c r="A796">
        <v>795</v>
      </c>
      <c r="B796">
        <v>9</v>
      </c>
      <c r="C796">
        <v>6000</v>
      </c>
      <c r="D796">
        <v>5520</v>
      </c>
      <c r="E796" s="5">
        <f t="shared" si="49"/>
        <v>480</v>
      </c>
      <c r="F796" s="5">
        <f t="shared" si="50"/>
        <v>230400</v>
      </c>
      <c r="G796" s="6">
        <f>SQRT(SUM($F$2:F796)/A796)</f>
        <v>1047.0872825884624</v>
      </c>
      <c r="H796" s="5">
        <f t="shared" si="51"/>
        <v>1</v>
      </c>
      <c r="I796" s="5">
        <f t="shared" si="52"/>
        <v>1</v>
      </c>
    </row>
    <row r="797" spans="1:9">
      <c r="A797">
        <v>796</v>
      </c>
      <c r="B797">
        <v>10</v>
      </c>
      <c r="C797">
        <v>6000</v>
      </c>
      <c r="D797">
        <v>5232</v>
      </c>
      <c r="E797" s="5">
        <f t="shared" si="49"/>
        <v>768</v>
      </c>
      <c r="F797" s="5">
        <f t="shared" si="50"/>
        <v>589824</v>
      </c>
      <c r="G797" s="6">
        <f>SQRT(SUM($F$2:F797)/A797)</f>
        <v>1046.7833518347491</v>
      </c>
      <c r="H797" s="5">
        <f t="shared" si="51"/>
        <v>1</v>
      </c>
      <c r="I797" s="5">
        <f t="shared" si="52"/>
        <v>0</v>
      </c>
    </row>
    <row r="798" spans="1:9">
      <c r="A798">
        <v>797</v>
      </c>
      <c r="B798">
        <v>10</v>
      </c>
      <c r="C798">
        <v>6000</v>
      </c>
      <c r="D798">
        <v>4581</v>
      </c>
      <c r="E798" s="5">
        <f t="shared" si="49"/>
        <v>1419</v>
      </c>
      <c r="F798" s="5">
        <f t="shared" si="50"/>
        <v>2013561</v>
      </c>
      <c r="G798" s="6">
        <f>SQRT(SUM($F$2:F798)/A798)</f>
        <v>1047.333261719564</v>
      </c>
      <c r="H798" s="5">
        <f t="shared" si="51"/>
        <v>0</v>
      </c>
      <c r="I798" s="5">
        <f t="shared" si="52"/>
        <v>0</v>
      </c>
    </row>
    <row r="799" spans="1:9">
      <c r="A799">
        <v>798</v>
      </c>
      <c r="B799">
        <v>11</v>
      </c>
      <c r="C799">
        <v>6000</v>
      </c>
      <c r="D799">
        <v>4250</v>
      </c>
      <c r="E799" s="5">
        <f t="shared" si="49"/>
        <v>1750</v>
      </c>
      <c r="F799" s="5">
        <f t="shared" si="50"/>
        <v>3062500</v>
      </c>
      <c r="G799" s="6">
        <f>SQRT(SUM($F$2:F799)/A799)</f>
        <v>1048.5085170258224</v>
      </c>
      <c r="H799" s="5">
        <f t="shared" si="51"/>
        <v>0</v>
      </c>
      <c r="I799" s="5">
        <f t="shared" si="52"/>
        <v>0</v>
      </c>
    </row>
    <row r="800" spans="1:9">
      <c r="A800">
        <v>799</v>
      </c>
      <c r="B800">
        <v>12</v>
      </c>
      <c r="C800">
        <v>6000</v>
      </c>
      <c r="D800">
        <v>7503</v>
      </c>
      <c r="E800" s="5">
        <f t="shared" si="49"/>
        <v>1503</v>
      </c>
      <c r="F800" s="5">
        <f t="shared" si="50"/>
        <v>2259009</v>
      </c>
      <c r="G800" s="6">
        <f>SQRT(SUM($F$2:F800)/A800)</f>
        <v>1049.2003970125841</v>
      </c>
      <c r="H800" s="5">
        <f t="shared" si="51"/>
        <v>0</v>
      </c>
      <c r="I800" s="5">
        <f t="shared" si="52"/>
        <v>0</v>
      </c>
    </row>
    <row r="801" spans="1:9">
      <c r="A801">
        <v>800</v>
      </c>
      <c r="B801">
        <v>9</v>
      </c>
      <c r="C801">
        <v>6000</v>
      </c>
      <c r="D801">
        <v>5641</v>
      </c>
      <c r="E801" s="5">
        <f t="shared" si="49"/>
        <v>359</v>
      </c>
      <c r="F801" s="5">
        <f t="shared" si="50"/>
        <v>128881</v>
      </c>
      <c r="G801" s="6">
        <f>SQRT(SUM($F$2:F801)/A801)</f>
        <v>1048.6212602746523</v>
      </c>
      <c r="H801" s="5">
        <f t="shared" si="51"/>
        <v>1</v>
      </c>
      <c r="I801" s="5">
        <f t="shared" si="52"/>
        <v>1</v>
      </c>
    </row>
    <row r="802" spans="1:9">
      <c r="A802">
        <v>801</v>
      </c>
      <c r="B802">
        <v>1</v>
      </c>
      <c r="C802">
        <v>9000</v>
      </c>
      <c r="D802">
        <v>852</v>
      </c>
      <c r="E802" s="5">
        <f t="shared" si="49"/>
        <v>8148</v>
      </c>
      <c r="F802" s="5">
        <f t="shared" si="50"/>
        <v>66389904</v>
      </c>
      <c r="G802" s="6">
        <f>SQRT(SUM($F$2:F802)/A802)</f>
        <v>1086.7923125357331</v>
      </c>
      <c r="H802" s="5">
        <f t="shared" si="51"/>
        <v>0</v>
      </c>
      <c r="I802" s="5">
        <f t="shared" si="52"/>
        <v>0</v>
      </c>
    </row>
    <row r="803" spans="1:9">
      <c r="A803">
        <v>802</v>
      </c>
      <c r="B803">
        <v>9</v>
      </c>
      <c r="C803">
        <v>9000</v>
      </c>
      <c r="D803">
        <v>5888</v>
      </c>
      <c r="E803" s="5">
        <f t="shared" si="49"/>
        <v>3112</v>
      </c>
      <c r="F803" s="5">
        <f t="shared" si="50"/>
        <v>9684544</v>
      </c>
      <c r="G803" s="6">
        <f>SQRT(SUM($F$2:F803)/A803)</f>
        <v>1091.6594279962808</v>
      </c>
      <c r="H803" s="5">
        <f t="shared" si="51"/>
        <v>0</v>
      </c>
      <c r="I803" s="5">
        <f t="shared" si="52"/>
        <v>0</v>
      </c>
    </row>
    <row r="804" spans="1:9">
      <c r="A804">
        <v>803</v>
      </c>
      <c r="B804">
        <v>5</v>
      </c>
      <c r="C804">
        <v>9000</v>
      </c>
      <c r="D804">
        <v>3841</v>
      </c>
      <c r="E804" s="5">
        <f t="shared" si="49"/>
        <v>5159</v>
      </c>
      <c r="F804" s="5">
        <f t="shared" si="50"/>
        <v>26615281</v>
      </c>
      <c r="G804" s="6">
        <f>SQRT(SUM($F$2:F804)/A804)</f>
        <v>1106.0655631055151</v>
      </c>
      <c r="H804" s="5">
        <f t="shared" si="51"/>
        <v>0</v>
      </c>
      <c r="I804" s="5">
        <f t="shared" si="52"/>
        <v>0</v>
      </c>
    </row>
    <row r="805" spans="1:9">
      <c r="A805">
        <v>804</v>
      </c>
      <c r="B805">
        <v>8</v>
      </c>
      <c r="C805">
        <v>9000</v>
      </c>
      <c r="D805">
        <v>5209</v>
      </c>
      <c r="E805" s="5">
        <f t="shared" si="49"/>
        <v>3791</v>
      </c>
      <c r="F805" s="5">
        <f t="shared" si="50"/>
        <v>14371681</v>
      </c>
      <c r="G805" s="6">
        <f>SQRT(SUM($F$2:F805)/A805)</f>
        <v>1113.4337146035773</v>
      </c>
      <c r="H805" s="5">
        <f t="shared" si="51"/>
        <v>0</v>
      </c>
      <c r="I805" s="5">
        <f t="shared" si="52"/>
        <v>0</v>
      </c>
    </row>
    <row r="806" spans="1:9">
      <c r="A806">
        <v>805</v>
      </c>
      <c r="B806">
        <v>8</v>
      </c>
      <c r="C806">
        <v>9000</v>
      </c>
      <c r="D806">
        <v>5143</v>
      </c>
      <c r="E806" s="5">
        <f t="shared" si="49"/>
        <v>3857</v>
      </c>
      <c r="F806" s="5">
        <f t="shared" si="50"/>
        <v>14876449</v>
      </c>
      <c r="G806" s="6">
        <f>SQRT(SUM($F$2:F806)/A806)</f>
        <v>1121.0150108978848</v>
      </c>
      <c r="H806" s="5">
        <f t="shared" si="51"/>
        <v>0</v>
      </c>
      <c r="I806" s="5">
        <f t="shared" si="52"/>
        <v>0</v>
      </c>
    </row>
    <row r="807" spans="1:9">
      <c r="A807">
        <v>806</v>
      </c>
      <c r="B807">
        <v>9</v>
      </c>
      <c r="C807">
        <v>9000</v>
      </c>
      <c r="D807">
        <v>6369</v>
      </c>
      <c r="E807" s="5">
        <f t="shared" si="49"/>
        <v>2631</v>
      </c>
      <c r="F807" s="5">
        <f t="shared" si="50"/>
        <v>6922161</v>
      </c>
      <c r="G807" s="6">
        <f>SQRT(SUM($F$2:F807)/A807)</f>
        <v>1124.1458063990922</v>
      </c>
      <c r="H807" s="5">
        <f t="shared" si="51"/>
        <v>0</v>
      </c>
      <c r="I807" s="5">
        <f t="shared" si="52"/>
        <v>0</v>
      </c>
    </row>
    <row r="808" spans="1:9">
      <c r="A808">
        <v>807</v>
      </c>
      <c r="B808">
        <v>8</v>
      </c>
      <c r="C808">
        <v>9000</v>
      </c>
      <c r="D808">
        <v>5443</v>
      </c>
      <c r="E808" s="5">
        <f t="shared" si="49"/>
        <v>3557</v>
      </c>
      <c r="F808" s="5">
        <f t="shared" si="50"/>
        <v>12652249</v>
      </c>
      <c r="G808" s="6">
        <f>SQRT(SUM($F$2:F808)/A808)</f>
        <v>1130.4052343315707</v>
      </c>
      <c r="H808" s="5">
        <f t="shared" si="51"/>
        <v>0</v>
      </c>
      <c r="I808" s="5">
        <f t="shared" si="52"/>
        <v>0</v>
      </c>
    </row>
    <row r="809" spans="1:9">
      <c r="A809">
        <v>808</v>
      </c>
      <c r="B809">
        <v>10</v>
      </c>
      <c r="C809">
        <v>9000</v>
      </c>
      <c r="D809">
        <v>6422</v>
      </c>
      <c r="E809" s="5">
        <f t="shared" si="49"/>
        <v>2578</v>
      </c>
      <c r="F809" s="5">
        <f t="shared" si="50"/>
        <v>6646084</v>
      </c>
      <c r="G809" s="6">
        <f>SQRT(SUM($F$2:F809)/A809)</f>
        <v>1133.3401474630134</v>
      </c>
      <c r="H809" s="5">
        <f t="shared" si="51"/>
        <v>0</v>
      </c>
      <c r="I809" s="5">
        <f t="shared" si="52"/>
        <v>0</v>
      </c>
    </row>
    <row r="810" spans="1:9">
      <c r="A810">
        <v>809</v>
      </c>
      <c r="B810">
        <v>10</v>
      </c>
      <c r="C810">
        <v>9000</v>
      </c>
      <c r="D810">
        <v>7283</v>
      </c>
      <c r="E810" s="5">
        <f t="shared" si="49"/>
        <v>1717</v>
      </c>
      <c r="F810" s="5">
        <f t="shared" si="50"/>
        <v>2948089</v>
      </c>
      <c r="G810" s="6">
        <f>SQRT(SUM($F$2:F810)/A810)</f>
        <v>1134.2470153005343</v>
      </c>
      <c r="H810" s="5">
        <f t="shared" si="51"/>
        <v>1</v>
      </c>
      <c r="I810" s="5">
        <f t="shared" si="52"/>
        <v>0</v>
      </c>
    </row>
    <row r="811" spans="1:9">
      <c r="A811">
        <v>810</v>
      </c>
      <c r="B811">
        <v>9</v>
      </c>
      <c r="C811">
        <v>9000</v>
      </c>
      <c r="D811">
        <v>6334</v>
      </c>
      <c r="E811" s="5">
        <f t="shared" si="49"/>
        <v>2666</v>
      </c>
      <c r="F811" s="5">
        <f t="shared" si="50"/>
        <v>7107556</v>
      </c>
      <c r="G811" s="6">
        <f>SQRT(SUM($F$2:F811)/A811)</f>
        <v>1137.4105505462076</v>
      </c>
      <c r="H811" s="5">
        <f t="shared" si="51"/>
        <v>0</v>
      </c>
      <c r="I811" s="5">
        <f t="shared" si="52"/>
        <v>0</v>
      </c>
    </row>
    <row r="812" spans="1:9">
      <c r="A812">
        <v>811</v>
      </c>
      <c r="B812">
        <v>11</v>
      </c>
      <c r="C812">
        <v>9000</v>
      </c>
      <c r="D812">
        <v>7829</v>
      </c>
      <c r="E812" s="5">
        <f t="shared" si="49"/>
        <v>1171</v>
      </c>
      <c r="F812" s="5">
        <f t="shared" si="50"/>
        <v>1371241</v>
      </c>
      <c r="G812" s="6">
        <f>SQRT(SUM($F$2:F812)/A812)</f>
        <v>1137.4525786513657</v>
      </c>
      <c r="H812" s="5">
        <f t="shared" si="51"/>
        <v>1</v>
      </c>
      <c r="I812" s="5">
        <f t="shared" si="52"/>
        <v>0</v>
      </c>
    </row>
    <row r="813" spans="1:9">
      <c r="A813">
        <v>812</v>
      </c>
      <c r="B813">
        <v>10</v>
      </c>
      <c r="C813">
        <v>9000</v>
      </c>
      <c r="D813">
        <v>6927</v>
      </c>
      <c r="E813" s="5">
        <f t="shared" si="49"/>
        <v>2073</v>
      </c>
      <c r="F813" s="5">
        <f t="shared" si="50"/>
        <v>4297329</v>
      </c>
      <c r="G813" s="6">
        <f>SQRT(SUM($F$2:F813)/A813)</f>
        <v>1139.0773889554462</v>
      </c>
      <c r="H813" s="5">
        <f t="shared" si="51"/>
        <v>0</v>
      </c>
      <c r="I813" s="5">
        <f t="shared" si="52"/>
        <v>0</v>
      </c>
    </row>
    <row r="814" spans="1:9">
      <c r="A814">
        <v>813</v>
      </c>
      <c r="B814">
        <v>11</v>
      </c>
      <c r="C814">
        <v>9000</v>
      </c>
      <c r="D814">
        <v>7101</v>
      </c>
      <c r="E814" s="5">
        <f t="shared" si="49"/>
        <v>1899</v>
      </c>
      <c r="F814" s="5">
        <f t="shared" si="50"/>
        <v>3606201</v>
      </c>
      <c r="G814" s="6">
        <f>SQRT(SUM($F$2:F814)/A814)</f>
        <v>1140.3232138215551</v>
      </c>
      <c r="H814" s="5">
        <f t="shared" si="51"/>
        <v>0</v>
      </c>
      <c r="I814" s="5">
        <f t="shared" si="52"/>
        <v>0</v>
      </c>
    </row>
    <row r="815" spans="1:9">
      <c r="A815">
        <v>814</v>
      </c>
      <c r="B815">
        <v>11</v>
      </c>
      <c r="C815">
        <v>9000</v>
      </c>
      <c r="D815">
        <v>7362</v>
      </c>
      <c r="E815" s="5">
        <f t="shared" si="49"/>
        <v>1638</v>
      </c>
      <c r="F815" s="5">
        <f t="shared" si="50"/>
        <v>2683044</v>
      </c>
      <c r="G815" s="6">
        <f>SQRT(SUM($F$2:F815)/A815)</f>
        <v>1141.0677846601354</v>
      </c>
      <c r="H815" s="5">
        <f t="shared" si="51"/>
        <v>1</v>
      </c>
      <c r="I815" s="5">
        <f t="shared" si="52"/>
        <v>0</v>
      </c>
    </row>
    <row r="816" spans="1:9">
      <c r="A816">
        <v>815</v>
      </c>
      <c r="B816">
        <v>12</v>
      </c>
      <c r="C816">
        <v>9000</v>
      </c>
      <c r="D816">
        <v>7576</v>
      </c>
      <c r="E816" s="5">
        <f t="shared" si="49"/>
        <v>1424</v>
      </c>
      <c r="F816" s="5">
        <f t="shared" si="50"/>
        <v>2027776</v>
      </c>
      <c r="G816" s="6">
        <f>SQRT(SUM($F$2:F816)/A816)</f>
        <v>1141.45791341519</v>
      </c>
      <c r="H816" s="5">
        <f t="shared" si="51"/>
        <v>1</v>
      </c>
      <c r="I816" s="5">
        <f t="shared" si="52"/>
        <v>0</v>
      </c>
    </row>
    <row r="817" spans="1:9">
      <c r="A817">
        <v>816</v>
      </c>
      <c r="B817">
        <v>12</v>
      </c>
      <c r="C817">
        <v>9000</v>
      </c>
      <c r="D817">
        <v>7799</v>
      </c>
      <c r="E817" s="5">
        <f t="shared" si="49"/>
        <v>1201</v>
      </c>
      <c r="F817" s="5">
        <f t="shared" si="50"/>
        <v>1442401</v>
      </c>
      <c r="G817" s="6">
        <f>SQRT(SUM($F$2:F817)/A817)</f>
        <v>1141.5327823313946</v>
      </c>
      <c r="H817" s="5">
        <f t="shared" si="51"/>
        <v>1</v>
      </c>
      <c r="I817" s="5">
        <f t="shared" si="52"/>
        <v>0</v>
      </c>
    </row>
    <row r="818" spans="1:9">
      <c r="A818">
        <v>817</v>
      </c>
      <c r="B818">
        <v>12</v>
      </c>
      <c r="C818">
        <v>9000</v>
      </c>
      <c r="D818">
        <v>7845</v>
      </c>
      <c r="E818" s="5">
        <f t="shared" si="49"/>
        <v>1155</v>
      </c>
      <c r="F818" s="5">
        <f t="shared" si="50"/>
        <v>1334025</v>
      </c>
      <c r="G818" s="6">
        <f>SQRT(SUM($F$2:F818)/A818)</f>
        <v>1141.5493631868976</v>
      </c>
      <c r="H818" s="5">
        <f t="shared" si="51"/>
        <v>1</v>
      </c>
      <c r="I818" s="5">
        <f t="shared" si="52"/>
        <v>0</v>
      </c>
    </row>
    <row r="819" spans="1:9">
      <c r="A819">
        <v>818</v>
      </c>
      <c r="B819">
        <v>12</v>
      </c>
      <c r="C819">
        <v>9000</v>
      </c>
      <c r="D819">
        <v>7655</v>
      </c>
      <c r="E819" s="5">
        <f t="shared" si="49"/>
        <v>1345</v>
      </c>
      <c r="F819" s="5">
        <f t="shared" si="50"/>
        <v>1809025</v>
      </c>
      <c r="G819" s="6">
        <f>SQRT(SUM($F$2:F819)/A819)</f>
        <v>1141.8202118057027</v>
      </c>
      <c r="H819" s="5">
        <f t="shared" si="51"/>
        <v>1</v>
      </c>
      <c r="I819" s="5">
        <f t="shared" si="52"/>
        <v>0</v>
      </c>
    </row>
    <row r="820" spans="1:9">
      <c r="A820">
        <v>819</v>
      </c>
      <c r="B820">
        <v>13</v>
      </c>
      <c r="C820">
        <v>9000</v>
      </c>
      <c r="D820">
        <v>8065</v>
      </c>
      <c r="E820" s="5">
        <f t="shared" si="49"/>
        <v>935</v>
      </c>
      <c r="F820" s="5">
        <f t="shared" si="50"/>
        <v>874225</v>
      </c>
      <c r="G820" s="6">
        <f>SQRT(SUM($F$2:F820)/A820)</f>
        <v>1141.5905314042952</v>
      </c>
      <c r="H820" s="5">
        <f t="shared" si="51"/>
        <v>1</v>
      </c>
      <c r="I820" s="5">
        <f t="shared" si="52"/>
        <v>0</v>
      </c>
    </row>
    <row r="821" spans="1:9">
      <c r="A821">
        <v>820</v>
      </c>
      <c r="B821">
        <v>12</v>
      </c>
      <c r="C821">
        <v>9000</v>
      </c>
      <c r="D821">
        <v>6822</v>
      </c>
      <c r="E821" s="5">
        <f t="shared" si="49"/>
        <v>2178</v>
      </c>
      <c r="F821" s="5">
        <f t="shared" si="50"/>
        <v>4743684</v>
      </c>
      <c r="G821" s="6">
        <f>SQRT(SUM($F$2:F821)/A821)</f>
        <v>1143.4267000086552</v>
      </c>
      <c r="H821" s="5">
        <f t="shared" si="51"/>
        <v>0</v>
      </c>
      <c r="I821" s="5">
        <f t="shared" si="52"/>
        <v>0</v>
      </c>
    </row>
    <row r="822" spans="1:9">
      <c r="A822">
        <v>821</v>
      </c>
      <c r="B822">
        <v>14</v>
      </c>
      <c r="C822">
        <v>9000</v>
      </c>
      <c r="D822">
        <v>8890</v>
      </c>
      <c r="E822" s="5">
        <f t="shared" si="49"/>
        <v>110</v>
      </c>
      <c r="F822" s="5">
        <f t="shared" si="50"/>
        <v>12100</v>
      </c>
      <c r="G822" s="6">
        <f>SQRT(SUM($F$2:F822)/A822)</f>
        <v>1142.7365742800571</v>
      </c>
      <c r="H822" s="5">
        <f t="shared" si="51"/>
        <v>1</v>
      </c>
      <c r="I822" s="5">
        <f t="shared" si="52"/>
        <v>1</v>
      </c>
    </row>
    <row r="823" spans="1:9">
      <c r="A823">
        <v>822</v>
      </c>
      <c r="B823">
        <v>12</v>
      </c>
      <c r="C823">
        <v>9000</v>
      </c>
      <c r="D823">
        <v>7615</v>
      </c>
      <c r="E823" s="5">
        <f t="shared" si="49"/>
        <v>1385</v>
      </c>
      <c r="F823" s="5">
        <f t="shared" si="50"/>
        <v>1918225</v>
      </c>
      <c r="G823" s="6">
        <f>SQRT(SUM($F$2:F823)/A823)</f>
        <v>1143.0624933690015</v>
      </c>
      <c r="H823" s="5">
        <f t="shared" si="51"/>
        <v>1</v>
      </c>
      <c r="I823" s="5">
        <f t="shared" si="52"/>
        <v>0</v>
      </c>
    </row>
    <row r="824" spans="1:9">
      <c r="A824">
        <v>823</v>
      </c>
      <c r="B824">
        <v>14</v>
      </c>
      <c r="C824">
        <v>9000</v>
      </c>
      <c r="D824">
        <v>8205</v>
      </c>
      <c r="E824" s="5">
        <f t="shared" si="49"/>
        <v>795</v>
      </c>
      <c r="F824" s="5">
        <f t="shared" si="50"/>
        <v>632025</v>
      </c>
      <c r="G824" s="6">
        <f>SQRT(SUM($F$2:F824)/A824)</f>
        <v>1142.7039073736889</v>
      </c>
      <c r="H824" s="5">
        <f t="shared" si="51"/>
        <v>1</v>
      </c>
      <c r="I824" s="5">
        <f t="shared" si="52"/>
        <v>1</v>
      </c>
    </row>
    <row r="825" spans="1:9">
      <c r="A825">
        <v>824</v>
      </c>
      <c r="B825">
        <v>13</v>
      </c>
      <c r="C825">
        <v>9000</v>
      </c>
      <c r="D825">
        <v>8699</v>
      </c>
      <c r="E825" s="5">
        <f t="shared" si="49"/>
        <v>301</v>
      </c>
      <c r="F825" s="5">
        <f t="shared" si="50"/>
        <v>90601</v>
      </c>
      <c r="G825" s="6">
        <f>SQRT(SUM($F$2:F825)/A825)</f>
        <v>1142.0584475292039</v>
      </c>
      <c r="H825" s="5">
        <f t="shared" si="51"/>
        <v>1</v>
      </c>
      <c r="I825" s="5">
        <f t="shared" si="52"/>
        <v>1</v>
      </c>
    </row>
    <row r="826" spans="1:9">
      <c r="A826">
        <v>825</v>
      </c>
      <c r="B826">
        <v>13</v>
      </c>
      <c r="C826">
        <v>9000</v>
      </c>
      <c r="D826">
        <v>8239</v>
      </c>
      <c r="E826" s="5">
        <f t="shared" si="49"/>
        <v>761</v>
      </c>
      <c r="F826" s="5">
        <f t="shared" si="50"/>
        <v>579121</v>
      </c>
      <c r="G826" s="6">
        <f>SQRT(SUM($F$2:F826)/A826)</f>
        <v>1141.6735504326864</v>
      </c>
      <c r="H826" s="5">
        <f t="shared" si="51"/>
        <v>1</v>
      </c>
      <c r="I826" s="5">
        <f t="shared" si="52"/>
        <v>1</v>
      </c>
    </row>
    <row r="827" spans="1:9">
      <c r="A827">
        <v>826</v>
      </c>
      <c r="B827">
        <v>14</v>
      </c>
      <c r="C827">
        <v>9000</v>
      </c>
      <c r="D827">
        <v>8146</v>
      </c>
      <c r="E827" s="5">
        <f t="shared" si="49"/>
        <v>854</v>
      </c>
      <c r="F827" s="5">
        <f t="shared" si="50"/>
        <v>729316</v>
      </c>
      <c r="G827" s="6">
        <f>SQRT(SUM($F$2:F827)/A827)</f>
        <v>1141.3691148863566</v>
      </c>
      <c r="H827" s="5">
        <f t="shared" si="51"/>
        <v>1</v>
      </c>
      <c r="I827" s="5">
        <f t="shared" si="52"/>
        <v>1</v>
      </c>
    </row>
    <row r="828" spans="1:9">
      <c r="A828">
        <v>827</v>
      </c>
      <c r="B828">
        <v>14</v>
      </c>
      <c r="C828">
        <v>9000</v>
      </c>
      <c r="D828">
        <v>8775</v>
      </c>
      <c r="E828" s="5">
        <f t="shared" si="49"/>
        <v>225</v>
      </c>
      <c r="F828" s="5">
        <f t="shared" si="50"/>
        <v>50625</v>
      </c>
      <c r="G828" s="6">
        <f>SQRT(SUM($F$2:F828)/A828)</f>
        <v>1140.7056726784406</v>
      </c>
      <c r="H828" s="5">
        <f t="shared" si="51"/>
        <v>1</v>
      </c>
      <c r="I828" s="5">
        <f t="shared" si="52"/>
        <v>1</v>
      </c>
    </row>
    <row r="829" spans="1:9">
      <c r="A829">
        <v>828</v>
      </c>
      <c r="B829">
        <v>13</v>
      </c>
      <c r="C829">
        <v>9000</v>
      </c>
      <c r="D829">
        <v>8357</v>
      </c>
      <c r="E829" s="5">
        <f t="shared" si="49"/>
        <v>643</v>
      </c>
      <c r="F829" s="5">
        <f t="shared" si="50"/>
        <v>413449</v>
      </c>
      <c r="G829" s="6">
        <f>SQRT(SUM($F$2:F829)/A829)</f>
        <v>1140.2356147947567</v>
      </c>
      <c r="H829" s="5">
        <f t="shared" si="51"/>
        <v>1</v>
      </c>
      <c r="I829" s="5">
        <f t="shared" si="52"/>
        <v>1</v>
      </c>
    </row>
    <row r="830" spans="1:9">
      <c r="A830">
        <v>829</v>
      </c>
      <c r="B830">
        <v>14</v>
      </c>
      <c r="C830">
        <v>9000</v>
      </c>
      <c r="D830">
        <v>9323</v>
      </c>
      <c r="E830" s="5">
        <f t="shared" si="49"/>
        <v>323</v>
      </c>
      <c r="F830" s="5">
        <f t="shared" si="50"/>
        <v>104329</v>
      </c>
      <c r="G830" s="6">
        <f>SQRT(SUM($F$2:F830)/A830)</f>
        <v>1139.6029073715752</v>
      </c>
      <c r="H830" s="5">
        <f t="shared" si="51"/>
        <v>1</v>
      </c>
      <c r="I830" s="5">
        <f t="shared" si="52"/>
        <v>1</v>
      </c>
    </row>
    <row r="831" spans="1:9">
      <c r="A831">
        <v>830</v>
      </c>
      <c r="B831">
        <v>13</v>
      </c>
      <c r="C831">
        <v>9000</v>
      </c>
      <c r="D831">
        <v>8561</v>
      </c>
      <c r="E831" s="5">
        <f t="shared" si="49"/>
        <v>439</v>
      </c>
      <c r="F831" s="5">
        <f t="shared" si="50"/>
        <v>192721</v>
      </c>
      <c r="G831" s="6">
        <f>SQRT(SUM($F$2:F831)/A831)</f>
        <v>1139.0181245054036</v>
      </c>
      <c r="H831" s="5">
        <f t="shared" si="51"/>
        <v>1</v>
      </c>
      <c r="I831" s="5">
        <f t="shared" si="52"/>
        <v>1</v>
      </c>
    </row>
    <row r="832" spans="1:9">
      <c r="A832">
        <v>831</v>
      </c>
      <c r="B832">
        <v>14</v>
      </c>
      <c r="C832">
        <v>9000</v>
      </c>
      <c r="D832">
        <v>9089</v>
      </c>
      <c r="E832" s="5">
        <f t="shared" si="49"/>
        <v>89</v>
      </c>
      <c r="F832" s="5">
        <f t="shared" si="50"/>
        <v>7921</v>
      </c>
      <c r="G832" s="6">
        <f>SQRT(SUM($F$2:F832)/A832)</f>
        <v>1138.3367751761391</v>
      </c>
      <c r="H832" s="5">
        <f t="shared" si="51"/>
        <v>1</v>
      </c>
      <c r="I832" s="5">
        <f t="shared" si="52"/>
        <v>1</v>
      </c>
    </row>
    <row r="833" spans="1:9">
      <c r="A833">
        <v>832</v>
      </c>
      <c r="B833">
        <v>13</v>
      </c>
      <c r="C833">
        <v>9000</v>
      </c>
      <c r="D833">
        <v>8409</v>
      </c>
      <c r="E833" s="5">
        <f t="shared" si="49"/>
        <v>591</v>
      </c>
      <c r="F833" s="5">
        <f t="shared" si="50"/>
        <v>349281</v>
      </c>
      <c r="G833" s="6">
        <f>SQRT(SUM($F$2:F833)/A833)</f>
        <v>1137.8369645659664</v>
      </c>
      <c r="H833" s="5">
        <f t="shared" si="51"/>
        <v>1</v>
      </c>
      <c r="I833" s="5">
        <f t="shared" si="52"/>
        <v>1</v>
      </c>
    </row>
    <row r="834" spans="1:9">
      <c r="A834">
        <v>833</v>
      </c>
      <c r="B834">
        <v>14</v>
      </c>
      <c r="C834">
        <v>9000</v>
      </c>
      <c r="D834">
        <v>8142</v>
      </c>
      <c r="E834" s="5">
        <f t="shared" si="49"/>
        <v>858</v>
      </c>
      <c r="F834" s="5">
        <f t="shared" si="50"/>
        <v>736164</v>
      </c>
      <c r="G834" s="6">
        <f>SQRT(SUM($F$2:F834)/A834)</f>
        <v>1137.5422976714301</v>
      </c>
      <c r="H834" s="5">
        <f t="shared" si="51"/>
        <v>1</v>
      </c>
      <c r="I834" s="5">
        <f t="shared" si="52"/>
        <v>1</v>
      </c>
    </row>
    <row r="835" spans="1:9">
      <c r="A835">
        <v>834</v>
      </c>
      <c r="B835">
        <v>14</v>
      </c>
      <c r="C835">
        <v>9000</v>
      </c>
      <c r="D835">
        <v>6843</v>
      </c>
      <c r="E835" s="5">
        <f t="shared" ref="E835:E898" si="53">ABS(C835-D835)</f>
        <v>2157</v>
      </c>
      <c r="F835" s="5">
        <f t="shared" ref="F835:F898" si="54">POWER(E835,2)</f>
        <v>4652649</v>
      </c>
      <c r="G835" s="6">
        <f>SQRT(SUM($F$2:F835)/A835)</f>
        <v>1139.3110343947017</v>
      </c>
      <c r="H835" s="5">
        <f t="shared" ref="H835:H898" si="55">IF(ABS(E835)/C835&gt;0.2,0,1)</f>
        <v>0</v>
      </c>
      <c r="I835" s="5">
        <f t="shared" ref="I835:I898" si="56">IF(ABS(E835)/C835&gt;0.1,0,1)</f>
        <v>0</v>
      </c>
    </row>
    <row r="836" spans="1:9">
      <c r="A836">
        <v>835</v>
      </c>
      <c r="B836">
        <v>16</v>
      </c>
      <c r="C836">
        <v>9000</v>
      </c>
      <c r="D836">
        <v>4680</v>
      </c>
      <c r="E836" s="5">
        <f t="shared" si="53"/>
        <v>4320</v>
      </c>
      <c r="F836" s="5">
        <f t="shared" si="54"/>
        <v>18662400</v>
      </c>
      <c r="G836" s="6">
        <f>SQRT(SUM($F$2:F836)/A836)</f>
        <v>1148.401186967144</v>
      </c>
      <c r="H836" s="5">
        <f t="shared" si="55"/>
        <v>0</v>
      </c>
      <c r="I836" s="5">
        <f t="shared" si="56"/>
        <v>0</v>
      </c>
    </row>
    <row r="837" spans="1:9">
      <c r="A837">
        <v>836</v>
      </c>
      <c r="B837">
        <v>19</v>
      </c>
      <c r="C837">
        <v>9000</v>
      </c>
      <c r="D837">
        <v>3291</v>
      </c>
      <c r="E837" s="5">
        <f t="shared" si="53"/>
        <v>5709</v>
      </c>
      <c r="F837" s="5">
        <f t="shared" si="54"/>
        <v>32592681</v>
      </c>
      <c r="G837" s="6">
        <f>SQRT(SUM($F$2:F837)/A837)</f>
        <v>1164.5746882641124</v>
      </c>
      <c r="H837" s="5">
        <f t="shared" si="55"/>
        <v>0</v>
      </c>
      <c r="I837" s="5">
        <f t="shared" si="56"/>
        <v>0</v>
      </c>
    </row>
    <row r="838" spans="1:9">
      <c r="A838">
        <v>837</v>
      </c>
      <c r="B838">
        <v>21</v>
      </c>
      <c r="C838">
        <v>9000</v>
      </c>
      <c r="D838">
        <v>4264</v>
      </c>
      <c r="E838" s="5">
        <f t="shared" si="53"/>
        <v>4736</v>
      </c>
      <c r="F838" s="5">
        <f t="shared" si="54"/>
        <v>22429696</v>
      </c>
      <c r="G838" s="6">
        <f>SQRT(SUM($F$2:F838)/A838)</f>
        <v>1175.33466649107</v>
      </c>
      <c r="H838" s="5">
        <f t="shared" si="55"/>
        <v>0</v>
      </c>
      <c r="I838" s="5">
        <f t="shared" si="56"/>
        <v>0</v>
      </c>
    </row>
    <row r="839" spans="1:9">
      <c r="A839">
        <v>838</v>
      </c>
      <c r="B839">
        <v>22</v>
      </c>
      <c r="C839">
        <v>9000</v>
      </c>
      <c r="D839">
        <v>10451</v>
      </c>
      <c r="E839" s="5">
        <f t="shared" si="53"/>
        <v>1451</v>
      </c>
      <c r="F839" s="5">
        <f t="shared" si="54"/>
        <v>2105401</v>
      </c>
      <c r="G839" s="6">
        <f>SQRT(SUM($F$2:F839)/A839)</f>
        <v>1175.7021423159442</v>
      </c>
      <c r="H839" s="5">
        <f t="shared" si="55"/>
        <v>1</v>
      </c>
      <c r="I839" s="5">
        <f t="shared" si="56"/>
        <v>0</v>
      </c>
    </row>
    <row r="840" spans="1:9">
      <c r="A840">
        <v>839</v>
      </c>
      <c r="B840">
        <v>16</v>
      </c>
      <c r="C840">
        <v>9000</v>
      </c>
      <c r="D840">
        <v>9635</v>
      </c>
      <c r="E840" s="5">
        <f t="shared" si="53"/>
        <v>635</v>
      </c>
      <c r="F840" s="5">
        <f t="shared" si="54"/>
        <v>403225</v>
      </c>
      <c r="G840" s="6">
        <f>SQRT(SUM($F$2:F840)/A840)</f>
        <v>1175.2057700279693</v>
      </c>
      <c r="H840" s="5">
        <f t="shared" si="55"/>
        <v>1</v>
      </c>
      <c r="I840" s="5">
        <f t="shared" si="56"/>
        <v>1</v>
      </c>
    </row>
    <row r="841" spans="1:9">
      <c r="A841">
        <v>840</v>
      </c>
      <c r="B841">
        <v>17</v>
      </c>
      <c r="C841">
        <v>9000</v>
      </c>
      <c r="D841">
        <v>9586</v>
      </c>
      <c r="E841" s="5">
        <f t="shared" si="53"/>
        <v>586</v>
      </c>
      <c r="F841" s="5">
        <f t="shared" si="54"/>
        <v>343396</v>
      </c>
      <c r="G841" s="6">
        <f>SQRT(SUM($F$2:F841)/A841)</f>
        <v>1174.6800542113178</v>
      </c>
      <c r="H841" s="5">
        <f t="shared" si="55"/>
        <v>1</v>
      </c>
      <c r="I841" s="5">
        <f t="shared" si="56"/>
        <v>1</v>
      </c>
    </row>
    <row r="842" spans="1:9">
      <c r="A842">
        <v>841</v>
      </c>
      <c r="B842">
        <v>17</v>
      </c>
      <c r="C842">
        <v>9000</v>
      </c>
      <c r="D842">
        <v>10105</v>
      </c>
      <c r="E842" s="5">
        <f t="shared" si="53"/>
        <v>1105</v>
      </c>
      <c r="F842" s="5">
        <f t="shared" si="54"/>
        <v>1221025</v>
      </c>
      <c r="G842" s="6">
        <f>SQRT(SUM($F$2:F842)/A842)</f>
        <v>1174.5996550245657</v>
      </c>
      <c r="H842" s="5">
        <f t="shared" si="55"/>
        <v>1</v>
      </c>
      <c r="I842" s="5">
        <f t="shared" si="56"/>
        <v>0</v>
      </c>
    </row>
    <row r="843" spans="1:9">
      <c r="A843">
        <v>842</v>
      </c>
      <c r="B843">
        <v>16</v>
      </c>
      <c r="C843">
        <v>9000</v>
      </c>
      <c r="D843">
        <v>9504</v>
      </c>
      <c r="E843" s="5">
        <f t="shared" si="53"/>
        <v>504</v>
      </c>
      <c r="F843" s="5">
        <f t="shared" si="54"/>
        <v>254016</v>
      </c>
      <c r="G843" s="6">
        <f>SQRT(SUM($F$2:F843)/A843)</f>
        <v>1174.0304303153362</v>
      </c>
      <c r="H843" s="5">
        <f t="shared" si="55"/>
        <v>1</v>
      </c>
      <c r="I843" s="5">
        <f t="shared" si="56"/>
        <v>1</v>
      </c>
    </row>
    <row r="844" spans="1:9">
      <c r="A844">
        <v>843</v>
      </c>
      <c r="B844">
        <v>16</v>
      </c>
      <c r="C844">
        <v>9000</v>
      </c>
      <c r="D844">
        <v>9404</v>
      </c>
      <c r="E844" s="5">
        <f t="shared" si="53"/>
        <v>404</v>
      </c>
      <c r="F844" s="5">
        <f t="shared" si="54"/>
        <v>163216</v>
      </c>
      <c r="G844" s="6">
        <f>SQRT(SUM($F$2:F844)/A844)</f>
        <v>1173.4163857023964</v>
      </c>
      <c r="H844" s="5">
        <f t="shared" si="55"/>
        <v>1</v>
      </c>
      <c r="I844" s="5">
        <f t="shared" si="56"/>
        <v>1</v>
      </c>
    </row>
    <row r="845" spans="1:9">
      <c r="A845">
        <v>844</v>
      </c>
      <c r="B845">
        <v>16</v>
      </c>
      <c r="C845">
        <v>9000</v>
      </c>
      <c r="D845">
        <v>10082</v>
      </c>
      <c r="E845" s="5">
        <f t="shared" si="53"/>
        <v>1082</v>
      </c>
      <c r="F845" s="5">
        <f t="shared" si="54"/>
        <v>1170724</v>
      </c>
      <c r="G845" s="6">
        <f>SQRT(SUM($F$2:F845)/A845)</f>
        <v>1173.3122869674617</v>
      </c>
      <c r="H845" s="5">
        <f t="shared" si="55"/>
        <v>1</v>
      </c>
      <c r="I845" s="5">
        <f t="shared" si="56"/>
        <v>0</v>
      </c>
    </row>
    <row r="846" spans="1:9">
      <c r="A846">
        <v>845</v>
      </c>
      <c r="B846">
        <v>15</v>
      </c>
      <c r="C846">
        <v>9000</v>
      </c>
      <c r="D846">
        <v>9572</v>
      </c>
      <c r="E846" s="5">
        <f t="shared" si="53"/>
        <v>572</v>
      </c>
      <c r="F846" s="5">
        <f t="shared" si="54"/>
        <v>327184</v>
      </c>
      <c r="G846" s="6">
        <f>SQRT(SUM($F$2:F846)/A846)</f>
        <v>1172.7829028759359</v>
      </c>
      <c r="H846" s="5">
        <f t="shared" si="55"/>
        <v>1</v>
      </c>
      <c r="I846" s="5">
        <f t="shared" si="56"/>
        <v>1</v>
      </c>
    </row>
    <row r="847" spans="1:9">
      <c r="A847">
        <v>846</v>
      </c>
      <c r="B847">
        <v>16</v>
      </c>
      <c r="C847">
        <v>9000</v>
      </c>
      <c r="D847">
        <v>10172</v>
      </c>
      <c r="E847" s="5">
        <f t="shared" si="53"/>
        <v>1172</v>
      </c>
      <c r="F847" s="5">
        <f t="shared" si="54"/>
        <v>1373584</v>
      </c>
      <c r="G847" s="6">
        <f>SQRT(SUM($F$2:F847)/A847)</f>
        <v>1172.7819777673456</v>
      </c>
      <c r="H847" s="5">
        <f t="shared" si="55"/>
        <v>1</v>
      </c>
      <c r="I847" s="5">
        <f t="shared" si="56"/>
        <v>0</v>
      </c>
    </row>
    <row r="848" spans="1:9">
      <c r="A848">
        <v>847</v>
      </c>
      <c r="B848">
        <v>15</v>
      </c>
      <c r="C848">
        <v>9000</v>
      </c>
      <c r="D848">
        <v>8413</v>
      </c>
      <c r="E848" s="5">
        <f t="shared" si="53"/>
        <v>587</v>
      </c>
      <c r="F848" s="5">
        <f t="shared" si="54"/>
        <v>344569</v>
      </c>
      <c r="G848" s="6">
        <f>SQRT(SUM($F$2:F848)/A848)</f>
        <v>1172.2629862171634</v>
      </c>
      <c r="H848" s="5">
        <f t="shared" si="55"/>
        <v>1</v>
      </c>
      <c r="I848" s="5">
        <f t="shared" si="56"/>
        <v>1</v>
      </c>
    </row>
    <row r="849" spans="1:9">
      <c r="A849">
        <v>848</v>
      </c>
      <c r="B849">
        <v>17</v>
      </c>
      <c r="C849">
        <v>9000</v>
      </c>
      <c r="D849">
        <v>9964</v>
      </c>
      <c r="E849" s="5">
        <f t="shared" si="53"/>
        <v>964</v>
      </c>
      <c r="F849" s="5">
        <f t="shared" si="54"/>
        <v>929296</v>
      </c>
      <c r="G849" s="6">
        <f>SQRT(SUM($F$2:F849)/A849)</f>
        <v>1172.0391876175986</v>
      </c>
      <c r="H849" s="5">
        <f t="shared" si="55"/>
        <v>1</v>
      </c>
      <c r="I849" s="5">
        <f t="shared" si="56"/>
        <v>0</v>
      </c>
    </row>
    <row r="850" spans="1:9">
      <c r="A850">
        <v>849</v>
      </c>
      <c r="B850">
        <v>15</v>
      </c>
      <c r="C850">
        <v>9000</v>
      </c>
      <c r="D850">
        <v>9774</v>
      </c>
      <c r="E850" s="5">
        <f t="shared" si="53"/>
        <v>774</v>
      </c>
      <c r="F850" s="5">
        <f t="shared" si="54"/>
        <v>599076</v>
      </c>
      <c r="G850" s="6">
        <f>SQRT(SUM($F$2:F850)/A850)</f>
        <v>1171.6499007759191</v>
      </c>
      <c r="H850" s="5">
        <f t="shared" si="55"/>
        <v>1</v>
      </c>
      <c r="I850" s="5">
        <f t="shared" si="56"/>
        <v>1</v>
      </c>
    </row>
    <row r="851" spans="1:9">
      <c r="A851">
        <v>850</v>
      </c>
      <c r="B851">
        <v>15</v>
      </c>
      <c r="C851">
        <v>9000</v>
      </c>
      <c r="D851">
        <v>8943</v>
      </c>
      <c r="E851" s="5">
        <f t="shared" si="53"/>
        <v>57</v>
      </c>
      <c r="F851" s="5">
        <f t="shared" si="54"/>
        <v>3249</v>
      </c>
      <c r="G851" s="6">
        <f>SQRT(SUM($F$2:F851)/A851)</f>
        <v>1170.9621242681542</v>
      </c>
      <c r="H851" s="5">
        <f t="shared" si="55"/>
        <v>1</v>
      </c>
      <c r="I851" s="5">
        <f t="shared" si="56"/>
        <v>1</v>
      </c>
    </row>
    <row r="852" spans="1:9">
      <c r="A852">
        <v>851</v>
      </c>
      <c r="B852">
        <v>16</v>
      </c>
      <c r="C852">
        <v>9000</v>
      </c>
      <c r="D852">
        <v>9544</v>
      </c>
      <c r="E852" s="5">
        <f t="shared" si="53"/>
        <v>544</v>
      </c>
      <c r="F852" s="5">
        <f t="shared" si="54"/>
        <v>295936</v>
      </c>
      <c r="G852" s="6">
        <f>SQRT(SUM($F$2:F852)/A852)</f>
        <v>1170.4224974605077</v>
      </c>
      <c r="H852" s="5">
        <f t="shared" si="55"/>
        <v>1</v>
      </c>
      <c r="I852" s="5">
        <f t="shared" si="56"/>
        <v>1</v>
      </c>
    </row>
    <row r="853" spans="1:9">
      <c r="A853">
        <v>852</v>
      </c>
      <c r="B853">
        <v>15</v>
      </c>
      <c r="C853">
        <v>9000</v>
      </c>
      <c r="D853">
        <v>9937</v>
      </c>
      <c r="E853" s="5">
        <f t="shared" si="53"/>
        <v>937</v>
      </c>
      <c r="F853" s="5">
        <f t="shared" si="54"/>
        <v>877969</v>
      </c>
      <c r="G853" s="6">
        <f>SQRT(SUM($F$2:F853)/A853)</f>
        <v>1170.1758209251866</v>
      </c>
      <c r="H853" s="5">
        <f t="shared" si="55"/>
        <v>1</v>
      </c>
      <c r="I853" s="5">
        <f t="shared" si="56"/>
        <v>0</v>
      </c>
    </row>
    <row r="854" spans="1:9">
      <c r="A854">
        <v>853</v>
      </c>
      <c r="B854">
        <v>15</v>
      </c>
      <c r="C854">
        <v>9000</v>
      </c>
      <c r="D854">
        <v>9419</v>
      </c>
      <c r="E854" s="5">
        <f t="shared" si="53"/>
        <v>419</v>
      </c>
      <c r="F854" s="5">
        <f t="shared" si="54"/>
        <v>175561</v>
      </c>
      <c r="G854" s="6">
        <f>SQRT(SUM($F$2:F854)/A854)</f>
        <v>1169.5776925446239</v>
      </c>
      <c r="H854" s="5">
        <f t="shared" si="55"/>
        <v>1</v>
      </c>
      <c r="I854" s="5">
        <f t="shared" si="56"/>
        <v>1</v>
      </c>
    </row>
    <row r="855" spans="1:9">
      <c r="A855">
        <v>854</v>
      </c>
      <c r="B855">
        <v>15</v>
      </c>
      <c r="C855">
        <v>9000</v>
      </c>
      <c r="D855">
        <v>9611</v>
      </c>
      <c r="E855" s="5">
        <f t="shared" si="53"/>
        <v>611</v>
      </c>
      <c r="F855" s="5">
        <f t="shared" si="54"/>
        <v>373321</v>
      </c>
      <c r="G855" s="6">
        <f>SQRT(SUM($F$2:F855)/A855)</f>
        <v>1169.0797032106136</v>
      </c>
      <c r="H855" s="5">
        <f t="shared" si="55"/>
        <v>1</v>
      </c>
      <c r="I855" s="5">
        <f t="shared" si="56"/>
        <v>1</v>
      </c>
    </row>
    <row r="856" spans="1:9">
      <c r="A856">
        <v>855</v>
      </c>
      <c r="B856">
        <v>15</v>
      </c>
      <c r="C856">
        <v>9000</v>
      </c>
      <c r="D856">
        <v>9228</v>
      </c>
      <c r="E856" s="5">
        <f t="shared" si="53"/>
        <v>228</v>
      </c>
      <c r="F856" s="5">
        <f t="shared" si="54"/>
        <v>51984</v>
      </c>
      <c r="G856" s="6">
        <f>SQRT(SUM($F$2:F856)/A856)</f>
        <v>1168.4218491383408</v>
      </c>
      <c r="H856" s="5">
        <f t="shared" si="55"/>
        <v>1</v>
      </c>
      <c r="I856" s="5">
        <f t="shared" si="56"/>
        <v>1</v>
      </c>
    </row>
    <row r="857" spans="1:9">
      <c r="A857">
        <v>856</v>
      </c>
      <c r="B857">
        <v>15</v>
      </c>
      <c r="C857">
        <v>9000</v>
      </c>
      <c r="D857">
        <v>9262</v>
      </c>
      <c r="E857" s="5">
        <f t="shared" si="53"/>
        <v>262</v>
      </c>
      <c r="F857" s="5">
        <f t="shared" si="54"/>
        <v>68644</v>
      </c>
      <c r="G857" s="6">
        <f>SQRT(SUM($F$2:F857)/A857)</f>
        <v>1167.7734960531141</v>
      </c>
      <c r="H857" s="5">
        <f t="shared" si="55"/>
        <v>1</v>
      </c>
      <c r="I857" s="5">
        <f t="shared" si="56"/>
        <v>1</v>
      </c>
    </row>
    <row r="858" spans="1:9">
      <c r="A858">
        <v>857</v>
      </c>
      <c r="B858">
        <v>15</v>
      </c>
      <c r="C858">
        <v>9000</v>
      </c>
      <c r="D858">
        <v>9287</v>
      </c>
      <c r="E858" s="5">
        <f t="shared" si="53"/>
        <v>287</v>
      </c>
      <c r="F858" s="5">
        <f t="shared" si="54"/>
        <v>82369</v>
      </c>
      <c r="G858" s="6">
        <f>SQRT(SUM($F$2:F858)/A858)</f>
        <v>1167.1331580564286</v>
      </c>
      <c r="H858" s="5">
        <f t="shared" si="55"/>
        <v>1</v>
      </c>
      <c r="I858" s="5">
        <f t="shared" si="56"/>
        <v>1</v>
      </c>
    </row>
    <row r="859" spans="1:9">
      <c r="A859">
        <v>858</v>
      </c>
      <c r="B859">
        <v>15</v>
      </c>
      <c r="C859">
        <v>9000</v>
      </c>
      <c r="D859">
        <v>9891</v>
      </c>
      <c r="E859" s="5">
        <f t="shared" si="53"/>
        <v>891</v>
      </c>
      <c r="F859" s="5">
        <f t="shared" si="54"/>
        <v>793881</v>
      </c>
      <c r="G859" s="6">
        <f>SQRT(SUM($F$2:F859)/A859)</f>
        <v>1166.8493614862771</v>
      </c>
      <c r="H859" s="5">
        <f t="shared" si="55"/>
        <v>1</v>
      </c>
      <c r="I859" s="5">
        <f t="shared" si="56"/>
        <v>1</v>
      </c>
    </row>
    <row r="860" spans="1:9">
      <c r="A860">
        <v>859</v>
      </c>
      <c r="B860">
        <v>14</v>
      </c>
      <c r="C860">
        <v>9000</v>
      </c>
      <c r="D860">
        <v>8835</v>
      </c>
      <c r="E860" s="5">
        <f t="shared" si="53"/>
        <v>165</v>
      </c>
      <c r="F860" s="5">
        <f t="shared" si="54"/>
        <v>27225</v>
      </c>
      <c r="G860" s="6">
        <f>SQRT(SUM($F$2:F860)/A860)</f>
        <v>1166.1835619302883</v>
      </c>
      <c r="H860" s="5">
        <f t="shared" si="55"/>
        <v>1</v>
      </c>
      <c r="I860" s="5">
        <f t="shared" si="56"/>
        <v>1</v>
      </c>
    </row>
    <row r="861" spans="1:9">
      <c r="A861">
        <v>860</v>
      </c>
      <c r="B861">
        <v>15</v>
      </c>
      <c r="C861">
        <v>9000</v>
      </c>
      <c r="D861">
        <v>9784</v>
      </c>
      <c r="E861" s="5">
        <f t="shared" si="53"/>
        <v>784</v>
      </c>
      <c r="F861" s="5">
        <f t="shared" si="54"/>
        <v>614656</v>
      </c>
      <c r="G861" s="6">
        <f>SQRT(SUM($F$2:F861)/A861)</f>
        <v>1165.8119228824535</v>
      </c>
      <c r="H861" s="5">
        <f t="shared" si="55"/>
        <v>1</v>
      </c>
      <c r="I861" s="5">
        <f t="shared" si="56"/>
        <v>1</v>
      </c>
    </row>
    <row r="862" spans="1:9">
      <c r="A862">
        <v>861</v>
      </c>
      <c r="B862">
        <v>14</v>
      </c>
      <c r="C862">
        <v>9000</v>
      </c>
      <c r="D862">
        <v>8772</v>
      </c>
      <c r="E862" s="5">
        <f t="shared" si="53"/>
        <v>228</v>
      </c>
      <c r="F862" s="5">
        <f t="shared" si="54"/>
        <v>51984</v>
      </c>
      <c r="G862" s="6">
        <f>SQRT(SUM($F$2:F862)/A862)</f>
        <v>1165.1606250770599</v>
      </c>
      <c r="H862" s="5">
        <f t="shared" si="55"/>
        <v>1</v>
      </c>
      <c r="I862" s="5">
        <f t="shared" si="56"/>
        <v>1</v>
      </c>
    </row>
    <row r="863" spans="1:9">
      <c r="A863">
        <v>862</v>
      </c>
      <c r="B863">
        <v>15</v>
      </c>
      <c r="C863">
        <v>9000</v>
      </c>
      <c r="D863">
        <v>8952</v>
      </c>
      <c r="E863" s="5">
        <f t="shared" si="53"/>
        <v>48</v>
      </c>
      <c r="F863" s="5">
        <f t="shared" si="54"/>
        <v>2304</v>
      </c>
      <c r="G863" s="6">
        <f>SQRT(SUM($F$2:F863)/A863)</f>
        <v>1164.4857293763259</v>
      </c>
      <c r="H863" s="5">
        <f t="shared" si="55"/>
        <v>1</v>
      </c>
      <c r="I863" s="5">
        <f t="shared" si="56"/>
        <v>1</v>
      </c>
    </row>
    <row r="864" spans="1:9">
      <c r="A864">
        <v>863</v>
      </c>
      <c r="B864">
        <v>15</v>
      </c>
      <c r="C864">
        <v>9000</v>
      </c>
      <c r="D864">
        <v>9267</v>
      </c>
      <c r="E864" s="5">
        <f t="shared" si="53"/>
        <v>267</v>
      </c>
      <c r="F864" s="5">
        <f t="shared" si="54"/>
        <v>71289</v>
      </c>
      <c r="G864" s="6">
        <f>SQRT(SUM($F$2:F864)/A864)</f>
        <v>1163.8463496563209</v>
      </c>
      <c r="H864" s="5">
        <f t="shared" si="55"/>
        <v>1</v>
      </c>
      <c r="I864" s="5">
        <f t="shared" si="56"/>
        <v>1</v>
      </c>
    </row>
    <row r="865" spans="1:9">
      <c r="A865">
        <v>864</v>
      </c>
      <c r="B865">
        <v>14</v>
      </c>
      <c r="C865">
        <v>9000</v>
      </c>
      <c r="D865">
        <v>8810</v>
      </c>
      <c r="E865" s="5">
        <f t="shared" si="53"/>
        <v>190</v>
      </c>
      <c r="F865" s="5">
        <f t="shared" si="54"/>
        <v>36100</v>
      </c>
      <c r="G865" s="6">
        <f>SQRT(SUM($F$2:F865)/A865)</f>
        <v>1163.1905928626118</v>
      </c>
      <c r="H865" s="5">
        <f t="shared" si="55"/>
        <v>1</v>
      </c>
      <c r="I865" s="5">
        <f t="shared" si="56"/>
        <v>1</v>
      </c>
    </row>
    <row r="866" spans="1:9">
      <c r="A866">
        <v>865</v>
      </c>
      <c r="B866">
        <v>15</v>
      </c>
      <c r="C866">
        <v>9000</v>
      </c>
      <c r="D866">
        <v>8959</v>
      </c>
      <c r="E866" s="5">
        <f t="shared" si="53"/>
        <v>41</v>
      </c>
      <c r="F866" s="5">
        <f t="shared" si="54"/>
        <v>1681</v>
      </c>
      <c r="G866" s="6">
        <f>SQRT(SUM($F$2:F866)/A866)</f>
        <v>1162.518869757972</v>
      </c>
      <c r="H866" s="5">
        <f t="shared" si="55"/>
        <v>1</v>
      </c>
      <c r="I866" s="5">
        <f t="shared" si="56"/>
        <v>1</v>
      </c>
    </row>
    <row r="867" spans="1:9">
      <c r="A867">
        <v>866</v>
      </c>
      <c r="B867">
        <v>15</v>
      </c>
      <c r="C867">
        <v>9000</v>
      </c>
      <c r="D867">
        <v>9101</v>
      </c>
      <c r="E867" s="5">
        <f t="shared" si="53"/>
        <v>101</v>
      </c>
      <c r="F867" s="5">
        <f t="shared" si="54"/>
        <v>10201</v>
      </c>
      <c r="G867" s="6">
        <f>SQRT(SUM($F$2:F867)/A867)</f>
        <v>1161.8525448729342</v>
      </c>
      <c r="H867" s="5">
        <f t="shared" si="55"/>
        <v>1</v>
      </c>
      <c r="I867" s="5">
        <f t="shared" si="56"/>
        <v>1</v>
      </c>
    </row>
    <row r="868" spans="1:9">
      <c r="A868">
        <v>867</v>
      </c>
      <c r="B868">
        <v>14</v>
      </c>
      <c r="C868">
        <v>9000</v>
      </c>
      <c r="D868">
        <v>8929</v>
      </c>
      <c r="E868" s="5">
        <f t="shared" si="53"/>
        <v>71</v>
      </c>
      <c r="F868" s="5">
        <f t="shared" si="54"/>
        <v>5041</v>
      </c>
      <c r="G868" s="6">
        <f>SQRT(SUM($F$2:F868)/A868)</f>
        <v>1161.1848133279971</v>
      </c>
      <c r="H868" s="5">
        <f t="shared" si="55"/>
        <v>1</v>
      </c>
      <c r="I868" s="5">
        <f t="shared" si="56"/>
        <v>1</v>
      </c>
    </row>
    <row r="869" spans="1:9">
      <c r="A869">
        <v>868</v>
      </c>
      <c r="B869">
        <v>15</v>
      </c>
      <c r="C869">
        <v>9000</v>
      </c>
      <c r="D869">
        <v>9107</v>
      </c>
      <c r="E869" s="5">
        <f t="shared" si="53"/>
        <v>107</v>
      </c>
      <c r="F869" s="5">
        <f t="shared" si="54"/>
        <v>11449</v>
      </c>
      <c r="G869" s="6">
        <f>SQRT(SUM($F$2:F869)/A869)</f>
        <v>1160.5214181485694</v>
      </c>
      <c r="H869" s="5">
        <f t="shared" si="55"/>
        <v>1</v>
      </c>
      <c r="I869" s="5">
        <f t="shared" si="56"/>
        <v>1</v>
      </c>
    </row>
    <row r="870" spans="1:9">
      <c r="A870">
        <v>869</v>
      </c>
      <c r="B870">
        <v>14</v>
      </c>
      <c r="C870">
        <v>9000</v>
      </c>
      <c r="D870">
        <v>9034</v>
      </c>
      <c r="E870" s="5">
        <f t="shared" si="53"/>
        <v>34</v>
      </c>
      <c r="F870" s="5">
        <f t="shared" si="54"/>
        <v>1156</v>
      </c>
      <c r="G870" s="6">
        <f>SQRT(SUM($F$2:F870)/A870)</f>
        <v>1159.8540655594163</v>
      </c>
      <c r="H870" s="5">
        <f t="shared" si="55"/>
        <v>1</v>
      </c>
      <c r="I870" s="5">
        <f t="shared" si="56"/>
        <v>1</v>
      </c>
    </row>
    <row r="871" spans="1:9">
      <c r="A871">
        <v>870</v>
      </c>
      <c r="B871">
        <v>15</v>
      </c>
      <c r="C871">
        <v>9000</v>
      </c>
      <c r="D871">
        <v>8730</v>
      </c>
      <c r="E871" s="5">
        <f t="shared" si="53"/>
        <v>270</v>
      </c>
      <c r="F871" s="5">
        <f t="shared" si="54"/>
        <v>72900</v>
      </c>
      <c r="G871" s="6">
        <f>SQRT(SUM($F$2:F871)/A871)</f>
        <v>1159.2234335819464</v>
      </c>
      <c r="H871" s="5">
        <f t="shared" si="55"/>
        <v>1</v>
      </c>
      <c r="I871" s="5">
        <f t="shared" si="56"/>
        <v>1</v>
      </c>
    </row>
    <row r="872" spans="1:9">
      <c r="A872">
        <v>871</v>
      </c>
      <c r="B872">
        <v>15</v>
      </c>
      <c r="C872">
        <v>9000</v>
      </c>
      <c r="D872">
        <v>9428</v>
      </c>
      <c r="E872" s="5">
        <f t="shared" si="53"/>
        <v>428</v>
      </c>
      <c r="F872" s="5">
        <f t="shared" si="54"/>
        <v>183184</v>
      </c>
      <c r="G872" s="6">
        <f>SQRT(SUM($F$2:F872)/A872)</f>
        <v>1158.6485491253834</v>
      </c>
      <c r="H872" s="5">
        <f t="shared" si="55"/>
        <v>1</v>
      </c>
      <c r="I872" s="5">
        <f t="shared" si="56"/>
        <v>1</v>
      </c>
    </row>
    <row r="873" spans="1:9">
      <c r="A873">
        <v>872</v>
      </c>
      <c r="B873">
        <v>14</v>
      </c>
      <c r="C873">
        <v>9000</v>
      </c>
      <c r="D873">
        <v>8784</v>
      </c>
      <c r="E873" s="5">
        <f t="shared" si="53"/>
        <v>216</v>
      </c>
      <c r="F873" s="5">
        <f t="shared" si="54"/>
        <v>46656</v>
      </c>
      <c r="G873" s="6">
        <f>SQRT(SUM($F$2:F873)/A873)</f>
        <v>1158.0070980871333</v>
      </c>
      <c r="H873" s="5">
        <f t="shared" si="55"/>
        <v>1</v>
      </c>
      <c r="I873" s="5">
        <f t="shared" si="56"/>
        <v>1</v>
      </c>
    </row>
    <row r="874" spans="1:9">
      <c r="A874">
        <v>873</v>
      </c>
      <c r="B874">
        <v>15</v>
      </c>
      <c r="C874">
        <v>9000</v>
      </c>
      <c r="D874">
        <v>8878</v>
      </c>
      <c r="E874" s="5">
        <f t="shared" si="53"/>
        <v>122</v>
      </c>
      <c r="F874" s="5">
        <f t="shared" si="54"/>
        <v>14884</v>
      </c>
      <c r="G874" s="6">
        <f>SQRT(SUM($F$2:F874)/A874)</f>
        <v>1157.3510394032526</v>
      </c>
      <c r="H874" s="5">
        <f t="shared" si="55"/>
        <v>1</v>
      </c>
      <c r="I874" s="5">
        <f t="shared" si="56"/>
        <v>1</v>
      </c>
    </row>
    <row r="875" spans="1:9">
      <c r="A875">
        <v>874</v>
      </c>
      <c r="B875">
        <v>15</v>
      </c>
      <c r="C875">
        <v>9000</v>
      </c>
      <c r="D875">
        <v>9322</v>
      </c>
      <c r="E875" s="5">
        <f t="shared" si="53"/>
        <v>322</v>
      </c>
      <c r="F875" s="5">
        <f t="shared" si="54"/>
        <v>103684</v>
      </c>
      <c r="G875" s="6">
        <f>SQRT(SUM($F$2:F875)/A875)</f>
        <v>1156.7400293165881</v>
      </c>
      <c r="H875" s="5">
        <f t="shared" si="55"/>
        <v>1</v>
      </c>
      <c r="I875" s="5">
        <f t="shared" si="56"/>
        <v>1</v>
      </c>
    </row>
    <row r="876" spans="1:9">
      <c r="A876">
        <v>875</v>
      </c>
      <c r="B876">
        <v>14</v>
      </c>
      <c r="C876">
        <v>9000</v>
      </c>
      <c r="D876">
        <v>8655</v>
      </c>
      <c r="E876" s="5">
        <f t="shared" si="53"/>
        <v>345</v>
      </c>
      <c r="F876" s="5">
        <f t="shared" si="54"/>
        <v>119025</v>
      </c>
      <c r="G876" s="6">
        <f>SQRT(SUM($F$2:F876)/A876)</f>
        <v>1156.1376764283496</v>
      </c>
      <c r="H876" s="5">
        <f t="shared" si="55"/>
        <v>1</v>
      </c>
      <c r="I876" s="5">
        <f t="shared" si="56"/>
        <v>1</v>
      </c>
    </row>
    <row r="877" spans="1:9">
      <c r="A877">
        <v>876</v>
      </c>
      <c r="B877">
        <v>15</v>
      </c>
      <c r="C877">
        <v>9000</v>
      </c>
      <c r="D877">
        <v>9337</v>
      </c>
      <c r="E877" s="5">
        <f t="shared" si="53"/>
        <v>337</v>
      </c>
      <c r="F877" s="5">
        <f t="shared" si="54"/>
        <v>113569</v>
      </c>
      <c r="G877" s="6">
        <f>SQRT(SUM($F$2:F877)/A877)</f>
        <v>1155.5336908678144</v>
      </c>
      <c r="H877" s="5">
        <f t="shared" si="55"/>
        <v>1</v>
      </c>
      <c r="I877" s="5">
        <f t="shared" si="56"/>
        <v>1</v>
      </c>
    </row>
    <row r="878" spans="1:9">
      <c r="A878">
        <v>877</v>
      </c>
      <c r="B878">
        <v>14</v>
      </c>
      <c r="C878">
        <v>9000</v>
      </c>
      <c r="D878">
        <v>8962</v>
      </c>
      <c r="E878" s="5">
        <f t="shared" si="53"/>
        <v>38</v>
      </c>
      <c r="F878" s="5">
        <f t="shared" si="54"/>
        <v>1444</v>
      </c>
      <c r="G878" s="6">
        <f>SQRT(SUM($F$2:F878)/A878)</f>
        <v>1154.875416679293</v>
      </c>
      <c r="H878" s="5">
        <f t="shared" si="55"/>
        <v>1</v>
      </c>
      <c r="I878" s="5">
        <f t="shared" si="56"/>
        <v>1</v>
      </c>
    </row>
    <row r="879" spans="1:9">
      <c r="A879">
        <v>878</v>
      </c>
      <c r="B879">
        <v>15</v>
      </c>
      <c r="C879">
        <v>9000</v>
      </c>
      <c r="D879">
        <v>9216</v>
      </c>
      <c r="E879" s="5">
        <f t="shared" si="53"/>
        <v>216</v>
      </c>
      <c r="F879" s="5">
        <f t="shared" si="54"/>
        <v>46656</v>
      </c>
      <c r="G879" s="6">
        <f>SQRT(SUM($F$2:F879)/A879)</f>
        <v>1154.2405746204852</v>
      </c>
      <c r="H879" s="5">
        <f t="shared" si="55"/>
        <v>1</v>
      </c>
      <c r="I879" s="5">
        <f t="shared" si="56"/>
        <v>1</v>
      </c>
    </row>
    <row r="880" spans="1:9">
      <c r="A880">
        <v>879</v>
      </c>
      <c r="B880">
        <v>14</v>
      </c>
      <c r="C880">
        <v>9000</v>
      </c>
      <c r="D880">
        <v>8862</v>
      </c>
      <c r="E880" s="5">
        <f t="shared" si="53"/>
        <v>138</v>
      </c>
      <c r="F880" s="5">
        <f t="shared" si="54"/>
        <v>19044</v>
      </c>
      <c r="G880" s="6">
        <f>SQRT(SUM($F$2:F880)/A880)</f>
        <v>1153.5932136661561</v>
      </c>
      <c r="H880" s="5">
        <f t="shared" si="55"/>
        <v>1</v>
      </c>
      <c r="I880" s="5">
        <f t="shared" si="56"/>
        <v>1</v>
      </c>
    </row>
    <row r="881" spans="1:9">
      <c r="A881">
        <v>880</v>
      </c>
      <c r="B881">
        <v>15</v>
      </c>
      <c r="C881">
        <v>9000</v>
      </c>
      <c r="D881">
        <v>9466</v>
      </c>
      <c r="E881" s="5">
        <f t="shared" si="53"/>
        <v>466</v>
      </c>
      <c r="F881" s="5">
        <f t="shared" si="54"/>
        <v>217156</v>
      </c>
      <c r="G881" s="6">
        <f>SQRT(SUM($F$2:F881)/A881)</f>
        <v>1153.0445888445236</v>
      </c>
      <c r="H881" s="5">
        <f t="shared" si="55"/>
        <v>1</v>
      </c>
      <c r="I881" s="5">
        <f t="shared" si="56"/>
        <v>1</v>
      </c>
    </row>
    <row r="882" spans="1:9">
      <c r="A882">
        <v>881</v>
      </c>
      <c r="B882">
        <v>14</v>
      </c>
      <c r="C882">
        <v>9000</v>
      </c>
      <c r="D882">
        <v>9158</v>
      </c>
      <c r="E882" s="5">
        <f t="shared" si="53"/>
        <v>158</v>
      </c>
      <c r="F882" s="5">
        <f t="shared" si="54"/>
        <v>24964</v>
      </c>
      <c r="G882" s="6">
        <f>SQRT(SUM($F$2:F882)/A882)</f>
        <v>1152.4023020778286</v>
      </c>
      <c r="H882" s="5">
        <f t="shared" si="55"/>
        <v>1</v>
      </c>
      <c r="I882" s="5">
        <f t="shared" si="56"/>
        <v>1</v>
      </c>
    </row>
    <row r="883" spans="1:9">
      <c r="A883">
        <v>882</v>
      </c>
      <c r="B883">
        <v>14</v>
      </c>
      <c r="C883">
        <v>9000</v>
      </c>
      <c r="D883">
        <v>8879</v>
      </c>
      <c r="E883" s="5">
        <f t="shared" si="53"/>
        <v>121</v>
      </c>
      <c r="F883" s="5">
        <f t="shared" si="54"/>
        <v>14641</v>
      </c>
      <c r="G883" s="6">
        <f>SQRT(SUM($F$2:F883)/A883)</f>
        <v>1151.7560338245453</v>
      </c>
      <c r="H883" s="5">
        <f t="shared" si="55"/>
        <v>1</v>
      </c>
      <c r="I883" s="5">
        <f t="shared" si="56"/>
        <v>1</v>
      </c>
    </row>
    <row r="884" spans="1:9">
      <c r="A884">
        <v>883</v>
      </c>
      <c r="B884">
        <v>14</v>
      </c>
      <c r="C884">
        <v>9000</v>
      </c>
      <c r="D884">
        <v>8832</v>
      </c>
      <c r="E884" s="5">
        <f t="shared" si="53"/>
        <v>168</v>
      </c>
      <c r="F884" s="5">
        <f t="shared" si="54"/>
        <v>28224</v>
      </c>
      <c r="G884" s="6">
        <f>SQRT(SUM($F$2:F884)/A884)</f>
        <v>1151.1175494640117</v>
      </c>
      <c r="H884" s="5">
        <f t="shared" si="55"/>
        <v>1</v>
      </c>
      <c r="I884" s="5">
        <f t="shared" si="56"/>
        <v>1</v>
      </c>
    </row>
    <row r="885" spans="1:9">
      <c r="A885">
        <v>884</v>
      </c>
      <c r="B885">
        <v>15</v>
      </c>
      <c r="C885">
        <v>9000</v>
      </c>
      <c r="D885">
        <v>9100</v>
      </c>
      <c r="E885" s="5">
        <f t="shared" si="53"/>
        <v>100</v>
      </c>
      <c r="F885" s="5">
        <f t="shared" si="54"/>
        <v>10000</v>
      </c>
      <c r="G885" s="6">
        <f>SQRT(SUM($F$2:F885)/A885)</f>
        <v>1150.471196994137</v>
      </c>
      <c r="H885" s="5">
        <f t="shared" si="55"/>
        <v>1</v>
      </c>
      <c r="I885" s="5">
        <f t="shared" si="56"/>
        <v>1</v>
      </c>
    </row>
    <row r="886" spans="1:9">
      <c r="A886">
        <v>885</v>
      </c>
      <c r="B886">
        <v>14</v>
      </c>
      <c r="C886">
        <v>9000</v>
      </c>
      <c r="D886">
        <v>8326</v>
      </c>
      <c r="E886" s="5">
        <f t="shared" si="53"/>
        <v>674</v>
      </c>
      <c r="F886" s="5">
        <f t="shared" si="54"/>
        <v>454276</v>
      </c>
      <c r="G886" s="6">
        <f>SQRT(SUM($F$2:F886)/A886)</f>
        <v>1150.0442192431947</v>
      </c>
      <c r="H886" s="5">
        <f t="shared" si="55"/>
        <v>1</v>
      </c>
      <c r="I886" s="5">
        <f t="shared" si="56"/>
        <v>1</v>
      </c>
    </row>
    <row r="887" spans="1:9">
      <c r="A887">
        <v>886</v>
      </c>
      <c r="B887">
        <v>15</v>
      </c>
      <c r="C887">
        <v>9000</v>
      </c>
      <c r="D887">
        <v>9523</v>
      </c>
      <c r="E887" s="5">
        <f t="shared" si="53"/>
        <v>523</v>
      </c>
      <c r="F887" s="5">
        <f t="shared" si="54"/>
        <v>273529</v>
      </c>
      <c r="G887" s="6">
        <f>SQRT(SUM($F$2:F887)/A887)</f>
        <v>1149.5293172605625</v>
      </c>
      <c r="H887" s="5">
        <f t="shared" si="55"/>
        <v>1</v>
      </c>
      <c r="I887" s="5">
        <f t="shared" si="56"/>
        <v>1</v>
      </c>
    </row>
    <row r="888" spans="1:9">
      <c r="A888">
        <v>887</v>
      </c>
      <c r="B888">
        <v>14</v>
      </c>
      <c r="C888">
        <v>9000</v>
      </c>
      <c r="D888">
        <v>8735</v>
      </c>
      <c r="E888" s="5">
        <f t="shared" si="53"/>
        <v>265</v>
      </c>
      <c r="F888" s="5">
        <f t="shared" si="54"/>
        <v>70225</v>
      </c>
      <c r="G888" s="6">
        <f>SQRT(SUM($F$2:F888)/A888)</f>
        <v>1148.9156026474548</v>
      </c>
      <c r="H888" s="5">
        <f t="shared" si="55"/>
        <v>1</v>
      </c>
      <c r="I888" s="5">
        <f t="shared" si="56"/>
        <v>1</v>
      </c>
    </row>
    <row r="889" spans="1:9">
      <c r="A889">
        <v>888</v>
      </c>
      <c r="B889">
        <v>15</v>
      </c>
      <c r="C889">
        <v>9000</v>
      </c>
      <c r="D889">
        <v>9779</v>
      </c>
      <c r="E889" s="5">
        <f t="shared" si="53"/>
        <v>779</v>
      </c>
      <c r="F889" s="5">
        <f t="shared" si="54"/>
        <v>606841</v>
      </c>
      <c r="G889" s="6">
        <f>SQRT(SUM($F$2:F889)/A889)</f>
        <v>1148.5660394910135</v>
      </c>
      <c r="H889" s="5">
        <f t="shared" si="55"/>
        <v>1</v>
      </c>
      <c r="I889" s="5">
        <f t="shared" si="56"/>
        <v>1</v>
      </c>
    </row>
    <row r="890" spans="1:9">
      <c r="A890">
        <v>889</v>
      </c>
      <c r="B890">
        <v>14</v>
      </c>
      <c r="C890">
        <v>9000</v>
      </c>
      <c r="D890">
        <v>9084</v>
      </c>
      <c r="E890" s="5">
        <f t="shared" si="53"/>
        <v>84</v>
      </c>
      <c r="F890" s="5">
        <f t="shared" si="54"/>
        <v>7056</v>
      </c>
      <c r="G890" s="6">
        <f>SQRT(SUM($F$2:F890)/A890)</f>
        <v>1147.9233271997564</v>
      </c>
      <c r="H890" s="5">
        <f t="shared" si="55"/>
        <v>1</v>
      </c>
      <c r="I890" s="5">
        <f t="shared" si="56"/>
        <v>1</v>
      </c>
    </row>
    <row r="891" spans="1:9">
      <c r="A891">
        <v>890</v>
      </c>
      <c r="B891">
        <v>14</v>
      </c>
      <c r="C891">
        <v>9000</v>
      </c>
      <c r="D891">
        <v>9531</v>
      </c>
      <c r="E891" s="5">
        <f t="shared" si="53"/>
        <v>531</v>
      </c>
      <c r="F891" s="5">
        <f t="shared" si="54"/>
        <v>281961</v>
      </c>
      <c r="G891" s="6">
        <f>SQRT(SUM($F$2:F891)/A891)</f>
        <v>1147.4163071973799</v>
      </c>
      <c r="H891" s="5">
        <f t="shared" si="55"/>
        <v>1</v>
      </c>
      <c r="I891" s="5">
        <f t="shared" si="56"/>
        <v>1</v>
      </c>
    </row>
    <row r="892" spans="1:9">
      <c r="A892">
        <v>891</v>
      </c>
      <c r="B892">
        <v>14</v>
      </c>
      <c r="C892">
        <v>9000</v>
      </c>
      <c r="D892">
        <v>8618</v>
      </c>
      <c r="E892" s="5">
        <f t="shared" si="53"/>
        <v>382</v>
      </c>
      <c r="F892" s="5">
        <f t="shared" si="54"/>
        <v>145924</v>
      </c>
      <c r="G892" s="6">
        <f>SQRT(SUM($F$2:F892)/A892)</f>
        <v>1146.8436389547614</v>
      </c>
      <c r="H892" s="5">
        <f t="shared" si="55"/>
        <v>1</v>
      </c>
      <c r="I892" s="5">
        <f t="shared" si="56"/>
        <v>1</v>
      </c>
    </row>
    <row r="893" spans="1:9">
      <c r="A893">
        <v>892</v>
      </c>
      <c r="B893">
        <v>15</v>
      </c>
      <c r="C893">
        <v>9000</v>
      </c>
      <c r="D893">
        <v>9496</v>
      </c>
      <c r="E893" s="5">
        <f t="shared" si="53"/>
        <v>496</v>
      </c>
      <c r="F893" s="5">
        <f t="shared" si="54"/>
        <v>246016</v>
      </c>
      <c r="G893" s="6">
        <f>SQRT(SUM($F$2:F893)/A893)</f>
        <v>1146.3209144970936</v>
      </c>
      <c r="H893" s="5">
        <f t="shared" si="55"/>
        <v>1</v>
      </c>
      <c r="I893" s="5">
        <f t="shared" si="56"/>
        <v>1</v>
      </c>
    </row>
    <row r="894" spans="1:9">
      <c r="A894">
        <v>893</v>
      </c>
      <c r="B894">
        <v>14</v>
      </c>
      <c r="C894">
        <v>9000</v>
      </c>
      <c r="D894">
        <v>9130</v>
      </c>
      <c r="E894" s="5">
        <f t="shared" si="53"/>
        <v>130</v>
      </c>
      <c r="F894" s="5">
        <f t="shared" si="54"/>
        <v>16900</v>
      </c>
      <c r="G894" s="6">
        <f>SQRT(SUM($F$2:F894)/A894)</f>
        <v>1145.6871569456234</v>
      </c>
      <c r="H894" s="5">
        <f t="shared" si="55"/>
        <v>1</v>
      </c>
      <c r="I894" s="5">
        <f t="shared" si="56"/>
        <v>1</v>
      </c>
    </row>
    <row r="895" spans="1:9">
      <c r="A895">
        <v>894</v>
      </c>
      <c r="B895">
        <v>14</v>
      </c>
      <c r="C895">
        <v>9000</v>
      </c>
      <c r="D895">
        <v>7689</v>
      </c>
      <c r="E895" s="5">
        <f t="shared" si="53"/>
        <v>1311</v>
      </c>
      <c r="F895" s="5">
        <f t="shared" si="54"/>
        <v>1718721</v>
      </c>
      <c r="G895" s="6">
        <f>SQRT(SUM($F$2:F895)/A895)</f>
        <v>1145.8853942210094</v>
      </c>
      <c r="H895" s="5">
        <f t="shared" si="55"/>
        <v>1</v>
      </c>
      <c r="I895" s="5">
        <f t="shared" si="56"/>
        <v>0</v>
      </c>
    </row>
    <row r="896" spans="1:9">
      <c r="A896">
        <v>895</v>
      </c>
      <c r="B896">
        <v>16</v>
      </c>
      <c r="C896">
        <v>9000</v>
      </c>
      <c r="D896">
        <v>7001</v>
      </c>
      <c r="E896" s="5">
        <f t="shared" si="53"/>
        <v>1999</v>
      </c>
      <c r="F896" s="5">
        <f t="shared" si="54"/>
        <v>3996001</v>
      </c>
      <c r="G896" s="6">
        <f>SQRT(SUM($F$2:F896)/A896)</f>
        <v>1147.1926793592343</v>
      </c>
      <c r="H896" s="5">
        <f t="shared" si="55"/>
        <v>0</v>
      </c>
      <c r="I896" s="5">
        <f t="shared" si="56"/>
        <v>0</v>
      </c>
    </row>
    <row r="897" spans="1:9">
      <c r="A897">
        <v>896</v>
      </c>
      <c r="B897">
        <v>17</v>
      </c>
      <c r="C897">
        <v>9000</v>
      </c>
      <c r="D897">
        <v>6371</v>
      </c>
      <c r="E897" s="5">
        <f t="shared" si="53"/>
        <v>2629</v>
      </c>
      <c r="F897" s="5">
        <f t="shared" si="54"/>
        <v>6911641</v>
      </c>
      <c r="G897" s="6">
        <f>SQRT(SUM($F$2:F897)/A897)</f>
        <v>1149.9113538233221</v>
      </c>
      <c r="H897" s="5">
        <f t="shared" si="55"/>
        <v>0</v>
      </c>
      <c r="I897" s="5">
        <f t="shared" si="56"/>
        <v>0</v>
      </c>
    </row>
    <row r="898" spans="1:9">
      <c r="A898">
        <v>897</v>
      </c>
      <c r="B898">
        <v>18</v>
      </c>
      <c r="C898">
        <v>9000</v>
      </c>
      <c r="D898">
        <v>10693</v>
      </c>
      <c r="E898" s="5">
        <f t="shared" si="53"/>
        <v>1693</v>
      </c>
      <c r="F898" s="5">
        <f t="shared" si="54"/>
        <v>2866249</v>
      </c>
      <c r="G898" s="6">
        <f>SQRT(SUM($F$2:F898)/A898)</f>
        <v>1150.6595336235825</v>
      </c>
      <c r="H898" s="5">
        <f t="shared" si="55"/>
        <v>1</v>
      </c>
      <c r="I898" s="5">
        <f t="shared" si="56"/>
        <v>0</v>
      </c>
    </row>
    <row r="899" spans="1:9">
      <c r="A899">
        <v>898</v>
      </c>
      <c r="B899">
        <v>14</v>
      </c>
      <c r="C899">
        <v>9000</v>
      </c>
      <c r="D899">
        <v>8745</v>
      </c>
      <c r="E899" s="5">
        <f t="shared" ref="E899:E962" si="57">ABS(C899-D899)</f>
        <v>255</v>
      </c>
      <c r="F899" s="5">
        <f t="shared" ref="F899:F962" si="58">POWER(E899,2)</f>
        <v>65025</v>
      </c>
      <c r="G899" s="6">
        <f>SQRT(SUM($F$2:F899)/A899)</f>
        <v>1150.0501581973328</v>
      </c>
      <c r="H899" s="5">
        <f t="shared" ref="H899:H962" si="59">IF(ABS(E899)/C899&gt;0.2,0,1)</f>
        <v>1</v>
      </c>
      <c r="I899" s="5">
        <f t="shared" ref="I899:I962" si="60">IF(ABS(E899)/C899&gt;0.1,0,1)</f>
        <v>1</v>
      </c>
    </row>
    <row r="900" spans="1:9">
      <c r="A900">
        <v>899</v>
      </c>
      <c r="B900">
        <v>15</v>
      </c>
      <c r="C900">
        <v>9000</v>
      </c>
      <c r="D900">
        <v>9485</v>
      </c>
      <c r="E900" s="5">
        <f t="shared" si="57"/>
        <v>485</v>
      </c>
      <c r="F900" s="5">
        <f t="shared" si="58"/>
        <v>235225</v>
      </c>
      <c r="G900" s="6">
        <f>SQRT(SUM($F$2:F900)/A900)</f>
        <v>1149.5241671670069</v>
      </c>
      <c r="H900" s="5">
        <f t="shared" si="59"/>
        <v>1</v>
      </c>
      <c r="I900" s="5">
        <f t="shared" si="60"/>
        <v>1</v>
      </c>
    </row>
    <row r="901" spans="1:9">
      <c r="A901">
        <v>900</v>
      </c>
      <c r="B901">
        <v>15</v>
      </c>
      <c r="C901">
        <v>9000</v>
      </c>
      <c r="D901">
        <v>9223</v>
      </c>
      <c r="E901" s="5">
        <f t="shared" si="57"/>
        <v>223</v>
      </c>
      <c r="F901" s="5">
        <f t="shared" si="58"/>
        <v>49729</v>
      </c>
      <c r="G901" s="6">
        <f>SQRT(SUM($F$2:F901)/A901)</f>
        <v>1148.9094118626876</v>
      </c>
      <c r="H901" s="5">
        <f t="shared" si="59"/>
        <v>1</v>
      </c>
      <c r="I901" s="5">
        <f t="shared" si="60"/>
        <v>1</v>
      </c>
    </row>
    <row r="902" spans="1:9">
      <c r="A902">
        <v>901</v>
      </c>
      <c r="B902">
        <v>15</v>
      </c>
      <c r="C902">
        <v>5000</v>
      </c>
      <c r="D902">
        <v>9436</v>
      </c>
      <c r="E902" s="5">
        <f t="shared" si="57"/>
        <v>4436</v>
      </c>
      <c r="F902" s="5">
        <f t="shared" si="58"/>
        <v>19678096</v>
      </c>
      <c r="G902" s="6">
        <f>SQRT(SUM($F$2:F902)/A902)</f>
        <v>1157.742669983322</v>
      </c>
      <c r="H902" s="5">
        <f t="shared" si="59"/>
        <v>0</v>
      </c>
      <c r="I902" s="5">
        <f t="shared" si="60"/>
        <v>0</v>
      </c>
    </row>
    <row r="903" spans="1:9">
      <c r="A903">
        <v>902</v>
      </c>
      <c r="B903">
        <v>10</v>
      </c>
      <c r="C903">
        <v>5000</v>
      </c>
      <c r="D903">
        <v>6239</v>
      </c>
      <c r="E903" s="5">
        <f t="shared" si="57"/>
        <v>1239</v>
      </c>
      <c r="F903" s="5">
        <f t="shared" si="58"/>
        <v>1535121</v>
      </c>
      <c r="G903" s="6">
        <f>SQRT(SUM($F$2:F903)/A903)</f>
        <v>1157.8359133388872</v>
      </c>
      <c r="H903" s="5">
        <f t="shared" si="59"/>
        <v>0</v>
      </c>
      <c r="I903" s="5">
        <f t="shared" si="60"/>
        <v>0</v>
      </c>
    </row>
    <row r="904" spans="1:9">
      <c r="A904">
        <v>903</v>
      </c>
      <c r="B904">
        <v>13</v>
      </c>
      <c r="C904">
        <v>5000</v>
      </c>
      <c r="D904">
        <v>9012</v>
      </c>
      <c r="E904" s="5">
        <f t="shared" si="57"/>
        <v>4012</v>
      </c>
      <c r="F904" s="5">
        <f t="shared" si="58"/>
        <v>16096144</v>
      </c>
      <c r="G904" s="6">
        <f>SQRT(SUM($F$2:F904)/A904)</f>
        <v>1164.8710659216683</v>
      </c>
      <c r="H904" s="5">
        <f t="shared" si="59"/>
        <v>0</v>
      </c>
      <c r="I904" s="5">
        <f t="shared" si="60"/>
        <v>0</v>
      </c>
    </row>
    <row r="905" spans="1:9">
      <c r="A905">
        <v>904</v>
      </c>
      <c r="B905">
        <v>9</v>
      </c>
      <c r="C905">
        <v>5000</v>
      </c>
      <c r="D905">
        <v>5444</v>
      </c>
      <c r="E905" s="5">
        <f t="shared" si="57"/>
        <v>444</v>
      </c>
      <c r="F905" s="5">
        <f t="shared" si="58"/>
        <v>197136</v>
      </c>
      <c r="G905" s="6">
        <f>SQRT(SUM($F$2:F905)/A905)</f>
        <v>1164.3202515760379</v>
      </c>
      <c r="H905" s="5">
        <f t="shared" si="59"/>
        <v>1</v>
      </c>
      <c r="I905" s="5">
        <f t="shared" si="60"/>
        <v>1</v>
      </c>
    </row>
    <row r="906" spans="1:9">
      <c r="A906">
        <v>905</v>
      </c>
      <c r="B906">
        <v>12</v>
      </c>
      <c r="C906">
        <v>5000</v>
      </c>
      <c r="D906">
        <v>7579</v>
      </c>
      <c r="E906" s="5">
        <f t="shared" si="57"/>
        <v>2579</v>
      </c>
      <c r="F906" s="5">
        <f t="shared" si="58"/>
        <v>6651241</v>
      </c>
      <c r="G906" s="6">
        <f>SQRT(SUM($F$2:F906)/A906)</f>
        <v>1166.8303815150339</v>
      </c>
      <c r="H906" s="5">
        <f t="shared" si="59"/>
        <v>0</v>
      </c>
      <c r="I906" s="5">
        <f t="shared" si="60"/>
        <v>0</v>
      </c>
    </row>
    <row r="907" spans="1:9">
      <c r="A907">
        <v>906</v>
      </c>
      <c r="B907">
        <v>10</v>
      </c>
      <c r="C907">
        <v>5000</v>
      </c>
      <c r="D907">
        <v>6003</v>
      </c>
      <c r="E907" s="5">
        <f t="shared" si="57"/>
        <v>1003</v>
      </c>
      <c r="F907" s="5">
        <f t="shared" si="58"/>
        <v>1006009</v>
      </c>
      <c r="G907" s="6">
        <f>SQRT(SUM($F$2:F907)/A907)</f>
        <v>1166.6622358793188</v>
      </c>
      <c r="H907" s="5">
        <f t="shared" si="59"/>
        <v>0</v>
      </c>
      <c r="I907" s="5">
        <f t="shared" si="60"/>
        <v>0</v>
      </c>
    </row>
    <row r="908" spans="1:9">
      <c r="A908">
        <v>907</v>
      </c>
      <c r="B908">
        <v>11</v>
      </c>
      <c r="C908">
        <v>5000</v>
      </c>
      <c r="D908">
        <v>6887</v>
      </c>
      <c r="E908" s="5">
        <f t="shared" si="57"/>
        <v>1887</v>
      </c>
      <c r="F908" s="5">
        <f t="shared" si="58"/>
        <v>3560769</v>
      </c>
      <c r="G908" s="6">
        <f>SQRT(SUM($F$2:F908)/A908)</f>
        <v>1167.7011542629537</v>
      </c>
      <c r="H908" s="5">
        <f t="shared" si="59"/>
        <v>0</v>
      </c>
      <c r="I908" s="5">
        <f t="shared" si="60"/>
        <v>0</v>
      </c>
    </row>
    <row r="909" spans="1:9">
      <c r="A909">
        <v>908</v>
      </c>
      <c r="B909">
        <v>10</v>
      </c>
      <c r="C909">
        <v>5000</v>
      </c>
      <c r="D909">
        <v>6157</v>
      </c>
      <c r="E909" s="5">
        <f t="shared" si="57"/>
        <v>1157</v>
      </c>
      <c r="F909" s="5">
        <f t="shared" si="58"/>
        <v>1338649</v>
      </c>
      <c r="G909" s="6">
        <f>SQRT(SUM($F$2:F909)/A909)</f>
        <v>1167.6894227943178</v>
      </c>
      <c r="H909" s="5">
        <f t="shared" si="59"/>
        <v>0</v>
      </c>
      <c r="I909" s="5">
        <f t="shared" si="60"/>
        <v>0</v>
      </c>
    </row>
    <row r="910" spans="1:9">
      <c r="A910">
        <v>909</v>
      </c>
      <c r="B910">
        <v>10</v>
      </c>
      <c r="C910">
        <v>5000</v>
      </c>
      <c r="D910">
        <v>6612</v>
      </c>
      <c r="E910" s="5">
        <f t="shared" si="57"/>
        <v>1612</v>
      </c>
      <c r="F910" s="5">
        <f t="shared" si="58"/>
        <v>2598544</v>
      </c>
      <c r="G910" s="6">
        <f>SQRT(SUM($F$2:F910)/A910)</f>
        <v>1168.2710618377023</v>
      </c>
      <c r="H910" s="5">
        <f t="shared" si="59"/>
        <v>0</v>
      </c>
      <c r="I910" s="5">
        <f t="shared" si="60"/>
        <v>0</v>
      </c>
    </row>
    <row r="911" spans="1:9">
      <c r="A911">
        <v>910</v>
      </c>
      <c r="B911">
        <v>9</v>
      </c>
      <c r="C911">
        <v>5000</v>
      </c>
      <c r="D911">
        <v>6192</v>
      </c>
      <c r="E911" s="5">
        <f t="shared" si="57"/>
        <v>1192</v>
      </c>
      <c r="F911" s="5">
        <f t="shared" si="58"/>
        <v>1420864</v>
      </c>
      <c r="G911" s="6">
        <f>SQRT(SUM($F$2:F911)/A911)</f>
        <v>1168.2974021113887</v>
      </c>
      <c r="H911" s="5">
        <f t="shared" si="59"/>
        <v>0</v>
      </c>
      <c r="I911" s="5">
        <f t="shared" si="60"/>
        <v>0</v>
      </c>
    </row>
    <row r="912" spans="1:9">
      <c r="A912">
        <v>911</v>
      </c>
      <c r="B912">
        <v>9</v>
      </c>
      <c r="C912">
        <v>5000</v>
      </c>
      <c r="D912">
        <v>5533</v>
      </c>
      <c r="E912" s="5">
        <f t="shared" si="57"/>
        <v>533</v>
      </c>
      <c r="F912" s="5">
        <f t="shared" si="58"/>
        <v>284089</v>
      </c>
      <c r="G912" s="6">
        <f>SQRT(SUM($F$2:F912)/A912)</f>
        <v>1167.7895351745653</v>
      </c>
      <c r="H912" s="5">
        <f t="shared" si="59"/>
        <v>1</v>
      </c>
      <c r="I912" s="5">
        <f t="shared" si="60"/>
        <v>0</v>
      </c>
    </row>
    <row r="913" spans="1:9">
      <c r="A913">
        <v>912</v>
      </c>
      <c r="B913">
        <v>10</v>
      </c>
      <c r="C913">
        <v>5000</v>
      </c>
      <c r="D913">
        <v>5825</v>
      </c>
      <c r="E913" s="5">
        <f t="shared" si="57"/>
        <v>825</v>
      </c>
      <c r="F913" s="5">
        <f t="shared" si="58"/>
        <v>680625</v>
      </c>
      <c r="G913" s="6">
        <f>SQRT(SUM($F$2:F913)/A913)</f>
        <v>1167.4687906719316</v>
      </c>
      <c r="H913" s="5">
        <f t="shared" si="59"/>
        <v>1</v>
      </c>
      <c r="I913" s="5">
        <f t="shared" si="60"/>
        <v>0</v>
      </c>
    </row>
    <row r="914" spans="1:9">
      <c r="A914">
        <v>913</v>
      </c>
      <c r="B914">
        <v>9</v>
      </c>
      <c r="C914">
        <v>5000</v>
      </c>
      <c r="D914">
        <v>5738</v>
      </c>
      <c r="E914" s="5">
        <f t="shared" si="57"/>
        <v>738</v>
      </c>
      <c r="F914" s="5">
        <f t="shared" si="58"/>
        <v>544644</v>
      </c>
      <c r="G914" s="6">
        <f>SQRT(SUM($F$2:F914)/A914)</f>
        <v>1167.0848546915445</v>
      </c>
      <c r="H914" s="5">
        <f t="shared" si="59"/>
        <v>1</v>
      </c>
      <c r="I914" s="5">
        <f t="shared" si="60"/>
        <v>0</v>
      </c>
    </row>
    <row r="915" spans="1:9">
      <c r="A915">
        <v>914</v>
      </c>
      <c r="B915">
        <v>9</v>
      </c>
      <c r="C915">
        <v>5000</v>
      </c>
      <c r="D915">
        <v>6037</v>
      </c>
      <c r="E915" s="5">
        <f t="shared" si="57"/>
        <v>1037</v>
      </c>
      <c r="F915" s="5">
        <f t="shared" si="58"/>
        <v>1075369</v>
      </c>
      <c r="G915" s="6">
        <f>SQRT(SUM($F$2:F915)/A915)</f>
        <v>1166.9504540229718</v>
      </c>
      <c r="H915" s="5">
        <f t="shared" si="59"/>
        <v>0</v>
      </c>
      <c r="I915" s="5">
        <f t="shared" si="60"/>
        <v>0</v>
      </c>
    </row>
    <row r="916" spans="1:9">
      <c r="A916">
        <v>915</v>
      </c>
      <c r="B916">
        <v>9</v>
      </c>
      <c r="C916">
        <v>5000</v>
      </c>
      <c r="D916">
        <v>5817</v>
      </c>
      <c r="E916" s="5">
        <f t="shared" si="57"/>
        <v>817</v>
      </c>
      <c r="F916" s="5">
        <f t="shared" si="58"/>
        <v>667489</v>
      </c>
      <c r="G916" s="6">
        <f>SQRT(SUM($F$2:F916)/A916)</f>
        <v>1166.6252960658642</v>
      </c>
      <c r="H916" s="5">
        <f t="shared" si="59"/>
        <v>1</v>
      </c>
      <c r="I916" s="5">
        <f t="shared" si="60"/>
        <v>0</v>
      </c>
    </row>
    <row r="917" spans="1:9">
      <c r="A917">
        <v>916</v>
      </c>
      <c r="B917">
        <v>9</v>
      </c>
      <c r="C917">
        <v>5000</v>
      </c>
      <c r="D917">
        <v>6144</v>
      </c>
      <c r="E917" s="5">
        <f t="shared" si="57"/>
        <v>1144</v>
      </c>
      <c r="F917" s="5">
        <f t="shared" si="58"/>
        <v>1308736</v>
      </c>
      <c r="G917" s="6">
        <f>SQRT(SUM($F$2:F917)/A917)</f>
        <v>1166.600835218981</v>
      </c>
      <c r="H917" s="5">
        <f t="shared" si="59"/>
        <v>0</v>
      </c>
      <c r="I917" s="5">
        <f t="shared" si="60"/>
        <v>0</v>
      </c>
    </row>
    <row r="918" spans="1:9">
      <c r="A918">
        <v>917</v>
      </c>
      <c r="B918">
        <v>8</v>
      </c>
      <c r="C918">
        <v>5000</v>
      </c>
      <c r="D918">
        <v>4975</v>
      </c>
      <c r="E918" s="5">
        <f t="shared" si="57"/>
        <v>25</v>
      </c>
      <c r="F918" s="5">
        <f t="shared" si="58"/>
        <v>625</v>
      </c>
      <c r="G918" s="6">
        <f>SQRT(SUM($F$2:F918)/A918)</f>
        <v>1165.9648575634963</v>
      </c>
      <c r="H918" s="5">
        <f t="shared" si="59"/>
        <v>1</v>
      </c>
      <c r="I918" s="5">
        <f t="shared" si="60"/>
        <v>1</v>
      </c>
    </row>
    <row r="919" spans="1:9">
      <c r="A919">
        <v>918</v>
      </c>
      <c r="B919">
        <v>9</v>
      </c>
      <c r="C919">
        <v>5000</v>
      </c>
      <c r="D919">
        <v>7276</v>
      </c>
      <c r="E919" s="5">
        <f t="shared" si="57"/>
        <v>2276</v>
      </c>
      <c r="F919" s="5">
        <f t="shared" si="58"/>
        <v>5180176</v>
      </c>
      <c r="G919" s="6">
        <f>SQRT(SUM($F$2:F919)/A919)</f>
        <v>1167.7482750015361</v>
      </c>
      <c r="H919" s="5">
        <f t="shared" si="59"/>
        <v>0</v>
      </c>
      <c r="I919" s="5">
        <f t="shared" si="60"/>
        <v>0</v>
      </c>
    </row>
    <row r="920" spans="1:9">
      <c r="A920">
        <v>919</v>
      </c>
      <c r="B920">
        <v>7</v>
      </c>
      <c r="C920">
        <v>5000</v>
      </c>
      <c r="D920">
        <v>5654</v>
      </c>
      <c r="E920" s="5">
        <f t="shared" si="57"/>
        <v>654</v>
      </c>
      <c r="F920" s="5">
        <f t="shared" si="58"/>
        <v>427716</v>
      </c>
      <c r="G920" s="6">
        <f>SQRT(SUM($F$2:F920)/A920)</f>
        <v>1167.3121358127264</v>
      </c>
      <c r="H920" s="5">
        <f t="shared" si="59"/>
        <v>1</v>
      </c>
      <c r="I920" s="5">
        <f t="shared" si="60"/>
        <v>0</v>
      </c>
    </row>
    <row r="921" spans="1:9">
      <c r="A921">
        <v>920</v>
      </c>
      <c r="B921">
        <v>8</v>
      </c>
      <c r="C921">
        <v>5000</v>
      </c>
      <c r="D921">
        <v>6236</v>
      </c>
      <c r="E921" s="5">
        <f t="shared" si="57"/>
        <v>1236</v>
      </c>
      <c r="F921" s="5">
        <f t="shared" si="58"/>
        <v>1527696</v>
      </c>
      <c r="G921" s="6">
        <f>SQRT(SUM($F$2:F921)/A921)</f>
        <v>1167.3889906259963</v>
      </c>
      <c r="H921" s="5">
        <f t="shared" si="59"/>
        <v>0</v>
      </c>
      <c r="I921" s="5">
        <f t="shared" si="60"/>
        <v>0</v>
      </c>
    </row>
    <row r="922" spans="1:9">
      <c r="A922">
        <v>921</v>
      </c>
      <c r="B922">
        <v>7</v>
      </c>
      <c r="C922">
        <v>5000</v>
      </c>
      <c r="D922">
        <v>5782</v>
      </c>
      <c r="E922" s="5">
        <f t="shared" si="57"/>
        <v>782</v>
      </c>
      <c r="F922" s="5">
        <f t="shared" si="58"/>
        <v>611524</v>
      </c>
      <c r="G922" s="6">
        <f>SQRT(SUM($F$2:F922)/A922)</f>
        <v>1167.0395627114651</v>
      </c>
      <c r="H922" s="5">
        <f t="shared" si="59"/>
        <v>1</v>
      </c>
      <c r="I922" s="5">
        <f t="shared" si="60"/>
        <v>0</v>
      </c>
    </row>
    <row r="923" spans="1:9">
      <c r="A923">
        <v>922</v>
      </c>
      <c r="B923">
        <v>7</v>
      </c>
      <c r="C923">
        <v>5000</v>
      </c>
      <c r="D923">
        <v>5417</v>
      </c>
      <c r="E923" s="5">
        <f t="shared" si="57"/>
        <v>417</v>
      </c>
      <c r="F923" s="5">
        <f t="shared" si="58"/>
        <v>173889</v>
      </c>
      <c r="G923" s="6">
        <f>SQRT(SUM($F$2:F923)/A923)</f>
        <v>1166.4873499215989</v>
      </c>
      <c r="H923" s="5">
        <f t="shared" si="59"/>
        <v>1</v>
      </c>
      <c r="I923" s="5">
        <f t="shared" si="60"/>
        <v>1</v>
      </c>
    </row>
    <row r="924" spans="1:9">
      <c r="A924">
        <v>923</v>
      </c>
      <c r="B924">
        <v>8</v>
      </c>
      <c r="C924">
        <v>5000</v>
      </c>
      <c r="D924">
        <v>6809</v>
      </c>
      <c r="E924" s="5">
        <f t="shared" si="57"/>
        <v>1809</v>
      </c>
      <c r="F924" s="5">
        <f t="shared" si="58"/>
        <v>3272481</v>
      </c>
      <c r="G924" s="6">
        <f>SQRT(SUM($F$2:F924)/A924)</f>
        <v>1167.3748387234098</v>
      </c>
      <c r="H924" s="5">
        <f t="shared" si="59"/>
        <v>0</v>
      </c>
      <c r="I924" s="5">
        <f t="shared" si="60"/>
        <v>0</v>
      </c>
    </row>
    <row r="925" spans="1:9">
      <c r="A925">
        <v>924</v>
      </c>
      <c r="B925">
        <v>6</v>
      </c>
      <c r="C925">
        <v>5000</v>
      </c>
      <c r="D925">
        <v>4638</v>
      </c>
      <c r="E925" s="5">
        <f t="shared" si="57"/>
        <v>362</v>
      </c>
      <c r="F925" s="5">
        <f t="shared" si="58"/>
        <v>131044</v>
      </c>
      <c r="G925" s="6">
        <f>SQRT(SUM($F$2:F925)/A925)</f>
        <v>1166.8037468941527</v>
      </c>
      <c r="H925" s="5">
        <f t="shared" si="59"/>
        <v>1</v>
      </c>
      <c r="I925" s="5">
        <f t="shared" si="60"/>
        <v>1</v>
      </c>
    </row>
    <row r="926" spans="1:9">
      <c r="A926">
        <v>925</v>
      </c>
      <c r="B926">
        <v>8</v>
      </c>
      <c r="C926">
        <v>5000</v>
      </c>
      <c r="D926">
        <v>5628</v>
      </c>
      <c r="E926" s="5">
        <f t="shared" si="57"/>
        <v>628</v>
      </c>
      <c r="F926" s="5">
        <f t="shared" si="58"/>
        <v>394384</v>
      </c>
      <c r="G926" s="6">
        <f>SQRT(SUM($F$2:F926)/A926)</f>
        <v>1166.3556608374513</v>
      </c>
      <c r="H926" s="5">
        <f t="shared" si="59"/>
        <v>1</v>
      </c>
      <c r="I926" s="5">
        <f t="shared" si="60"/>
        <v>0</v>
      </c>
    </row>
    <row r="927" spans="1:9">
      <c r="A927">
        <v>926</v>
      </c>
      <c r="B927">
        <v>7</v>
      </c>
      <c r="C927">
        <v>5000</v>
      </c>
      <c r="D927">
        <v>4372</v>
      </c>
      <c r="E927" s="5">
        <f t="shared" si="57"/>
        <v>628</v>
      </c>
      <c r="F927" s="5">
        <f t="shared" si="58"/>
        <v>394384</v>
      </c>
      <c r="G927" s="6">
        <f>SQRT(SUM($F$2:F927)/A927)</f>
        <v>1165.9083709167071</v>
      </c>
      <c r="H927" s="5">
        <f t="shared" si="59"/>
        <v>1</v>
      </c>
      <c r="I927" s="5">
        <f t="shared" si="60"/>
        <v>0</v>
      </c>
    </row>
    <row r="928" spans="1:9">
      <c r="A928">
        <v>927</v>
      </c>
      <c r="B928">
        <v>8</v>
      </c>
      <c r="C928">
        <v>5000</v>
      </c>
      <c r="D928">
        <v>5627</v>
      </c>
      <c r="E928" s="5">
        <f t="shared" si="57"/>
        <v>627</v>
      </c>
      <c r="F928" s="5">
        <f t="shared" si="58"/>
        <v>393129</v>
      </c>
      <c r="G928" s="6">
        <f>SQRT(SUM($F$2:F928)/A928)</f>
        <v>1165.4612941009516</v>
      </c>
      <c r="H928" s="5">
        <f t="shared" si="59"/>
        <v>1</v>
      </c>
      <c r="I928" s="5">
        <f t="shared" si="60"/>
        <v>0</v>
      </c>
    </row>
    <row r="929" spans="1:9">
      <c r="A929">
        <v>928</v>
      </c>
      <c r="B929">
        <v>7</v>
      </c>
      <c r="C929">
        <v>5000</v>
      </c>
      <c r="D929">
        <v>5300</v>
      </c>
      <c r="E929" s="5">
        <f t="shared" si="57"/>
        <v>300</v>
      </c>
      <c r="F929" s="5">
        <f t="shared" si="58"/>
        <v>90000</v>
      </c>
      <c r="G929" s="6">
        <f>SQRT(SUM($F$2:F929)/A929)</f>
        <v>1164.8748110552629</v>
      </c>
      <c r="H929" s="5">
        <f t="shared" si="59"/>
        <v>1</v>
      </c>
      <c r="I929" s="5">
        <f t="shared" si="60"/>
        <v>1</v>
      </c>
    </row>
    <row r="930" spans="1:9">
      <c r="A930">
        <v>929</v>
      </c>
      <c r="B930">
        <v>7</v>
      </c>
      <c r="C930">
        <v>5000</v>
      </c>
      <c r="D930">
        <v>4861</v>
      </c>
      <c r="E930" s="5">
        <f t="shared" si="57"/>
        <v>139</v>
      </c>
      <c r="F930" s="5">
        <f t="shared" si="58"/>
        <v>19321</v>
      </c>
      <c r="G930" s="6">
        <f>SQRT(SUM($F$2:F930)/A930)</f>
        <v>1164.2566230826515</v>
      </c>
      <c r="H930" s="5">
        <f t="shared" si="59"/>
        <v>1</v>
      </c>
      <c r="I930" s="5">
        <f t="shared" si="60"/>
        <v>1</v>
      </c>
    </row>
    <row r="931" spans="1:9">
      <c r="A931">
        <v>930</v>
      </c>
      <c r="B931">
        <v>8</v>
      </c>
      <c r="C931">
        <v>5000</v>
      </c>
      <c r="D931">
        <v>5099</v>
      </c>
      <c r="E931" s="5">
        <f t="shared" si="57"/>
        <v>99</v>
      </c>
      <c r="F931" s="5">
        <f t="shared" si="58"/>
        <v>9801</v>
      </c>
      <c r="G931" s="6">
        <f>SQRT(SUM($F$2:F931)/A931)</f>
        <v>1163.6350386722661</v>
      </c>
      <c r="H931" s="5">
        <f t="shared" si="59"/>
        <v>1</v>
      </c>
      <c r="I931" s="5">
        <f t="shared" si="60"/>
        <v>1</v>
      </c>
    </row>
    <row r="932" spans="1:9">
      <c r="A932">
        <v>931</v>
      </c>
      <c r="B932">
        <v>7</v>
      </c>
      <c r="C932">
        <v>5000</v>
      </c>
      <c r="D932">
        <v>5482</v>
      </c>
      <c r="E932" s="5">
        <f t="shared" si="57"/>
        <v>482</v>
      </c>
      <c r="F932" s="5">
        <f t="shared" si="58"/>
        <v>232324</v>
      </c>
      <c r="G932" s="6">
        <f>SQRT(SUM($F$2:F932)/A932)</f>
        <v>1163.1172105778624</v>
      </c>
      <c r="H932" s="5">
        <f t="shared" si="59"/>
        <v>1</v>
      </c>
      <c r="I932" s="5">
        <f t="shared" si="60"/>
        <v>1</v>
      </c>
    </row>
    <row r="933" spans="1:9">
      <c r="A933">
        <v>932</v>
      </c>
      <c r="B933">
        <v>7</v>
      </c>
      <c r="C933">
        <v>5000</v>
      </c>
      <c r="D933">
        <v>4599</v>
      </c>
      <c r="E933" s="5">
        <f t="shared" si="57"/>
        <v>401</v>
      </c>
      <c r="F933" s="5">
        <f t="shared" si="58"/>
        <v>160801</v>
      </c>
      <c r="G933" s="6">
        <f>SQRT(SUM($F$2:F933)/A933)</f>
        <v>1162.5672591184773</v>
      </c>
      <c r="H933" s="5">
        <f t="shared" si="59"/>
        <v>1</v>
      </c>
      <c r="I933" s="5">
        <f t="shared" si="60"/>
        <v>1</v>
      </c>
    </row>
    <row r="934" spans="1:9">
      <c r="A934">
        <v>933</v>
      </c>
      <c r="B934">
        <v>8</v>
      </c>
      <c r="C934">
        <v>5000</v>
      </c>
      <c r="D934">
        <v>5643</v>
      </c>
      <c r="E934" s="5">
        <f t="shared" si="57"/>
        <v>643</v>
      </c>
      <c r="F934" s="5">
        <f t="shared" si="58"/>
        <v>413449</v>
      </c>
      <c r="G934" s="6">
        <f>SQRT(SUM($F$2:F934)/A934)</f>
        <v>1162.1347387998528</v>
      </c>
      <c r="H934" s="5">
        <f t="shared" si="59"/>
        <v>1</v>
      </c>
      <c r="I934" s="5">
        <f t="shared" si="60"/>
        <v>0</v>
      </c>
    </row>
    <row r="935" spans="1:9">
      <c r="A935">
        <v>934</v>
      </c>
      <c r="B935">
        <v>7</v>
      </c>
      <c r="C935">
        <v>5000</v>
      </c>
      <c r="D935">
        <v>4574</v>
      </c>
      <c r="E935" s="5">
        <f t="shared" si="57"/>
        <v>426</v>
      </c>
      <c r="F935" s="5">
        <f t="shared" si="58"/>
        <v>181476</v>
      </c>
      <c r="G935" s="6">
        <f>SQRT(SUM($F$2:F935)/A935)</f>
        <v>1161.5960822265679</v>
      </c>
      <c r="H935" s="5">
        <f t="shared" si="59"/>
        <v>1</v>
      </c>
      <c r="I935" s="5">
        <f t="shared" si="60"/>
        <v>1</v>
      </c>
    </row>
    <row r="936" spans="1:9">
      <c r="A936">
        <v>935</v>
      </c>
      <c r="B936">
        <v>8</v>
      </c>
      <c r="C936">
        <v>5000</v>
      </c>
      <c r="D936">
        <v>5880</v>
      </c>
      <c r="E936" s="5">
        <f t="shared" si="57"/>
        <v>880</v>
      </c>
      <c r="F936" s="5">
        <f t="shared" si="58"/>
        <v>774400</v>
      </c>
      <c r="G936" s="6">
        <f>SQRT(SUM($F$2:F936)/A936)</f>
        <v>1161.3313851335702</v>
      </c>
      <c r="H936" s="5">
        <f t="shared" si="59"/>
        <v>1</v>
      </c>
      <c r="I936" s="5">
        <f t="shared" si="60"/>
        <v>0</v>
      </c>
    </row>
    <row r="937" spans="1:9">
      <c r="A937">
        <v>936</v>
      </c>
      <c r="B937">
        <v>6</v>
      </c>
      <c r="C937">
        <v>5000</v>
      </c>
      <c r="D937">
        <v>4713</v>
      </c>
      <c r="E937" s="5">
        <f t="shared" si="57"/>
        <v>287</v>
      </c>
      <c r="F937" s="5">
        <f t="shared" si="58"/>
        <v>82369</v>
      </c>
      <c r="G937" s="6">
        <f>SQRT(SUM($F$2:F937)/A937)</f>
        <v>1160.7487576641224</v>
      </c>
      <c r="H937" s="5">
        <f t="shared" si="59"/>
        <v>1</v>
      </c>
      <c r="I937" s="5">
        <f t="shared" si="60"/>
        <v>1</v>
      </c>
    </row>
    <row r="938" spans="1:9">
      <c r="A938">
        <v>937</v>
      </c>
      <c r="B938">
        <v>7</v>
      </c>
      <c r="C938">
        <v>5000</v>
      </c>
      <c r="D938">
        <v>5887</v>
      </c>
      <c r="E938" s="5">
        <f t="shared" si="57"/>
        <v>887</v>
      </c>
      <c r="F938" s="5">
        <f t="shared" si="58"/>
        <v>786769</v>
      </c>
      <c r="G938" s="6">
        <f>SQRT(SUM($F$2:F938)/A938)</f>
        <v>1160.4910251370723</v>
      </c>
      <c r="H938" s="5">
        <f t="shared" si="59"/>
        <v>1</v>
      </c>
      <c r="I938" s="5">
        <f t="shared" si="60"/>
        <v>0</v>
      </c>
    </row>
    <row r="939" spans="1:9">
      <c r="A939">
        <v>938</v>
      </c>
      <c r="B939">
        <v>6</v>
      </c>
      <c r="C939">
        <v>5000</v>
      </c>
      <c r="D939">
        <v>3729</v>
      </c>
      <c r="E939" s="5">
        <f t="shared" si="57"/>
        <v>1271</v>
      </c>
      <c r="F939" s="5">
        <f t="shared" si="58"/>
        <v>1615441</v>
      </c>
      <c r="G939" s="6">
        <f>SQRT(SUM($F$2:F939)/A939)</f>
        <v>1160.61444143312</v>
      </c>
      <c r="H939" s="5">
        <f t="shared" si="59"/>
        <v>0</v>
      </c>
      <c r="I939" s="5">
        <f t="shared" si="60"/>
        <v>0</v>
      </c>
    </row>
    <row r="940" spans="1:9">
      <c r="A940">
        <v>939</v>
      </c>
      <c r="B940">
        <v>8</v>
      </c>
      <c r="C940">
        <v>5000</v>
      </c>
      <c r="D940">
        <v>5187</v>
      </c>
      <c r="E940" s="5">
        <f t="shared" si="57"/>
        <v>187</v>
      </c>
      <c r="F940" s="5">
        <f t="shared" si="58"/>
        <v>34969</v>
      </c>
      <c r="G940" s="6">
        <f>SQRT(SUM($F$2:F940)/A940)</f>
        <v>1160.0123232058143</v>
      </c>
      <c r="H940" s="5">
        <f t="shared" si="59"/>
        <v>1</v>
      </c>
      <c r="I940" s="5">
        <f t="shared" si="60"/>
        <v>1</v>
      </c>
    </row>
    <row r="941" spans="1:9">
      <c r="A941">
        <v>940</v>
      </c>
      <c r="B941">
        <v>7</v>
      </c>
      <c r="C941">
        <v>5000</v>
      </c>
      <c r="D941">
        <v>4654</v>
      </c>
      <c r="E941" s="5">
        <f t="shared" si="57"/>
        <v>346</v>
      </c>
      <c r="F941" s="5">
        <f t="shared" si="58"/>
        <v>119716</v>
      </c>
      <c r="G941" s="6">
        <f>SQRT(SUM($F$2:F941)/A941)</f>
        <v>1159.4500539736821</v>
      </c>
      <c r="H941" s="5">
        <f t="shared" si="59"/>
        <v>1</v>
      </c>
      <c r="I941" s="5">
        <f t="shared" si="60"/>
        <v>1</v>
      </c>
    </row>
    <row r="942" spans="1:9">
      <c r="A942">
        <v>941</v>
      </c>
      <c r="B942">
        <v>8</v>
      </c>
      <c r="C942">
        <v>5000</v>
      </c>
      <c r="D942">
        <v>5517</v>
      </c>
      <c r="E942" s="5">
        <f t="shared" si="57"/>
        <v>517</v>
      </c>
      <c r="F942" s="5">
        <f t="shared" si="58"/>
        <v>267289</v>
      </c>
      <c r="G942" s="6">
        <f>SQRT(SUM($F$2:F942)/A942)</f>
        <v>1158.9563679931164</v>
      </c>
      <c r="H942" s="5">
        <f t="shared" si="59"/>
        <v>1</v>
      </c>
      <c r="I942" s="5">
        <f t="shared" si="60"/>
        <v>0</v>
      </c>
    </row>
    <row r="943" spans="1:9">
      <c r="A943">
        <v>942</v>
      </c>
      <c r="B943">
        <v>7</v>
      </c>
      <c r="C943">
        <v>5000</v>
      </c>
      <c r="D943">
        <v>3792</v>
      </c>
      <c r="E943" s="5">
        <f t="shared" si="57"/>
        <v>1208</v>
      </c>
      <c r="F943" s="5">
        <f t="shared" si="58"/>
        <v>1459264</v>
      </c>
      <c r="G943" s="6">
        <f>SQRT(SUM($F$2:F943)/A943)</f>
        <v>1159.0095316604736</v>
      </c>
      <c r="H943" s="5">
        <f t="shared" si="59"/>
        <v>0</v>
      </c>
      <c r="I943" s="5">
        <f t="shared" si="60"/>
        <v>0</v>
      </c>
    </row>
    <row r="944" spans="1:9">
      <c r="A944">
        <v>943</v>
      </c>
      <c r="B944">
        <v>9</v>
      </c>
      <c r="C944">
        <v>5000</v>
      </c>
      <c r="D944">
        <v>5782</v>
      </c>
      <c r="E944" s="5">
        <f t="shared" si="57"/>
        <v>782</v>
      </c>
      <c r="F944" s="5">
        <f t="shared" si="58"/>
        <v>611524</v>
      </c>
      <c r="G944" s="6">
        <f>SQRT(SUM($F$2:F944)/A944)</f>
        <v>1158.6747096207546</v>
      </c>
      <c r="H944" s="5">
        <f t="shared" si="59"/>
        <v>1</v>
      </c>
      <c r="I944" s="5">
        <f t="shared" si="60"/>
        <v>0</v>
      </c>
    </row>
    <row r="945" spans="1:9">
      <c r="A945">
        <v>944</v>
      </c>
      <c r="B945">
        <v>7</v>
      </c>
      <c r="C945">
        <v>5000</v>
      </c>
      <c r="D945">
        <v>4315</v>
      </c>
      <c r="E945" s="5">
        <f t="shared" si="57"/>
        <v>685</v>
      </c>
      <c r="F945" s="5">
        <f t="shared" si="58"/>
        <v>469225</v>
      </c>
      <c r="G945" s="6">
        <f>SQRT(SUM($F$2:F945)/A945)</f>
        <v>1158.2754312236236</v>
      </c>
      <c r="H945" s="5">
        <f t="shared" si="59"/>
        <v>1</v>
      </c>
      <c r="I945" s="5">
        <f t="shared" si="60"/>
        <v>0</v>
      </c>
    </row>
    <row r="946" spans="1:9">
      <c r="A946">
        <v>945</v>
      </c>
      <c r="B946">
        <v>8</v>
      </c>
      <c r="C946">
        <v>5000</v>
      </c>
      <c r="D946">
        <v>5003</v>
      </c>
      <c r="E946" s="5">
        <f t="shared" si="57"/>
        <v>3</v>
      </c>
      <c r="F946" s="5">
        <f t="shared" si="58"/>
        <v>9</v>
      </c>
      <c r="G946" s="6">
        <f>SQRT(SUM($F$2:F946)/A946)</f>
        <v>1157.6624289795793</v>
      </c>
      <c r="H946" s="5">
        <f t="shared" si="59"/>
        <v>1</v>
      </c>
      <c r="I946" s="5">
        <f t="shared" si="60"/>
        <v>1</v>
      </c>
    </row>
    <row r="947" spans="1:9">
      <c r="A947">
        <v>946</v>
      </c>
      <c r="B947">
        <v>8</v>
      </c>
      <c r="C947">
        <v>5000</v>
      </c>
      <c r="D947">
        <v>5547</v>
      </c>
      <c r="E947" s="5">
        <f t="shared" si="57"/>
        <v>547</v>
      </c>
      <c r="F947" s="5">
        <f t="shared" si="58"/>
        <v>299209</v>
      </c>
      <c r="G947" s="6">
        <f>SQRT(SUM($F$2:F947)/A947)</f>
        <v>1157.1870656305225</v>
      </c>
      <c r="H947" s="5">
        <f t="shared" si="59"/>
        <v>1</v>
      </c>
      <c r="I947" s="5">
        <f t="shared" si="60"/>
        <v>0</v>
      </c>
    </row>
    <row r="948" spans="1:9">
      <c r="A948">
        <v>947</v>
      </c>
      <c r="B948">
        <v>7</v>
      </c>
      <c r="C948">
        <v>5000</v>
      </c>
      <c r="D948">
        <v>5134</v>
      </c>
      <c r="E948" s="5">
        <f t="shared" si="57"/>
        <v>134</v>
      </c>
      <c r="F948" s="5">
        <f t="shared" si="58"/>
        <v>17956</v>
      </c>
      <c r="G948" s="6">
        <f>SQRT(SUM($F$2:F948)/A948)</f>
        <v>1156.5841260146633</v>
      </c>
      <c r="H948" s="5">
        <f t="shared" si="59"/>
        <v>1</v>
      </c>
      <c r="I948" s="5">
        <f t="shared" si="60"/>
        <v>1</v>
      </c>
    </row>
    <row r="949" spans="1:9">
      <c r="A949">
        <v>948</v>
      </c>
      <c r="B949">
        <v>7</v>
      </c>
      <c r="C949">
        <v>5000</v>
      </c>
      <c r="D949">
        <v>5161</v>
      </c>
      <c r="E949" s="5">
        <f t="shared" si="57"/>
        <v>161</v>
      </c>
      <c r="F949" s="5">
        <f t="shared" si="58"/>
        <v>25921</v>
      </c>
      <c r="G949" s="6">
        <f>SQRT(SUM($F$2:F949)/A949)</f>
        <v>1155.9857790249916</v>
      </c>
      <c r="H949" s="5">
        <f t="shared" si="59"/>
        <v>1</v>
      </c>
      <c r="I949" s="5">
        <f t="shared" si="60"/>
        <v>1</v>
      </c>
    </row>
    <row r="950" spans="1:9">
      <c r="A950">
        <v>949</v>
      </c>
      <c r="B950">
        <v>7</v>
      </c>
      <c r="C950">
        <v>5000</v>
      </c>
      <c r="D950">
        <v>5127</v>
      </c>
      <c r="E950" s="5">
        <f t="shared" si="57"/>
        <v>127</v>
      </c>
      <c r="F950" s="5">
        <f t="shared" si="58"/>
        <v>16129</v>
      </c>
      <c r="G950" s="6">
        <f>SQRT(SUM($F$2:F950)/A950)</f>
        <v>1155.3839188771842</v>
      </c>
      <c r="H950" s="5">
        <f t="shared" si="59"/>
        <v>1</v>
      </c>
      <c r="I950" s="5">
        <f t="shared" si="60"/>
        <v>1</v>
      </c>
    </row>
    <row r="951" spans="1:9">
      <c r="A951">
        <v>950</v>
      </c>
      <c r="B951">
        <v>7</v>
      </c>
      <c r="C951">
        <v>5000</v>
      </c>
      <c r="D951">
        <v>5526</v>
      </c>
      <c r="E951" s="5">
        <f t="shared" si="57"/>
        <v>526</v>
      </c>
      <c r="F951" s="5">
        <f t="shared" si="58"/>
        <v>276676</v>
      </c>
      <c r="G951" s="6">
        <f>SQRT(SUM($F$2:F951)/A951)</f>
        <v>1154.9017565872957</v>
      </c>
      <c r="H951" s="5">
        <f t="shared" si="59"/>
        <v>1</v>
      </c>
      <c r="I951" s="5">
        <f t="shared" si="60"/>
        <v>0</v>
      </c>
    </row>
    <row r="952" spans="1:9">
      <c r="A952">
        <v>951</v>
      </c>
      <c r="B952">
        <v>7</v>
      </c>
      <c r="C952">
        <v>5000</v>
      </c>
      <c r="D952">
        <v>4956</v>
      </c>
      <c r="E952" s="5">
        <f t="shared" si="57"/>
        <v>44</v>
      </c>
      <c r="F952" s="5">
        <f t="shared" si="58"/>
        <v>1936</v>
      </c>
      <c r="G952" s="6">
        <f>SQRT(SUM($F$2:F952)/A952)</f>
        <v>1154.2952748292635</v>
      </c>
      <c r="H952" s="5">
        <f t="shared" si="59"/>
        <v>1</v>
      </c>
      <c r="I952" s="5">
        <f t="shared" si="60"/>
        <v>1</v>
      </c>
    </row>
    <row r="953" spans="1:9">
      <c r="A953">
        <v>952</v>
      </c>
      <c r="B953">
        <v>7</v>
      </c>
      <c r="C953">
        <v>5000</v>
      </c>
      <c r="D953">
        <v>4844</v>
      </c>
      <c r="E953" s="5">
        <f t="shared" si="57"/>
        <v>156</v>
      </c>
      <c r="F953" s="5">
        <f t="shared" si="58"/>
        <v>24336</v>
      </c>
      <c r="G953" s="6">
        <f>SQRT(SUM($F$2:F953)/A953)</f>
        <v>1153.6999467915784</v>
      </c>
      <c r="H953" s="5">
        <f t="shared" si="59"/>
        <v>1</v>
      </c>
      <c r="I953" s="5">
        <f t="shared" si="60"/>
        <v>1</v>
      </c>
    </row>
    <row r="954" spans="1:9">
      <c r="A954">
        <v>953</v>
      </c>
      <c r="B954">
        <v>7</v>
      </c>
      <c r="C954">
        <v>5000</v>
      </c>
      <c r="D954">
        <v>5450</v>
      </c>
      <c r="E954" s="5">
        <f t="shared" si="57"/>
        <v>450</v>
      </c>
      <c r="F954" s="5">
        <f t="shared" si="58"/>
        <v>202500</v>
      </c>
      <c r="G954" s="6">
        <f>SQRT(SUM($F$2:F954)/A954)</f>
        <v>1153.1866228838769</v>
      </c>
      <c r="H954" s="5">
        <f t="shared" si="59"/>
        <v>1</v>
      </c>
      <c r="I954" s="5">
        <f t="shared" si="60"/>
        <v>1</v>
      </c>
    </row>
    <row r="955" spans="1:9">
      <c r="A955">
        <v>954</v>
      </c>
      <c r="B955">
        <v>7</v>
      </c>
      <c r="C955">
        <v>5000</v>
      </c>
      <c r="D955">
        <v>3128</v>
      </c>
      <c r="E955" s="5">
        <f t="shared" si="57"/>
        <v>1872</v>
      </c>
      <c r="F955" s="5">
        <f t="shared" si="58"/>
        <v>3504384</v>
      </c>
      <c r="G955" s="6">
        <f>SQRT(SUM($F$2:F955)/A955)</f>
        <v>1154.1745032996898</v>
      </c>
      <c r="H955" s="5">
        <f t="shared" si="59"/>
        <v>0</v>
      </c>
      <c r="I955" s="5">
        <f t="shared" si="60"/>
        <v>0</v>
      </c>
    </row>
    <row r="956" spans="1:9">
      <c r="A956">
        <v>955</v>
      </c>
      <c r="B956">
        <v>9</v>
      </c>
      <c r="C956">
        <v>5000</v>
      </c>
      <c r="D956">
        <v>2621</v>
      </c>
      <c r="E956" s="5">
        <f t="shared" si="57"/>
        <v>2379</v>
      </c>
      <c r="F956" s="5">
        <f t="shared" si="58"/>
        <v>5659641</v>
      </c>
      <c r="G956" s="6">
        <f>SQRT(SUM($F$2:F956)/A956)</f>
        <v>1156.1359007237895</v>
      </c>
      <c r="H956" s="5">
        <f t="shared" si="59"/>
        <v>0</v>
      </c>
      <c r="I956" s="5">
        <f t="shared" si="60"/>
        <v>0</v>
      </c>
    </row>
    <row r="957" spans="1:9">
      <c r="A957">
        <v>956</v>
      </c>
      <c r="B957">
        <v>10</v>
      </c>
      <c r="C957">
        <v>5000</v>
      </c>
      <c r="D957">
        <v>2162</v>
      </c>
      <c r="E957" s="5">
        <f t="shared" si="57"/>
        <v>2838</v>
      </c>
      <c r="F957" s="5">
        <f t="shared" si="58"/>
        <v>8054244</v>
      </c>
      <c r="G957" s="6">
        <f>SQRT(SUM($F$2:F957)/A957)</f>
        <v>1159.1708211811683</v>
      </c>
      <c r="H957" s="5">
        <f t="shared" si="59"/>
        <v>0</v>
      </c>
      <c r="I957" s="5">
        <f t="shared" si="60"/>
        <v>0</v>
      </c>
    </row>
    <row r="958" spans="1:9">
      <c r="A958">
        <v>957</v>
      </c>
      <c r="B958">
        <v>11</v>
      </c>
      <c r="C958">
        <v>5000</v>
      </c>
      <c r="D958">
        <v>3712</v>
      </c>
      <c r="E958" s="5">
        <f t="shared" si="57"/>
        <v>1288</v>
      </c>
      <c r="F958" s="5">
        <f t="shared" si="58"/>
        <v>1658944</v>
      </c>
      <c r="G958" s="6">
        <f>SQRT(SUM($F$2:F958)/A958)</f>
        <v>1159.3129108602891</v>
      </c>
      <c r="H958" s="5">
        <f t="shared" si="59"/>
        <v>0</v>
      </c>
      <c r="I958" s="5">
        <f t="shared" si="60"/>
        <v>0</v>
      </c>
    </row>
    <row r="959" spans="1:9">
      <c r="A959">
        <v>958</v>
      </c>
      <c r="B959">
        <v>10</v>
      </c>
      <c r="C959">
        <v>5000</v>
      </c>
      <c r="D959">
        <v>5213</v>
      </c>
      <c r="E959" s="5">
        <f t="shared" si="57"/>
        <v>213</v>
      </c>
      <c r="F959" s="5">
        <f t="shared" si="58"/>
        <v>45369</v>
      </c>
      <c r="G959" s="6">
        <f>SQRT(SUM($F$2:F959)/A959)</f>
        <v>1158.7281190435542</v>
      </c>
      <c r="H959" s="5">
        <f t="shared" si="59"/>
        <v>1</v>
      </c>
      <c r="I959" s="5">
        <f t="shared" si="60"/>
        <v>1</v>
      </c>
    </row>
    <row r="960" spans="1:9">
      <c r="A960">
        <v>959</v>
      </c>
      <c r="B960">
        <v>9</v>
      </c>
      <c r="C960">
        <v>5000</v>
      </c>
      <c r="D960">
        <v>5019</v>
      </c>
      <c r="E960" s="5">
        <f t="shared" si="57"/>
        <v>19</v>
      </c>
      <c r="F960" s="5">
        <f t="shared" si="58"/>
        <v>361</v>
      </c>
      <c r="G960" s="6">
        <f>SQRT(SUM($F$2:F960)/A960)</f>
        <v>1158.1239904552481</v>
      </c>
      <c r="H960" s="5">
        <f t="shared" si="59"/>
        <v>1</v>
      </c>
      <c r="I960" s="5">
        <f t="shared" si="60"/>
        <v>1</v>
      </c>
    </row>
    <row r="961" spans="1:9">
      <c r="A961">
        <v>960</v>
      </c>
      <c r="B961">
        <v>9</v>
      </c>
      <c r="C961">
        <v>5000</v>
      </c>
      <c r="D961">
        <v>5161</v>
      </c>
      <c r="E961" s="5">
        <f t="shared" si="57"/>
        <v>161</v>
      </c>
      <c r="F961" s="5">
        <f t="shared" si="58"/>
        <v>25921</v>
      </c>
      <c r="G961" s="6">
        <f>SQRT(SUM($F$2:F961)/A961)</f>
        <v>1157.5323069645472</v>
      </c>
      <c r="H961" s="5">
        <f t="shared" si="59"/>
        <v>1</v>
      </c>
      <c r="I961" s="5">
        <f t="shared" si="60"/>
        <v>1</v>
      </c>
    </row>
    <row r="962" spans="1:9">
      <c r="A962">
        <v>961</v>
      </c>
      <c r="B962">
        <v>9</v>
      </c>
      <c r="C962">
        <v>5000</v>
      </c>
      <c r="D962">
        <v>5477</v>
      </c>
      <c r="E962" s="5">
        <f t="shared" si="57"/>
        <v>477</v>
      </c>
      <c r="F962" s="5">
        <f t="shared" si="58"/>
        <v>227529</v>
      </c>
      <c r="G962" s="6">
        <f>SQRT(SUM($F$2:F962)/A962)</f>
        <v>1157.0322153451536</v>
      </c>
      <c r="H962" s="5">
        <f t="shared" si="59"/>
        <v>1</v>
      </c>
      <c r="I962" s="5">
        <f t="shared" si="60"/>
        <v>1</v>
      </c>
    </row>
    <row r="963" spans="1:9">
      <c r="A963">
        <v>962</v>
      </c>
      <c r="B963">
        <v>8</v>
      </c>
      <c r="C963">
        <v>5000</v>
      </c>
      <c r="D963">
        <v>4995</v>
      </c>
      <c r="E963" s="5">
        <f t="shared" ref="E963:E1001" si="61">ABS(C963-D963)</f>
        <v>5</v>
      </c>
      <c r="F963" s="5">
        <f t="shared" ref="F963:F1001" si="62">POWER(E963,2)</f>
        <v>25</v>
      </c>
      <c r="G963" s="6">
        <f>SQRT(SUM($F$2:F963)/A963)</f>
        <v>1156.4307021239833</v>
      </c>
      <c r="H963" s="5">
        <f t="shared" ref="H963:H1001" si="63">IF(ABS(E963)/C963&gt;0.2,0,1)</f>
        <v>1</v>
      </c>
      <c r="I963" s="5">
        <f t="shared" ref="I963:I1001" si="64">IF(ABS(E963)/C963&gt;0.1,0,1)</f>
        <v>1</v>
      </c>
    </row>
    <row r="964" spans="1:9">
      <c r="A964">
        <v>963</v>
      </c>
      <c r="B964">
        <v>9</v>
      </c>
      <c r="C964">
        <v>5000</v>
      </c>
      <c r="D964">
        <v>5297</v>
      </c>
      <c r="E964" s="5">
        <f t="shared" si="61"/>
        <v>297</v>
      </c>
      <c r="F964" s="5">
        <f t="shared" si="62"/>
        <v>88209</v>
      </c>
      <c r="G964" s="6">
        <f>SQRT(SUM($F$2:F964)/A964)</f>
        <v>1155.8697385709745</v>
      </c>
      <c r="H964" s="5">
        <f t="shared" si="63"/>
        <v>1</v>
      </c>
      <c r="I964" s="5">
        <f t="shared" si="64"/>
        <v>1</v>
      </c>
    </row>
    <row r="965" spans="1:9">
      <c r="A965">
        <v>964</v>
      </c>
      <c r="B965">
        <v>9</v>
      </c>
      <c r="C965">
        <v>5000</v>
      </c>
      <c r="D965">
        <v>5550</v>
      </c>
      <c r="E965" s="5">
        <f t="shared" si="61"/>
        <v>550</v>
      </c>
      <c r="F965" s="5">
        <f t="shared" si="62"/>
        <v>302500</v>
      </c>
      <c r="G965" s="6">
        <f>SQRT(SUM($F$2:F965)/A965)</f>
        <v>1155.4058684957233</v>
      </c>
      <c r="H965" s="5">
        <f t="shared" si="63"/>
        <v>1</v>
      </c>
      <c r="I965" s="5">
        <f t="shared" si="64"/>
        <v>0</v>
      </c>
    </row>
    <row r="966" spans="1:9">
      <c r="A966">
        <v>965</v>
      </c>
      <c r="B966">
        <v>8</v>
      </c>
      <c r="C966">
        <v>5000</v>
      </c>
      <c r="D966">
        <v>4790</v>
      </c>
      <c r="E966" s="5">
        <f t="shared" si="61"/>
        <v>210</v>
      </c>
      <c r="F966" s="5">
        <f t="shared" si="62"/>
        <v>44100</v>
      </c>
      <c r="G966" s="6">
        <f>SQRT(SUM($F$2:F966)/A966)</f>
        <v>1154.8268438940265</v>
      </c>
      <c r="H966" s="5">
        <f t="shared" si="63"/>
        <v>1</v>
      </c>
      <c r="I966" s="5">
        <f t="shared" si="64"/>
        <v>1</v>
      </c>
    </row>
    <row r="967" spans="1:9">
      <c r="A967">
        <v>966</v>
      </c>
      <c r="B967">
        <v>9</v>
      </c>
      <c r="C967">
        <v>5000</v>
      </c>
      <c r="D967">
        <v>5639</v>
      </c>
      <c r="E967" s="5">
        <f t="shared" si="61"/>
        <v>639</v>
      </c>
      <c r="F967" s="5">
        <f t="shared" si="62"/>
        <v>408321</v>
      </c>
      <c r="G967" s="6">
        <f>SQRT(SUM($F$2:F967)/A967)</f>
        <v>1154.412044160084</v>
      </c>
      <c r="H967" s="5">
        <f t="shared" si="63"/>
        <v>1</v>
      </c>
      <c r="I967" s="5">
        <f t="shared" si="64"/>
        <v>0</v>
      </c>
    </row>
    <row r="968" spans="1:9">
      <c r="A968">
        <v>967</v>
      </c>
      <c r="B968">
        <v>8</v>
      </c>
      <c r="C968">
        <v>5000</v>
      </c>
      <c r="D968">
        <v>5501</v>
      </c>
      <c r="E968" s="5">
        <f t="shared" si="61"/>
        <v>501</v>
      </c>
      <c r="F968" s="5">
        <f t="shared" si="62"/>
        <v>251001</v>
      </c>
      <c r="G968" s="6">
        <f>SQRT(SUM($F$2:F968)/A968)</f>
        <v>1153.9274623726515</v>
      </c>
      <c r="H968" s="5">
        <f t="shared" si="63"/>
        <v>1</v>
      </c>
      <c r="I968" s="5">
        <f t="shared" si="64"/>
        <v>0</v>
      </c>
    </row>
    <row r="969" spans="1:9">
      <c r="A969">
        <v>968</v>
      </c>
      <c r="B969">
        <v>8</v>
      </c>
      <c r="C969">
        <v>5000</v>
      </c>
      <c r="D969">
        <v>6101</v>
      </c>
      <c r="E969" s="5">
        <f t="shared" si="61"/>
        <v>1101</v>
      </c>
      <c r="F969" s="5">
        <f t="shared" si="62"/>
        <v>1212201</v>
      </c>
      <c r="G969" s="6">
        <f>SQRT(SUM($F$2:F969)/A969)</f>
        <v>1153.8740379497865</v>
      </c>
      <c r="H969" s="5">
        <f t="shared" si="63"/>
        <v>0</v>
      </c>
      <c r="I969" s="5">
        <f t="shared" si="64"/>
        <v>0</v>
      </c>
    </row>
    <row r="970" spans="1:9">
      <c r="A970">
        <v>969</v>
      </c>
      <c r="B970">
        <v>7</v>
      </c>
      <c r="C970">
        <v>5000</v>
      </c>
      <c r="D970">
        <v>5007</v>
      </c>
      <c r="E970" s="5">
        <f t="shared" si="61"/>
        <v>7</v>
      </c>
      <c r="F970" s="5">
        <f t="shared" si="62"/>
        <v>49</v>
      </c>
      <c r="G970" s="6">
        <f>SQRT(SUM($F$2:F970)/A970)</f>
        <v>1153.27851194297</v>
      </c>
      <c r="H970" s="5">
        <f t="shared" si="63"/>
        <v>1</v>
      </c>
      <c r="I970" s="5">
        <f t="shared" si="64"/>
        <v>1</v>
      </c>
    </row>
    <row r="971" spans="1:9">
      <c r="A971">
        <v>970</v>
      </c>
      <c r="B971">
        <v>8</v>
      </c>
      <c r="C971">
        <v>5000</v>
      </c>
      <c r="D971">
        <v>4837</v>
      </c>
      <c r="E971" s="5">
        <f t="shared" si="61"/>
        <v>163</v>
      </c>
      <c r="F971" s="5">
        <f t="shared" si="62"/>
        <v>26569</v>
      </c>
      <c r="G971" s="6">
        <f>SQRT(SUM($F$2:F971)/A971)</f>
        <v>1152.6957664088593</v>
      </c>
      <c r="H971" s="5">
        <f t="shared" si="63"/>
        <v>1</v>
      </c>
      <c r="I971" s="5">
        <f t="shared" si="64"/>
        <v>1</v>
      </c>
    </row>
    <row r="972" spans="1:9">
      <c r="A972">
        <v>971</v>
      </c>
      <c r="B972">
        <v>8</v>
      </c>
      <c r="C972">
        <v>5000</v>
      </c>
      <c r="D972">
        <v>5352</v>
      </c>
      <c r="E972" s="5">
        <f t="shared" si="61"/>
        <v>352</v>
      </c>
      <c r="F972" s="5">
        <f t="shared" si="62"/>
        <v>123904</v>
      </c>
      <c r="G972" s="6">
        <f>SQRT(SUM($F$2:F972)/A972)</f>
        <v>1152.1574300256614</v>
      </c>
      <c r="H972" s="5">
        <f t="shared" si="63"/>
        <v>1</v>
      </c>
      <c r="I972" s="5">
        <f t="shared" si="64"/>
        <v>1</v>
      </c>
    </row>
    <row r="973" spans="1:9">
      <c r="A973">
        <v>972</v>
      </c>
      <c r="B973">
        <v>8</v>
      </c>
      <c r="C973">
        <v>5000</v>
      </c>
      <c r="D973">
        <v>4926</v>
      </c>
      <c r="E973" s="5">
        <f t="shared" si="61"/>
        <v>74</v>
      </c>
      <c r="F973" s="5">
        <f t="shared" si="62"/>
        <v>5476</v>
      </c>
      <c r="G973" s="6">
        <f>SQRT(SUM($F$2:F973)/A973)</f>
        <v>1151.5670500591327</v>
      </c>
      <c r="H973" s="5">
        <f t="shared" si="63"/>
        <v>1</v>
      </c>
      <c r="I973" s="5">
        <f t="shared" si="64"/>
        <v>1</v>
      </c>
    </row>
    <row r="974" spans="1:9">
      <c r="A974">
        <v>973</v>
      </c>
      <c r="B974">
        <v>8</v>
      </c>
      <c r="C974">
        <v>5000</v>
      </c>
      <c r="D974">
        <v>4249</v>
      </c>
      <c r="E974" s="5">
        <f t="shared" si="61"/>
        <v>751</v>
      </c>
      <c r="F974" s="5">
        <f t="shared" si="62"/>
        <v>564001</v>
      </c>
      <c r="G974" s="6">
        <f>SQRT(SUM($F$2:F974)/A974)</f>
        <v>1151.2269182338412</v>
      </c>
      <c r="H974" s="5">
        <f t="shared" si="63"/>
        <v>1</v>
      </c>
      <c r="I974" s="5">
        <f t="shared" si="64"/>
        <v>0</v>
      </c>
    </row>
    <row r="975" spans="1:9">
      <c r="A975">
        <v>974</v>
      </c>
      <c r="B975">
        <v>9</v>
      </c>
      <c r="C975">
        <v>5000</v>
      </c>
      <c r="D975">
        <v>5827</v>
      </c>
      <c r="E975" s="5">
        <f t="shared" si="61"/>
        <v>827</v>
      </c>
      <c r="F975" s="5">
        <f t="shared" si="62"/>
        <v>683929</v>
      </c>
      <c r="G975" s="6">
        <f>SQRT(SUM($F$2:F975)/A975)</f>
        <v>1150.9408766037341</v>
      </c>
      <c r="H975" s="5">
        <f t="shared" si="63"/>
        <v>1</v>
      </c>
      <c r="I975" s="5">
        <f t="shared" si="64"/>
        <v>0</v>
      </c>
    </row>
    <row r="976" spans="1:9">
      <c r="A976">
        <v>975</v>
      </c>
      <c r="B976">
        <v>7</v>
      </c>
      <c r="C976">
        <v>5000</v>
      </c>
      <c r="D976">
        <v>4218</v>
      </c>
      <c r="E976" s="5">
        <f t="shared" si="61"/>
        <v>782</v>
      </c>
      <c r="F976" s="5">
        <f t="shared" si="62"/>
        <v>611524</v>
      </c>
      <c r="G976" s="6">
        <f>SQRT(SUM($F$2:F976)/A976)</f>
        <v>1150.6230811485552</v>
      </c>
      <c r="H976" s="5">
        <f t="shared" si="63"/>
        <v>1</v>
      </c>
      <c r="I976" s="5">
        <f t="shared" si="64"/>
        <v>0</v>
      </c>
    </row>
    <row r="977" spans="1:9">
      <c r="A977">
        <v>976</v>
      </c>
      <c r="B977">
        <v>9</v>
      </c>
      <c r="C977">
        <v>5000</v>
      </c>
      <c r="D977">
        <v>5836</v>
      </c>
      <c r="E977" s="5">
        <f t="shared" si="61"/>
        <v>836</v>
      </c>
      <c r="F977" s="5">
        <f t="shared" si="62"/>
        <v>698896</v>
      </c>
      <c r="G977" s="6">
        <f>SQRT(SUM($F$2:F977)/A977)</f>
        <v>1150.3447603318541</v>
      </c>
      <c r="H977" s="5">
        <f t="shared" si="63"/>
        <v>1</v>
      </c>
      <c r="I977" s="5">
        <f t="shared" si="64"/>
        <v>0</v>
      </c>
    </row>
    <row r="978" spans="1:9">
      <c r="A978">
        <v>977</v>
      </c>
      <c r="B978">
        <v>7</v>
      </c>
      <c r="C978">
        <v>5000</v>
      </c>
      <c r="D978">
        <v>4264</v>
      </c>
      <c r="E978" s="5">
        <f t="shared" si="61"/>
        <v>736</v>
      </c>
      <c r="F978" s="5">
        <f t="shared" si="62"/>
        <v>541696</v>
      </c>
      <c r="G978" s="6">
        <f>SQRT(SUM($F$2:F978)/A978)</f>
        <v>1149.9969872240363</v>
      </c>
      <c r="H978" s="5">
        <f t="shared" si="63"/>
        <v>1</v>
      </c>
      <c r="I978" s="5">
        <f t="shared" si="64"/>
        <v>0</v>
      </c>
    </row>
    <row r="979" spans="1:9">
      <c r="A979">
        <v>978</v>
      </c>
      <c r="B979">
        <v>9</v>
      </c>
      <c r="C979">
        <v>5000</v>
      </c>
      <c r="D979">
        <v>6766</v>
      </c>
      <c r="E979" s="5">
        <f t="shared" si="61"/>
        <v>1766</v>
      </c>
      <c r="F979" s="5">
        <f t="shared" si="62"/>
        <v>3118756</v>
      </c>
      <c r="G979" s="6">
        <f>SQRT(SUM($F$2:F979)/A979)</f>
        <v>1150.7952642787068</v>
      </c>
      <c r="H979" s="5">
        <f t="shared" si="63"/>
        <v>0</v>
      </c>
      <c r="I979" s="5">
        <f t="shared" si="64"/>
        <v>0</v>
      </c>
    </row>
    <row r="980" spans="1:9">
      <c r="A980">
        <v>979</v>
      </c>
      <c r="B980">
        <v>6</v>
      </c>
      <c r="C980">
        <v>5000</v>
      </c>
      <c r="D980">
        <v>5132</v>
      </c>
      <c r="E980" s="5">
        <f t="shared" si="61"/>
        <v>132</v>
      </c>
      <c r="F980" s="5">
        <f t="shared" si="62"/>
        <v>17424</v>
      </c>
      <c r="G980" s="6">
        <f>SQRT(SUM($F$2:F980)/A980)</f>
        <v>1150.2151106715476</v>
      </c>
      <c r="H980" s="5">
        <f t="shared" si="63"/>
        <v>1</v>
      </c>
      <c r="I980" s="5">
        <f t="shared" si="64"/>
        <v>1</v>
      </c>
    </row>
    <row r="981" spans="1:9">
      <c r="A981">
        <v>980</v>
      </c>
      <c r="B981">
        <v>8</v>
      </c>
      <c r="C981">
        <v>5000</v>
      </c>
      <c r="D981">
        <v>6916</v>
      </c>
      <c r="E981" s="5">
        <f t="shared" si="61"/>
        <v>1916</v>
      </c>
      <c r="F981" s="5">
        <f t="shared" si="62"/>
        <v>3671056</v>
      </c>
      <c r="G981" s="6">
        <f>SQRT(SUM($F$2:F981)/A981)</f>
        <v>1151.2561755025042</v>
      </c>
      <c r="H981" s="5">
        <f t="shared" si="63"/>
        <v>0</v>
      </c>
      <c r="I981" s="5">
        <f t="shared" si="64"/>
        <v>0</v>
      </c>
    </row>
    <row r="982" spans="1:9">
      <c r="A982">
        <v>981</v>
      </c>
      <c r="B982">
        <v>6</v>
      </c>
      <c r="C982">
        <v>5000</v>
      </c>
      <c r="D982">
        <v>4510</v>
      </c>
      <c r="E982" s="5">
        <f t="shared" si="61"/>
        <v>490</v>
      </c>
      <c r="F982" s="5">
        <f t="shared" si="62"/>
        <v>240100</v>
      </c>
      <c r="G982" s="6">
        <f>SQRT(SUM($F$2:F982)/A982)</f>
        <v>1150.7755953912181</v>
      </c>
      <c r="H982" s="5">
        <f t="shared" si="63"/>
        <v>1</v>
      </c>
      <c r="I982" s="5">
        <f t="shared" si="64"/>
        <v>1</v>
      </c>
    </row>
    <row r="983" spans="1:9">
      <c r="A983">
        <v>982</v>
      </c>
      <c r="B983">
        <v>8</v>
      </c>
      <c r="C983">
        <v>5000</v>
      </c>
      <c r="D983">
        <v>6176</v>
      </c>
      <c r="E983" s="5">
        <f t="shared" si="61"/>
        <v>1176</v>
      </c>
      <c r="F983" s="5">
        <f t="shared" si="62"/>
        <v>1382976</v>
      </c>
      <c r="G983" s="6">
        <f>SQRT(SUM($F$2:F983)/A983)</f>
        <v>1150.8015633849329</v>
      </c>
      <c r="H983" s="5">
        <f t="shared" si="63"/>
        <v>0</v>
      </c>
      <c r="I983" s="5">
        <f t="shared" si="64"/>
        <v>0</v>
      </c>
    </row>
    <row r="984" spans="1:9">
      <c r="A984">
        <v>983</v>
      </c>
      <c r="B984">
        <v>6</v>
      </c>
      <c r="C984">
        <v>5000</v>
      </c>
      <c r="D984">
        <v>4221</v>
      </c>
      <c r="E984" s="5">
        <f t="shared" si="61"/>
        <v>779</v>
      </c>
      <c r="F984" s="5">
        <f t="shared" si="62"/>
        <v>606841</v>
      </c>
      <c r="G984" s="6">
        <f>SQRT(SUM($F$2:F984)/A984)</f>
        <v>1150.4843877912353</v>
      </c>
      <c r="H984" s="5">
        <f t="shared" si="63"/>
        <v>1</v>
      </c>
      <c r="I984" s="5">
        <f t="shared" si="64"/>
        <v>0</v>
      </c>
    </row>
    <row r="985" spans="1:9">
      <c r="A985">
        <v>984</v>
      </c>
      <c r="B985">
        <v>8</v>
      </c>
      <c r="C985">
        <v>5000</v>
      </c>
      <c r="D985">
        <v>5293</v>
      </c>
      <c r="E985" s="5">
        <f t="shared" si="61"/>
        <v>293</v>
      </c>
      <c r="F985" s="5">
        <f t="shared" si="62"/>
        <v>85849</v>
      </c>
      <c r="G985" s="6">
        <f>SQRT(SUM($F$2:F985)/A985)</f>
        <v>1149.9375787230147</v>
      </c>
      <c r="H985" s="5">
        <f t="shared" si="63"/>
        <v>1</v>
      </c>
      <c r="I985" s="5">
        <f t="shared" si="64"/>
        <v>1</v>
      </c>
    </row>
    <row r="986" spans="1:9">
      <c r="A986">
        <v>985</v>
      </c>
      <c r="B986">
        <v>7</v>
      </c>
      <c r="C986">
        <v>5000</v>
      </c>
      <c r="D986">
        <v>5448</v>
      </c>
      <c r="E986" s="5">
        <f t="shared" si="61"/>
        <v>448</v>
      </c>
      <c r="F986" s="5">
        <f t="shared" si="62"/>
        <v>200704</v>
      </c>
      <c r="G986" s="6">
        <f>SQRT(SUM($F$2:F986)/A986)</f>
        <v>1149.4423437140476</v>
      </c>
      <c r="H986" s="5">
        <f t="shared" si="63"/>
        <v>1</v>
      </c>
      <c r="I986" s="5">
        <f t="shared" si="64"/>
        <v>1</v>
      </c>
    </row>
    <row r="987" spans="1:9">
      <c r="A987">
        <v>986</v>
      </c>
      <c r="B987">
        <v>7</v>
      </c>
      <c r="C987">
        <v>5000</v>
      </c>
      <c r="D987">
        <v>6029</v>
      </c>
      <c r="E987" s="5">
        <f t="shared" si="61"/>
        <v>1029</v>
      </c>
      <c r="F987" s="5">
        <f t="shared" si="62"/>
        <v>1058841</v>
      </c>
      <c r="G987" s="6">
        <f>SQRT(SUM($F$2:F987)/A987)</f>
        <v>1149.3265851756325</v>
      </c>
      <c r="H987" s="5">
        <f t="shared" si="63"/>
        <v>0</v>
      </c>
      <c r="I987" s="5">
        <f t="shared" si="64"/>
        <v>0</v>
      </c>
    </row>
    <row r="988" spans="1:9">
      <c r="A988">
        <v>987</v>
      </c>
      <c r="B988">
        <v>6</v>
      </c>
      <c r="C988">
        <v>5000</v>
      </c>
      <c r="D988">
        <v>4900</v>
      </c>
      <c r="E988" s="5">
        <f t="shared" si="61"/>
        <v>100</v>
      </c>
      <c r="F988" s="5">
        <f t="shared" si="62"/>
        <v>10000</v>
      </c>
      <c r="G988" s="6">
        <f>SQRT(SUM($F$2:F988)/A988)</f>
        <v>1148.7486152123888</v>
      </c>
      <c r="H988" s="5">
        <f t="shared" si="63"/>
        <v>1</v>
      </c>
      <c r="I988" s="5">
        <f t="shared" si="64"/>
        <v>1</v>
      </c>
    </row>
    <row r="989" spans="1:9">
      <c r="A989">
        <v>988</v>
      </c>
      <c r="B989">
        <v>7</v>
      </c>
      <c r="C989">
        <v>5000</v>
      </c>
      <c r="D989">
        <v>5561</v>
      </c>
      <c r="E989" s="5">
        <f t="shared" si="61"/>
        <v>561</v>
      </c>
      <c r="F989" s="5">
        <f t="shared" si="62"/>
        <v>314721</v>
      </c>
      <c r="G989" s="6">
        <f>SQRT(SUM($F$2:F989)/A989)</f>
        <v>1148.3058274167872</v>
      </c>
      <c r="H989" s="5">
        <f t="shared" si="63"/>
        <v>1</v>
      </c>
      <c r="I989" s="5">
        <f t="shared" si="64"/>
        <v>0</v>
      </c>
    </row>
    <row r="990" spans="1:9">
      <c r="A990">
        <v>989</v>
      </c>
      <c r="B990">
        <v>6</v>
      </c>
      <c r="C990">
        <v>5000</v>
      </c>
      <c r="D990">
        <v>4560</v>
      </c>
      <c r="E990" s="5">
        <f t="shared" si="61"/>
        <v>440</v>
      </c>
      <c r="F990" s="5">
        <f t="shared" si="62"/>
        <v>193600</v>
      </c>
      <c r="G990" s="6">
        <f>SQRT(SUM($F$2:F990)/A990)</f>
        <v>1147.8104174023122</v>
      </c>
      <c r="H990" s="5">
        <f t="shared" si="63"/>
        <v>1</v>
      </c>
      <c r="I990" s="5">
        <f t="shared" si="64"/>
        <v>1</v>
      </c>
    </row>
    <row r="991" spans="1:9">
      <c r="A991">
        <v>990</v>
      </c>
      <c r="B991">
        <v>7</v>
      </c>
      <c r="C991">
        <v>5000</v>
      </c>
      <c r="D991">
        <v>5382</v>
      </c>
      <c r="E991" s="5">
        <f t="shared" si="61"/>
        <v>382</v>
      </c>
      <c r="F991" s="5">
        <f t="shared" si="62"/>
        <v>145924</v>
      </c>
      <c r="G991" s="6">
        <f>SQRT(SUM($F$2:F991)/A991)</f>
        <v>1147.2948076922407</v>
      </c>
      <c r="H991" s="5">
        <f t="shared" si="63"/>
        <v>1</v>
      </c>
      <c r="I991" s="5">
        <f t="shared" si="64"/>
        <v>1</v>
      </c>
    </row>
    <row r="992" spans="1:9">
      <c r="A992">
        <v>991</v>
      </c>
      <c r="B992">
        <v>7</v>
      </c>
      <c r="C992">
        <v>5000</v>
      </c>
      <c r="D992">
        <v>5757</v>
      </c>
      <c r="E992" s="5">
        <f t="shared" si="61"/>
        <v>757</v>
      </c>
      <c r="F992" s="5">
        <f t="shared" si="62"/>
        <v>573049</v>
      </c>
      <c r="G992" s="6">
        <f>SQRT(SUM($F$2:F992)/A992)</f>
        <v>1146.9679112798012</v>
      </c>
      <c r="H992" s="5">
        <f t="shared" si="63"/>
        <v>1</v>
      </c>
      <c r="I992" s="5">
        <f t="shared" si="64"/>
        <v>0</v>
      </c>
    </row>
    <row r="993" spans="1:9">
      <c r="A993">
        <v>992</v>
      </c>
      <c r="B993">
        <v>6</v>
      </c>
      <c r="C993">
        <v>5000</v>
      </c>
      <c r="D993">
        <v>4150</v>
      </c>
      <c r="E993" s="5">
        <f t="shared" si="61"/>
        <v>850</v>
      </c>
      <c r="F993" s="5">
        <f t="shared" si="62"/>
        <v>722500</v>
      </c>
      <c r="G993" s="6">
        <f>SQRT(SUM($F$2:F993)/A993)</f>
        <v>1146.7072737070175</v>
      </c>
      <c r="H993" s="5">
        <f t="shared" si="63"/>
        <v>1</v>
      </c>
      <c r="I993" s="5">
        <f t="shared" si="64"/>
        <v>0</v>
      </c>
    </row>
    <row r="994" spans="1:9">
      <c r="A994">
        <v>993</v>
      </c>
      <c r="B994">
        <v>8</v>
      </c>
      <c r="C994">
        <v>5000</v>
      </c>
      <c r="D994">
        <v>5493</v>
      </c>
      <c r="E994" s="5">
        <f t="shared" si="61"/>
        <v>493</v>
      </c>
      <c r="F994" s="5">
        <f t="shared" si="62"/>
        <v>243049</v>
      </c>
      <c r="G994" s="6">
        <f>SQRT(SUM($F$2:F994)/A994)</f>
        <v>1146.2365056515246</v>
      </c>
      <c r="H994" s="5">
        <f t="shared" si="63"/>
        <v>1</v>
      </c>
      <c r="I994" s="5">
        <f t="shared" si="64"/>
        <v>1</v>
      </c>
    </row>
    <row r="995" spans="1:9">
      <c r="A995">
        <v>994</v>
      </c>
      <c r="B995">
        <v>6</v>
      </c>
      <c r="C995">
        <v>5000</v>
      </c>
      <c r="D995">
        <v>4575</v>
      </c>
      <c r="E995" s="5">
        <f t="shared" si="61"/>
        <v>425</v>
      </c>
      <c r="F995" s="5">
        <f t="shared" si="62"/>
        <v>180625</v>
      </c>
      <c r="G995" s="6">
        <f>SQRT(SUM($F$2:F995)/A995)</f>
        <v>1145.7390860575192</v>
      </c>
      <c r="H995" s="5">
        <f t="shared" si="63"/>
        <v>1</v>
      </c>
      <c r="I995" s="5">
        <f t="shared" si="64"/>
        <v>1</v>
      </c>
    </row>
    <row r="996" spans="1:9">
      <c r="A996">
        <v>995</v>
      </c>
      <c r="B996">
        <v>7</v>
      </c>
      <c r="C996">
        <v>5000</v>
      </c>
      <c r="D996">
        <v>4679</v>
      </c>
      <c r="E996" s="5">
        <f t="shared" si="61"/>
        <v>321</v>
      </c>
      <c r="F996" s="5">
        <f t="shared" si="62"/>
        <v>103041</v>
      </c>
      <c r="G996" s="6">
        <f>SQRT(SUM($F$2:F996)/A996)</f>
        <v>1145.2084078836642</v>
      </c>
      <c r="H996" s="5">
        <f t="shared" si="63"/>
        <v>1</v>
      </c>
      <c r="I996" s="5">
        <f t="shared" si="64"/>
        <v>1</v>
      </c>
    </row>
    <row r="997" spans="1:9">
      <c r="A997">
        <v>996</v>
      </c>
      <c r="B997">
        <v>7</v>
      </c>
      <c r="C997">
        <v>5000</v>
      </c>
      <c r="D997">
        <v>4460</v>
      </c>
      <c r="E997" s="5">
        <f t="shared" si="61"/>
        <v>540</v>
      </c>
      <c r="F997" s="5">
        <f t="shared" si="62"/>
        <v>291600</v>
      </c>
      <c r="G997" s="6">
        <f>SQRT(SUM($F$2:F997)/A997)</f>
        <v>1144.7612411314367</v>
      </c>
      <c r="H997" s="5">
        <f t="shared" si="63"/>
        <v>1</v>
      </c>
      <c r="I997" s="5">
        <f t="shared" si="64"/>
        <v>0</v>
      </c>
    </row>
    <row r="998" spans="1:9">
      <c r="A998">
        <v>997</v>
      </c>
      <c r="B998">
        <v>8</v>
      </c>
      <c r="C998">
        <v>5000</v>
      </c>
      <c r="D998">
        <v>4928</v>
      </c>
      <c r="E998" s="5">
        <f t="shared" si="61"/>
        <v>72</v>
      </c>
      <c r="F998" s="5">
        <f t="shared" si="62"/>
        <v>5184</v>
      </c>
      <c r="G998" s="6">
        <f>SQRT(SUM($F$2:F998)/A998)</f>
        <v>1144.1892663504998</v>
      </c>
      <c r="H998" s="5">
        <f t="shared" si="63"/>
        <v>1</v>
      </c>
      <c r="I998" s="5">
        <f t="shared" si="64"/>
        <v>1</v>
      </c>
    </row>
    <row r="999" spans="1:9">
      <c r="A999">
        <v>998</v>
      </c>
      <c r="B999">
        <v>7</v>
      </c>
      <c r="C999">
        <v>5000</v>
      </c>
      <c r="D999">
        <v>5773</v>
      </c>
      <c r="E999" s="5">
        <f t="shared" si="61"/>
        <v>773</v>
      </c>
      <c r="F999" s="5">
        <f t="shared" si="62"/>
        <v>597529</v>
      </c>
      <c r="G999" s="6">
        <f>SQRT(SUM($F$2:F999)/A999)</f>
        <v>1143.8776206491864</v>
      </c>
      <c r="H999" s="5">
        <f t="shared" si="63"/>
        <v>1</v>
      </c>
      <c r="I999" s="5">
        <f t="shared" si="64"/>
        <v>0</v>
      </c>
    </row>
    <row r="1000" spans="1:9">
      <c r="A1000">
        <v>999</v>
      </c>
      <c r="B1000">
        <v>6</v>
      </c>
      <c r="C1000">
        <v>5000</v>
      </c>
      <c r="D1000">
        <v>4301</v>
      </c>
      <c r="E1000" s="5">
        <f t="shared" si="61"/>
        <v>699</v>
      </c>
      <c r="F1000" s="5">
        <f t="shared" si="62"/>
        <v>488601</v>
      </c>
      <c r="G1000" s="6">
        <f>SQRT(SUM($F$2:F1000)/A1000)</f>
        <v>1143.5188390819519</v>
      </c>
      <c r="H1000" s="5">
        <f t="shared" si="63"/>
        <v>1</v>
      </c>
      <c r="I1000" s="5">
        <f t="shared" si="64"/>
        <v>0</v>
      </c>
    </row>
    <row r="1001" spans="1:9">
      <c r="A1001">
        <v>1000</v>
      </c>
      <c r="B1001">
        <v>8</v>
      </c>
      <c r="C1001">
        <v>5000</v>
      </c>
      <c r="D1001">
        <v>5476</v>
      </c>
      <c r="E1001" s="5">
        <f t="shared" si="61"/>
        <v>476</v>
      </c>
      <c r="F1001" s="5">
        <f t="shared" si="62"/>
        <v>226576</v>
      </c>
      <c r="G1001" s="6">
        <f>SQRT(SUM($F$2:F1001)/A1001)</f>
        <v>1143.0460515657276</v>
      </c>
      <c r="H1001" s="5">
        <f t="shared" si="63"/>
        <v>1</v>
      </c>
      <c r="I1001" s="5">
        <f t="shared" si="64"/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01"/>
  <sheetViews>
    <sheetView topLeftCell="A990" workbookViewId="0">
      <selection activeCell="E1001" sqref="E3:I1001"/>
    </sheetView>
  </sheetViews>
  <sheetFormatPr defaultRowHeight="14.5"/>
  <sheetData>
    <row r="1" spans="1:9" ht="43.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2" t="s">
        <v>11</v>
      </c>
      <c r="I1" s="2" t="s">
        <v>12</v>
      </c>
    </row>
    <row r="2" spans="1:9">
      <c r="A2" s="4">
        <v>1</v>
      </c>
      <c r="B2">
        <v>1</v>
      </c>
      <c r="C2">
        <v>5000</v>
      </c>
      <c r="D2">
        <v>3017</v>
      </c>
      <c r="E2" s="5">
        <f>ABS(C2-D2)</f>
        <v>1983</v>
      </c>
      <c r="F2" s="5">
        <f>POWER(E2,2)</f>
        <v>3932289</v>
      </c>
      <c r="G2" s="6">
        <f>SQRT(SUM($F$2:F2)/A2)</f>
        <v>1983</v>
      </c>
      <c r="H2" s="5">
        <f t="shared" ref="H2" si="0">IF(ABS(E2)/C2&gt;0.2,0,1)</f>
        <v>0</v>
      </c>
      <c r="I2" s="5">
        <f>IF(ABS(E2)/C2&gt;0.1,0,1)</f>
        <v>0</v>
      </c>
    </row>
    <row r="3" spans="1:9">
      <c r="A3">
        <f>A2+1</f>
        <v>2</v>
      </c>
      <c r="B3">
        <v>2</v>
      </c>
      <c r="C3">
        <v>5000</v>
      </c>
      <c r="D3">
        <v>1642</v>
      </c>
      <c r="E3" s="5">
        <f t="shared" ref="E3:E66" si="1">ABS(C3-D3)</f>
        <v>3358</v>
      </c>
      <c r="F3" s="5">
        <f t="shared" ref="F3:F66" si="2">POWER(E3,2)</f>
        <v>11276164</v>
      </c>
      <c r="G3" s="6">
        <f>SQRT(SUM($F$2:F3)/A3)</f>
        <v>2757.5762002164147</v>
      </c>
      <c r="H3" s="5">
        <f t="shared" ref="H3:H66" si="3">IF(ABS(E3)/C3&gt;0.2,0,1)</f>
        <v>0</v>
      </c>
      <c r="I3" s="5">
        <f t="shared" ref="I3:I66" si="4">IF(ABS(E3)/C3&gt;0.1,0,1)</f>
        <v>0</v>
      </c>
    </row>
    <row r="4" spans="1:9">
      <c r="A4">
        <f t="shared" ref="A4:A67" si="5">A3+1</f>
        <v>3</v>
      </c>
      <c r="B4">
        <v>5</v>
      </c>
      <c r="C4">
        <v>5000</v>
      </c>
      <c r="D4">
        <v>3324</v>
      </c>
      <c r="E4" s="5">
        <f t="shared" si="1"/>
        <v>1676</v>
      </c>
      <c r="F4" s="5">
        <f t="shared" si="2"/>
        <v>2808976</v>
      </c>
      <c r="G4" s="6">
        <f>SQRT(SUM($F$2:F4)/A4)</f>
        <v>2450.6753490959727</v>
      </c>
      <c r="H4" s="5">
        <f t="shared" si="3"/>
        <v>0</v>
      </c>
      <c r="I4" s="5">
        <f t="shared" si="4"/>
        <v>0</v>
      </c>
    </row>
    <row r="5" spans="1:9">
      <c r="A5">
        <f t="shared" si="5"/>
        <v>4</v>
      </c>
      <c r="B5">
        <v>4</v>
      </c>
      <c r="C5">
        <v>5000</v>
      </c>
      <c r="D5">
        <v>3161</v>
      </c>
      <c r="E5" s="5">
        <f t="shared" si="1"/>
        <v>1839</v>
      </c>
      <c r="F5" s="5">
        <f t="shared" si="2"/>
        <v>3381921</v>
      </c>
      <c r="G5" s="6">
        <f>SQRT(SUM($F$2:F5)/A5)</f>
        <v>2312.9715735391128</v>
      </c>
      <c r="H5" s="5">
        <f t="shared" si="3"/>
        <v>0</v>
      </c>
      <c r="I5" s="5">
        <f t="shared" si="4"/>
        <v>0</v>
      </c>
    </row>
    <row r="6" spans="1:9">
      <c r="A6">
        <f t="shared" si="5"/>
        <v>5</v>
      </c>
      <c r="B6">
        <v>4</v>
      </c>
      <c r="C6">
        <v>5000</v>
      </c>
      <c r="D6">
        <v>2446</v>
      </c>
      <c r="E6" s="5">
        <f t="shared" si="1"/>
        <v>2554</v>
      </c>
      <c r="F6" s="5">
        <f t="shared" si="2"/>
        <v>6522916</v>
      </c>
      <c r="G6" s="6">
        <f>SQRT(SUM($F$2:F6)/A6)</f>
        <v>2363.1447691582503</v>
      </c>
      <c r="H6" s="5">
        <f t="shared" si="3"/>
        <v>0</v>
      </c>
      <c r="I6" s="5">
        <f t="shared" si="4"/>
        <v>0</v>
      </c>
    </row>
    <row r="7" spans="1:9">
      <c r="A7">
        <f t="shared" si="5"/>
        <v>6</v>
      </c>
      <c r="B7">
        <v>6</v>
      </c>
      <c r="C7">
        <v>5000</v>
      </c>
      <c r="D7">
        <v>4069</v>
      </c>
      <c r="E7" s="5">
        <f t="shared" si="1"/>
        <v>931</v>
      </c>
      <c r="F7" s="5">
        <f t="shared" si="2"/>
        <v>866761</v>
      </c>
      <c r="G7" s="6">
        <f>SQRT(SUM($F$2:F7)/A7)</f>
        <v>2190.4728180615862</v>
      </c>
      <c r="H7" s="5">
        <f t="shared" si="3"/>
        <v>1</v>
      </c>
      <c r="I7" s="5">
        <f t="shared" si="4"/>
        <v>0</v>
      </c>
    </row>
    <row r="8" spans="1:9">
      <c r="A8">
        <f t="shared" si="5"/>
        <v>7</v>
      </c>
      <c r="B8">
        <v>4</v>
      </c>
      <c r="C8">
        <v>5000</v>
      </c>
      <c r="D8">
        <v>3330</v>
      </c>
      <c r="E8" s="5">
        <f t="shared" si="1"/>
        <v>1670</v>
      </c>
      <c r="F8" s="5">
        <f t="shared" si="2"/>
        <v>2788900</v>
      </c>
      <c r="G8" s="6">
        <f>SQRT(SUM($F$2:F8)/A8)</f>
        <v>2123.9426613191395</v>
      </c>
      <c r="H8" s="5">
        <f t="shared" si="3"/>
        <v>0</v>
      </c>
      <c r="I8" s="5">
        <f t="shared" si="4"/>
        <v>0</v>
      </c>
    </row>
    <row r="9" spans="1:9">
      <c r="A9">
        <f t="shared" si="5"/>
        <v>8</v>
      </c>
      <c r="B9">
        <v>6</v>
      </c>
      <c r="C9">
        <v>5000</v>
      </c>
      <c r="D9">
        <v>4659</v>
      </c>
      <c r="E9" s="5">
        <f t="shared" si="1"/>
        <v>341</v>
      </c>
      <c r="F9" s="5">
        <f t="shared" si="2"/>
        <v>116281</v>
      </c>
      <c r="G9" s="6">
        <f>SQRT(SUM($F$2:F9)/A9)</f>
        <v>1990.4210609818215</v>
      </c>
      <c r="H9" s="5">
        <f t="shared" si="3"/>
        <v>1</v>
      </c>
      <c r="I9" s="5">
        <f t="shared" si="4"/>
        <v>1</v>
      </c>
    </row>
    <row r="10" spans="1:9">
      <c r="A10">
        <f t="shared" si="5"/>
        <v>9</v>
      </c>
      <c r="B10">
        <v>4</v>
      </c>
      <c r="C10">
        <v>5000</v>
      </c>
      <c r="D10">
        <v>3043</v>
      </c>
      <c r="E10" s="5">
        <f t="shared" si="1"/>
        <v>1957</v>
      </c>
      <c r="F10" s="5">
        <f t="shared" si="2"/>
        <v>3829849</v>
      </c>
      <c r="G10" s="6">
        <f>SQRT(SUM($F$2:F10)/A10)</f>
        <v>1986.735373532279</v>
      </c>
      <c r="H10" s="5">
        <f t="shared" si="3"/>
        <v>0</v>
      </c>
      <c r="I10" s="5">
        <f t="shared" si="4"/>
        <v>0</v>
      </c>
    </row>
    <row r="11" spans="1:9">
      <c r="A11">
        <f t="shared" si="5"/>
        <v>10</v>
      </c>
      <c r="B11">
        <v>6</v>
      </c>
      <c r="C11">
        <v>5000</v>
      </c>
      <c r="D11">
        <v>4360</v>
      </c>
      <c r="E11" s="5">
        <f t="shared" si="1"/>
        <v>640</v>
      </c>
      <c r="F11" s="5">
        <f t="shared" si="2"/>
        <v>409600</v>
      </c>
      <c r="G11" s="6">
        <f>SQRT(SUM($F$2:F11)/A11)</f>
        <v>1895.6174983366238</v>
      </c>
      <c r="H11" s="5">
        <f t="shared" si="3"/>
        <v>1</v>
      </c>
      <c r="I11" s="5">
        <f t="shared" si="4"/>
        <v>0</v>
      </c>
    </row>
    <row r="12" spans="1:9">
      <c r="A12">
        <f t="shared" si="5"/>
        <v>11</v>
      </c>
      <c r="B12">
        <v>5</v>
      </c>
      <c r="C12">
        <v>5000</v>
      </c>
      <c r="D12">
        <v>3901</v>
      </c>
      <c r="E12" s="5">
        <f t="shared" si="1"/>
        <v>1099</v>
      </c>
      <c r="F12" s="5">
        <f t="shared" si="2"/>
        <v>1207801</v>
      </c>
      <c r="G12" s="6">
        <f>SQRT(SUM($F$2:F12)/A12)</f>
        <v>1837.5244710800946</v>
      </c>
      <c r="H12" s="5">
        <f t="shared" si="3"/>
        <v>0</v>
      </c>
      <c r="I12" s="5">
        <f t="shared" si="4"/>
        <v>0</v>
      </c>
    </row>
    <row r="13" spans="1:9">
      <c r="A13">
        <f t="shared" si="5"/>
        <v>12</v>
      </c>
      <c r="B13">
        <v>6</v>
      </c>
      <c r="C13">
        <v>5000</v>
      </c>
      <c r="D13">
        <v>4925</v>
      </c>
      <c r="E13" s="5">
        <f t="shared" si="1"/>
        <v>75</v>
      </c>
      <c r="F13" s="5">
        <f t="shared" si="2"/>
        <v>5625</v>
      </c>
      <c r="G13" s="6">
        <f>SQRT(SUM($F$2:F13)/A13)</f>
        <v>1759.4289556557833</v>
      </c>
      <c r="H13" s="5">
        <f t="shared" si="3"/>
        <v>1</v>
      </c>
      <c r="I13" s="5">
        <f t="shared" si="4"/>
        <v>1</v>
      </c>
    </row>
    <row r="14" spans="1:9">
      <c r="A14">
        <f t="shared" si="5"/>
        <v>13</v>
      </c>
      <c r="B14">
        <v>5</v>
      </c>
      <c r="C14">
        <v>5000</v>
      </c>
      <c r="D14">
        <v>3887</v>
      </c>
      <c r="E14" s="5">
        <f t="shared" si="1"/>
        <v>1113</v>
      </c>
      <c r="F14" s="5">
        <f t="shared" si="2"/>
        <v>1238769</v>
      </c>
      <c r="G14" s="6">
        <f>SQRT(SUM($F$2:F14)/A14)</f>
        <v>1718.3590562376205</v>
      </c>
      <c r="H14" s="5">
        <f t="shared" si="3"/>
        <v>0</v>
      </c>
      <c r="I14" s="5">
        <f t="shared" si="4"/>
        <v>0</v>
      </c>
    </row>
    <row r="15" spans="1:9">
      <c r="A15">
        <f t="shared" si="5"/>
        <v>14</v>
      </c>
      <c r="B15">
        <v>6</v>
      </c>
      <c r="C15">
        <v>5000</v>
      </c>
      <c r="D15">
        <v>4834</v>
      </c>
      <c r="E15" s="5">
        <f t="shared" si="1"/>
        <v>166</v>
      </c>
      <c r="F15" s="5">
        <f t="shared" si="2"/>
        <v>27556</v>
      </c>
      <c r="G15" s="6">
        <f>SQRT(SUM($F$2:F15)/A15)</f>
        <v>1656.4464546561285</v>
      </c>
      <c r="H15" s="5">
        <f t="shared" si="3"/>
        <v>1</v>
      </c>
      <c r="I15" s="5">
        <f t="shared" si="4"/>
        <v>1</v>
      </c>
    </row>
    <row r="16" spans="1:9">
      <c r="A16">
        <f t="shared" si="5"/>
        <v>15</v>
      </c>
      <c r="B16">
        <v>6</v>
      </c>
      <c r="C16">
        <v>5000</v>
      </c>
      <c r="D16">
        <v>5229</v>
      </c>
      <c r="E16" s="5">
        <f t="shared" si="1"/>
        <v>229</v>
      </c>
      <c r="F16" s="5">
        <f t="shared" si="2"/>
        <v>52441</v>
      </c>
      <c r="G16" s="6">
        <f>SQRT(SUM($F$2:F16)/A16)</f>
        <v>1601.3712665504315</v>
      </c>
      <c r="H16" s="5">
        <f t="shared" si="3"/>
        <v>1</v>
      </c>
      <c r="I16" s="5">
        <f t="shared" si="4"/>
        <v>1</v>
      </c>
    </row>
    <row r="17" spans="1:9">
      <c r="A17">
        <f t="shared" si="5"/>
        <v>16</v>
      </c>
      <c r="B17">
        <v>5</v>
      </c>
      <c r="C17">
        <v>5000</v>
      </c>
      <c r="D17">
        <v>3825</v>
      </c>
      <c r="E17" s="5">
        <f t="shared" si="1"/>
        <v>1175</v>
      </c>
      <c r="F17" s="5">
        <f t="shared" si="2"/>
        <v>1380625</v>
      </c>
      <c r="G17" s="6">
        <f>SQRT(SUM($F$2:F17)/A17)</f>
        <v>1578.1015889352625</v>
      </c>
      <c r="H17" s="5">
        <f t="shared" si="3"/>
        <v>0</v>
      </c>
      <c r="I17" s="5">
        <f t="shared" si="4"/>
        <v>0</v>
      </c>
    </row>
    <row r="18" spans="1:9">
      <c r="A18">
        <f t="shared" si="5"/>
        <v>17</v>
      </c>
      <c r="B18">
        <v>7</v>
      </c>
      <c r="C18">
        <v>5000</v>
      </c>
      <c r="D18">
        <v>4995</v>
      </c>
      <c r="E18" s="5">
        <f t="shared" si="1"/>
        <v>5</v>
      </c>
      <c r="F18" s="5">
        <f t="shared" si="2"/>
        <v>25</v>
      </c>
      <c r="G18" s="6">
        <f>SQRT(SUM($F$2:F18)/A18)</f>
        <v>1530.9839012485902</v>
      </c>
      <c r="H18" s="5">
        <f t="shared" si="3"/>
        <v>1</v>
      </c>
      <c r="I18" s="5">
        <f t="shared" si="4"/>
        <v>1</v>
      </c>
    </row>
    <row r="19" spans="1:9">
      <c r="A19">
        <f t="shared" si="5"/>
        <v>18</v>
      </c>
      <c r="B19">
        <v>6</v>
      </c>
      <c r="C19">
        <v>5000</v>
      </c>
      <c r="D19">
        <v>4485</v>
      </c>
      <c r="E19" s="5">
        <f t="shared" si="1"/>
        <v>515</v>
      </c>
      <c r="F19" s="5">
        <f t="shared" si="2"/>
        <v>265225</v>
      </c>
      <c r="G19" s="6">
        <f>SQRT(SUM($F$2:F19)/A19)</f>
        <v>1492.7923871426699</v>
      </c>
      <c r="H19" s="5">
        <f t="shared" si="3"/>
        <v>1</v>
      </c>
      <c r="I19" s="5">
        <f t="shared" si="4"/>
        <v>0</v>
      </c>
    </row>
    <row r="20" spans="1:9">
      <c r="A20">
        <f t="shared" si="5"/>
        <v>19</v>
      </c>
      <c r="B20">
        <v>6</v>
      </c>
      <c r="C20">
        <v>5000</v>
      </c>
      <c r="D20">
        <v>3738</v>
      </c>
      <c r="E20" s="5">
        <f t="shared" si="1"/>
        <v>1262</v>
      </c>
      <c r="F20" s="5">
        <f t="shared" si="2"/>
        <v>1592644</v>
      </c>
      <c r="G20" s="6">
        <f>SQRT(SUM($F$2:F20)/A20)</f>
        <v>1481.5420131883218</v>
      </c>
      <c r="H20" s="5">
        <f t="shared" si="3"/>
        <v>0</v>
      </c>
      <c r="I20" s="5">
        <f t="shared" si="4"/>
        <v>0</v>
      </c>
    </row>
    <row r="21" spans="1:9">
      <c r="A21">
        <f t="shared" si="5"/>
        <v>20</v>
      </c>
      <c r="B21">
        <v>7</v>
      </c>
      <c r="C21">
        <v>5000</v>
      </c>
      <c r="D21">
        <v>5089</v>
      </c>
      <c r="E21" s="5">
        <f t="shared" si="1"/>
        <v>89</v>
      </c>
      <c r="F21" s="5">
        <f t="shared" si="2"/>
        <v>7921</v>
      </c>
      <c r="G21" s="6">
        <f>SQRT(SUM($F$2:F21)/A21)</f>
        <v>1444.1656587801831</v>
      </c>
      <c r="H21" s="5">
        <f t="shared" si="3"/>
        <v>1</v>
      </c>
      <c r="I21" s="5">
        <f t="shared" si="4"/>
        <v>1</v>
      </c>
    </row>
    <row r="22" spans="1:9">
      <c r="A22">
        <f t="shared" si="5"/>
        <v>21</v>
      </c>
      <c r="B22">
        <v>6</v>
      </c>
      <c r="C22">
        <v>5000</v>
      </c>
      <c r="D22">
        <v>4348</v>
      </c>
      <c r="E22" s="5">
        <f t="shared" si="1"/>
        <v>652</v>
      </c>
      <c r="F22" s="5">
        <f t="shared" si="2"/>
        <v>425104</v>
      </c>
      <c r="G22" s="6">
        <f>SQRT(SUM($F$2:F22)/A22)</f>
        <v>1416.5248052221054</v>
      </c>
      <c r="H22" s="5">
        <f t="shared" si="3"/>
        <v>1</v>
      </c>
      <c r="I22" s="5">
        <f t="shared" si="4"/>
        <v>0</v>
      </c>
    </row>
    <row r="23" spans="1:9">
      <c r="A23">
        <f t="shared" si="5"/>
        <v>22</v>
      </c>
      <c r="B23">
        <v>7</v>
      </c>
      <c r="C23">
        <v>5000</v>
      </c>
      <c r="D23">
        <v>4668</v>
      </c>
      <c r="E23" s="5">
        <f t="shared" si="1"/>
        <v>332</v>
      </c>
      <c r="F23" s="5">
        <f t="shared" si="2"/>
        <v>110224</v>
      </c>
      <c r="G23" s="6">
        <f>SQRT(SUM($F$2:F23)/A23)</f>
        <v>1385.7655744290689</v>
      </c>
      <c r="H23" s="5">
        <f t="shared" si="3"/>
        <v>1</v>
      </c>
      <c r="I23" s="5">
        <f t="shared" si="4"/>
        <v>1</v>
      </c>
    </row>
    <row r="24" spans="1:9">
      <c r="A24">
        <f t="shared" si="5"/>
        <v>23</v>
      </c>
      <c r="B24">
        <v>7</v>
      </c>
      <c r="C24">
        <v>5000</v>
      </c>
      <c r="D24">
        <v>5731</v>
      </c>
      <c r="E24" s="5">
        <f t="shared" si="1"/>
        <v>731</v>
      </c>
      <c r="F24" s="5">
        <f t="shared" si="2"/>
        <v>534361</v>
      </c>
      <c r="G24" s="6">
        <f>SQRT(SUM($F$2:F24)/A24)</f>
        <v>1363.8496984638739</v>
      </c>
      <c r="H24" s="5">
        <f t="shared" si="3"/>
        <v>1</v>
      </c>
      <c r="I24" s="5">
        <f t="shared" si="4"/>
        <v>0</v>
      </c>
    </row>
    <row r="25" spans="1:9">
      <c r="A25">
        <f t="shared" si="5"/>
        <v>24</v>
      </c>
      <c r="B25">
        <v>6</v>
      </c>
      <c r="C25">
        <v>5000</v>
      </c>
      <c r="D25">
        <v>4704</v>
      </c>
      <c r="E25" s="5">
        <f t="shared" si="1"/>
        <v>296</v>
      </c>
      <c r="F25" s="5">
        <f t="shared" si="2"/>
        <v>87616</v>
      </c>
      <c r="G25" s="6">
        <f>SQRT(SUM($F$2:F25)/A25)</f>
        <v>1336.5003117595347</v>
      </c>
      <c r="H25" s="5">
        <f t="shared" si="3"/>
        <v>1</v>
      </c>
      <c r="I25" s="5">
        <f t="shared" si="4"/>
        <v>1</v>
      </c>
    </row>
    <row r="26" spans="1:9">
      <c r="A26">
        <f t="shared" si="5"/>
        <v>25</v>
      </c>
      <c r="B26">
        <v>7</v>
      </c>
      <c r="C26">
        <v>5000</v>
      </c>
      <c r="D26">
        <v>5109</v>
      </c>
      <c r="E26" s="5">
        <f t="shared" si="1"/>
        <v>109</v>
      </c>
      <c r="F26" s="5">
        <f t="shared" si="2"/>
        <v>11881</v>
      </c>
      <c r="G26" s="6">
        <f>SQRT(SUM($F$2:F26)/A26)</f>
        <v>1309.678968297193</v>
      </c>
      <c r="H26" s="5">
        <f t="shared" si="3"/>
        <v>1</v>
      </c>
      <c r="I26" s="5">
        <f t="shared" si="4"/>
        <v>1</v>
      </c>
    </row>
    <row r="27" spans="1:9">
      <c r="A27">
        <f t="shared" si="5"/>
        <v>26</v>
      </c>
      <c r="B27">
        <v>6</v>
      </c>
      <c r="C27">
        <v>5000</v>
      </c>
      <c r="D27">
        <v>4861</v>
      </c>
      <c r="E27" s="5">
        <f t="shared" si="1"/>
        <v>139</v>
      </c>
      <c r="F27" s="5">
        <f t="shared" si="2"/>
        <v>19321</v>
      </c>
      <c r="G27" s="6">
        <f>SQRT(SUM($F$2:F27)/A27)</f>
        <v>1284.5351748335331</v>
      </c>
      <c r="H27" s="5">
        <f t="shared" si="3"/>
        <v>1</v>
      </c>
      <c r="I27" s="5">
        <f t="shared" si="4"/>
        <v>1</v>
      </c>
    </row>
    <row r="28" spans="1:9">
      <c r="A28">
        <f t="shared" si="5"/>
        <v>27</v>
      </c>
      <c r="B28">
        <v>6</v>
      </c>
      <c r="C28">
        <v>5000</v>
      </c>
      <c r="D28">
        <v>4150</v>
      </c>
      <c r="E28" s="5">
        <f t="shared" si="1"/>
        <v>850</v>
      </c>
      <c r="F28" s="5">
        <f t="shared" si="2"/>
        <v>722500</v>
      </c>
      <c r="G28" s="6">
        <f>SQRT(SUM($F$2:F28)/A28)</f>
        <v>1271.0930845652611</v>
      </c>
      <c r="H28" s="5">
        <f t="shared" si="3"/>
        <v>1</v>
      </c>
      <c r="I28" s="5">
        <f t="shared" si="4"/>
        <v>0</v>
      </c>
    </row>
    <row r="29" spans="1:9">
      <c r="A29">
        <f t="shared" si="5"/>
        <v>28</v>
      </c>
      <c r="B29">
        <v>7</v>
      </c>
      <c r="C29">
        <v>5000</v>
      </c>
      <c r="D29">
        <v>4737</v>
      </c>
      <c r="E29" s="5">
        <f t="shared" si="1"/>
        <v>263</v>
      </c>
      <c r="F29" s="5">
        <f t="shared" si="2"/>
        <v>69169</v>
      </c>
      <c r="G29" s="6">
        <f>SQRT(SUM($F$2:F29)/A29)</f>
        <v>1249.1778010241092</v>
      </c>
      <c r="H29" s="5">
        <f t="shared" si="3"/>
        <v>1</v>
      </c>
      <c r="I29" s="5">
        <f t="shared" si="4"/>
        <v>1</v>
      </c>
    </row>
    <row r="30" spans="1:9">
      <c r="A30">
        <f t="shared" si="5"/>
        <v>29</v>
      </c>
      <c r="B30">
        <v>7</v>
      </c>
      <c r="C30">
        <v>5000</v>
      </c>
      <c r="D30">
        <v>5120</v>
      </c>
      <c r="E30" s="5">
        <f t="shared" si="1"/>
        <v>120</v>
      </c>
      <c r="F30" s="5">
        <f t="shared" si="2"/>
        <v>14400</v>
      </c>
      <c r="G30" s="6">
        <f>SQRT(SUM($F$2:F30)/A30)</f>
        <v>1227.6535650834355</v>
      </c>
      <c r="H30" s="5">
        <f t="shared" si="3"/>
        <v>1</v>
      </c>
      <c r="I30" s="5">
        <f t="shared" si="4"/>
        <v>1</v>
      </c>
    </row>
    <row r="31" spans="1:9">
      <c r="A31">
        <f t="shared" si="5"/>
        <v>30</v>
      </c>
      <c r="B31">
        <v>6</v>
      </c>
      <c r="C31">
        <v>5000</v>
      </c>
      <c r="D31">
        <v>4526</v>
      </c>
      <c r="E31" s="5">
        <f t="shared" si="1"/>
        <v>474</v>
      </c>
      <c r="F31" s="5">
        <f t="shared" si="2"/>
        <v>224676</v>
      </c>
      <c r="G31" s="6">
        <f>SQRT(SUM($F$2:F31)/A31)</f>
        <v>1210.1176389095401</v>
      </c>
      <c r="H31" s="5">
        <f t="shared" si="3"/>
        <v>1</v>
      </c>
      <c r="I31" s="5">
        <f t="shared" si="4"/>
        <v>1</v>
      </c>
    </row>
    <row r="32" spans="1:9">
      <c r="A32">
        <f t="shared" si="5"/>
        <v>31</v>
      </c>
      <c r="B32">
        <v>7</v>
      </c>
      <c r="C32">
        <v>5000</v>
      </c>
      <c r="D32">
        <v>5555</v>
      </c>
      <c r="E32" s="5">
        <f t="shared" si="1"/>
        <v>555</v>
      </c>
      <c r="F32" s="5">
        <f t="shared" si="2"/>
        <v>308025</v>
      </c>
      <c r="G32" s="6">
        <f>SQRT(SUM($F$2:F32)/A32)</f>
        <v>1194.605698209057</v>
      </c>
      <c r="H32" s="5">
        <f t="shared" si="3"/>
        <v>1</v>
      </c>
      <c r="I32" s="5">
        <f t="shared" si="4"/>
        <v>0</v>
      </c>
    </row>
    <row r="33" spans="1:9">
      <c r="A33">
        <f t="shared" si="5"/>
        <v>32</v>
      </c>
      <c r="B33">
        <v>6</v>
      </c>
      <c r="C33">
        <v>5000</v>
      </c>
      <c r="D33">
        <v>4312</v>
      </c>
      <c r="E33" s="5">
        <f t="shared" si="1"/>
        <v>688</v>
      </c>
      <c r="F33" s="5">
        <f t="shared" si="2"/>
        <v>473344</v>
      </c>
      <c r="G33" s="6">
        <f>SQRT(SUM($F$2:F33)/A33)</f>
        <v>1182.0653270864516</v>
      </c>
      <c r="H33" s="5">
        <f t="shared" si="3"/>
        <v>1</v>
      </c>
      <c r="I33" s="5">
        <f t="shared" si="4"/>
        <v>0</v>
      </c>
    </row>
    <row r="34" spans="1:9">
      <c r="A34">
        <f t="shared" si="5"/>
        <v>33</v>
      </c>
      <c r="B34">
        <v>7</v>
      </c>
      <c r="C34">
        <v>5000</v>
      </c>
      <c r="D34">
        <v>4865</v>
      </c>
      <c r="E34" s="5">
        <f t="shared" si="1"/>
        <v>135</v>
      </c>
      <c r="F34" s="5">
        <f t="shared" si="2"/>
        <v>18225</v>
      </c>
      <c r="G34" s="6">
        <f>SQRT(SUM($F$2:F34)/A34)</f>
        <v>1164.2546711926645</v>
      </c>
      <c r="H34" s="5">
        <f t="shared" si="3"/>
        <v>1</v>
      </c>
      <c r="I34" s="5">
        <f t="shared" si="4"/>
        <v>1</v>
      </c>
    </row>
    <row r="35" spans="1:9">
      <c r="A35">
        <f t="shared" si="5"/>
        <v>34</v>
      </c>
      <c r="B35">
        <v>7</v>
      </c>
      <c r="C35">
        <v>5000</v>
      </c>
      <c r="D35">
        <v>4576</v>
      </c>
      <c r="E35" s="5">
        <f t="shared" si="1"/>
        <v>424</v>
      </c>
      <c r="F35" s="5">
        <f t="shared" si="2"/>
        <v>179776</v>
      </c>
      <c r="G35" s="6">
        <f>SQRT(SUM($F$2:F35)/A35)</f>
        <v>1149.3081166766481</v>
      </c>
      <c r="H35" s="5">
        <f t="shared" si="3"/>
        <v>1</v>
      </c>
      <c r="I35" s="5">
        <f t="shared" si="4"/>
        <v>1</v>
      </c>
    </row>
    <row r="36" spans="1:9">
      <c r="A36">
        <f t="shared" si="5"/>
        <v>35</v>
      </c>
      <c r="B36">
        <v>7</v>
      </c>
      <c r="C36">
        <v>5000</v>
      </c>
      <c r="D36">
        <v>4706</v>
      </c>
      <c r="E36" s="5">
        <f t="shared" si="1"/>
        <v>294</v>
      </c>
      <c r="F36" s="5">
        <f t="shared" si="2"/>
        <v>86436</v>
      </c>
      <c r="G36" s="6">
        <f>SQRT(SUM($F$2:F36)/A36)</f>
        <v>1133.859993876795</v>
      </c>
      <c r="H36" s="5">
        <f t="shared" si="3"/>
        <v>1</v>
      </c>
      <c r="I36" s="5">
        <f t="shared" si="4"/>
        <v>1</v>
      </c>
    </row>
    <row r="37" spans="1:9">
      <c r="A37">
        <f t="shared" si="5"/>
        <v>36</v>
      </c>
      <c r="B37">
        <v>7</v>
      </c>
      <c r="C37">
        <v>5000</v>
      </c>
      <c r="D37">
        <v>4712</v>
      </c>
      <c r="E37" s="5">
        <f t="shared" si="1"/>
        <v>288</v>
      </c>
      <c r="F37" s="5">
        <f t="shared" si="2"/>
        <v>82944</v>
      </c>
      <c r="G37" s="6">
        <f>SQRT(SUM($F$2:F37)/A37)</f>
        <v>1119.030967201335</v>
      </c>
      <c r="H37" s="5">
        <f t="shared" si="3"/>
        <v>1</v>
      </c>
      <c r="I37" s="5">
        <f t="shared" si="4"/>
        <v>1</v>
      </c>
    </row>
    <row r="38" spans="1:9">
      <c r="A38">
        <f t="shared" si="5"/>
        <v>37</v>
      </c>
      <c r="B38">
        <v>7</v>
      </c>
      <c r="C38">
        <v>5000</v>
      </c>
      <c r="D38">
        <v>5008</v>
      </c>
      <c r="E38" s="5">
        <f t="shared" si="1"/>
        <v>8</v>
      </c>
      <c r="F38" s="5">
        <f t="shared" si="2"/>
        <v>64</v>
      </c>
      <c r="G38" s="6">
        <f>SQRT(SUM($F$2:F38)/A38)</f>
        <v>1103.8061301573628</v>
      </c>
      <c r="H38" s="5">
        <f t="shared" si="3"/>
        <v>1</v>
      </c>
      <c r="I38" s="5">
        <f t="shared" si="4"/>
        <v>1</v>
      </c>
    </row>
    <row r="39" spans="1:9">
      <c r="A39">
        <f t="shared" si="5"/>
        <v>38</v>
      </c>
      <c r="B39">
        <v>7</v>
      </c>
      <c r="C39">
        <v>5000</v>
      </c>
      <c r="D39">
        <v>4631</v>
      </c>
      <c r="E39" s="5">
        <f t="shared" si="1"/>
        <v>369</v>
      </c>
      <c r="F39" s="5">
        <f t="shared" si="2"/>
        <v>136161</v>
      </c>
      <c r="G39" s="6">
        <f>SQRT(SUM($F$2:F39)/A39)</f>
        <v>1090.8291872651162</v>
      </c>
      <c r="H39" s="5">
        <f t="shared" si="3"/>
        <v>1</v>
      </c>
      <c r="I39" s="5">
        <f t="shared" si="4"/>
        <v>1</v>
      </c>
    </row>
    <row r="40" spans="1:9">
      <c r="A40">
        <f t="shared" si="5"/>
        <v>39</v>
      </c>
      <c r="B40">
        <v>8</v>
      </c>
      <c r="C40">
        <v>5000</v>
      </c>
      <c r="D40">
        <v>5207</v>
      </c>
      <c r="E40" s="5">
        <f t="shared" si="1"/>
        <v>207</v>
      </c>
      <c r="F40" s="5">
        <f t="shared" si="2"/>
        <v>42849</v>
      </c>
      <c r="G40" s="6">
        <f>SQRT(SUM($F$2:F40)/A40)</f>
        <v>1077.2634489583031</v>
      </c>
      <c r="H40" s="5">
        <f t="shared" si="3"/>
        <v>1</v>
      </c>
      <c r="I40" s="5">
        <f t="shared" si="4"/>
        <v>1</v>
      </c>
    </row>
    <row r="41" spans="1:9">
      <c r="A41">
        <f t="shared" si="5"/>
        <v>40</v>
      </c>
      <c r="B41">
        <v>7</v>
      </c>
      <c r="C41">
        <v>5000</v>
      </c>
      <c r="D41">
        <v>5384</v>
      </c>
      <c r="E41" s="5">
        <f t="shared" si="1"/>
        <v>384</v>
      </c>
      <c r="F41" s="5">
        <f t="shared" si="2"/>
        <v>147456</v>
      </c>
      <c r="G41" s="6">
        <f>SQRT(SUM($F$2:F41)/A41)</f>
        <v>1065.4438159752958</v>
      </c>
      <c r="H41" s="5">
        <f t="shared" si="3"/>
        <v>1</v>
      </c>
      <c r="I41" s="5">
        <f t="shared" si="4"/>
        <v>1</v>
      </c>
    </row>
    <row r="42" spans="1:9">
      <c r="A42">
        <f t="shared" si="5"/>
        <v>41</v>
      </c>
      <c r="B42">
        <v>7</v>
      </c>
      <c r="C42">
        <v>5000</v>
      </c>
      <c r="D42">
        <v>4962</v>
      </c>
      <c r="E42" s="5">
        <f t="shared" si="1"/>
        <v>38</v>
      </c>
      <c r="F42" s="5">
        <f t="shared" si="2"/>
        <v>1444</v>
      </c>
      <c r="G42" s="6">
        <f>SQRT(SUM($F$2:F42)/A42)</f>
        <v>1052.3871238933823</v>
      </c>
      <c r="H42" s="5">
        <f t="shared" si="3"/>
        <v>1</v>
      </c>
      <c r="I42" s="5">
        <f t="shared" si="4"/>
        <v>1</v>
      </c>
    </row>
    <row r="43" spans="1:9">
      <c r="A43">
        <f t="shared" si="5"/>
        <v>42</v>
      </c>
      <c r="B43">
        <v>7</v>
      </c>
      <c r="C43">
        <v>5000</v>
      </c>
      <c r="D43">
        <v>5543</v>
      </c>
      <c r="E43" s="5">
        <f t="shared" si="1"/>
        <v>543</v>
      </c>
      <c r="F43" s="5">
        <f t="shared" si="2"/>
        <v>294849</v>
      </c>
      <c r="G43" s="6">
        <f>SQRT(SUM($F$2:F43)/A43)</f>
        <v>1043.1535749602649</v>
      </c>
      <c r="H43" s="5">
        <f t="shared" si="3"/>
        <v>1</v>
      </c>
      <c r="I43" s="5">
        <f t="shared" si="4"/>
        <v>0</v>
      </c>
    </row>
    <row r="44" spans="1:9">
      <c r="A44">
        <f t="shared" si="5"/>
        <v>43</v>
      </c>
      <c r="B44">
        <v>6</v>
      </c>
      <c r="C44">
        <v>5000</v>
      </c>
      <c r="D44">
        <v>4460</v>
      </c>
      <c r="E44" s="5">
        <f t="shared" si="1"/>
        <v>540</v>
      </c>
      <c r="F44" s="5">
        <f t="shared" si="2"/>
        <v>291600</v>
      </c>
      <c r="G44" s="6">
        <f>SQRT(SUM($F$2:F44)/A44)</f>
        <v>1034.2361972141116</v>
      </c>
      <c r="H44" s="5">
        <f t="shared" si="3"/>
        <v>1</v>
      </c>
      <c r="I44" s="5">
        <f t="shared" si="4"/>
        <v>0</v>
      </c>
    </row>
    <row r="45" spans="1:9">
      <c r="A45">
        <f t="shared" si="5"/>
        <v>44</v>
      </c>
      <c r="B45">
        <v>8</v>
      </c>
      <c r="C45">
        <v>5000</v>
      </c>
      <c r="D45">
        <v>4337</v>
      </c>
      <c r="E45" s="5">
        <f t="shared" si="1"/>
        <v>663</v>
      </c>
      <c r="F45" s="5">
        <f t="shared" si="2"/>
        <v>439569</v>
      </c>
      <c r="G45" s="6">
        <f>SQRT(SUM($F$2:F45)/A45)</f>
        <v>1027.2899365010658</v>
      </c>
      <c r="H45" s="5">
        <f t="shared" si="3"/>
        <v>1</v>
      </c>
      <c r="I45" s="5">
        <f t="shared" si="4"/>
        <v>0</v>
      </c>
    </row>
    <row r="46" spans="1:9">
      <c r="A46">
        <f t="shared" si="5"/>
        <v>45</v>
      </c>
      <c r="B46">
        <v>8</v>
      </c>
      <c r="C46">
        <v>5000</v>
      </c>
      <c r="D46">
        <v>4108</v>
      </c>
      <c r="E46" s="5">
        <f t="shared" si="1"/>
        <v>892</v>
      </c>
      <c r="F46" s="5">
        <f t="shared" si="2"/>
        <v>795664</v>
      </c>
      <c r="G46" s="6">
        <f>SQRT(SUM($F$2:F46)/A46)</f>
        <v>1024.4776121408304</v>
      </c>
      <c r="H46" s="5">
        <f t="shared" si="3"/>
        <v>1</v>
      </c>
      <c r="I46" s="5">
        <f t="shared" si="4"/>
        <v>0</v>
      </c>
    </row>
    <row r="47" spans="1:9">
      <c r="A47">
        <f t="shared" si="5"/>
        <v>46</v>
      </c>
      <c r="B47">
        <v>8</v>
      </c>
      <c r="C47">
        <v>5000</v>
      </c>
      <c r="D47">
        <v>4132</v>
      </c>
      <c r="E47" s="5">
        <f t="shared" si="1"/>
        <v>868</v>
      </c>
      <c r="F47" s="5">
        <f t="shared" si="2"/>
        <v>753424</v>
      </c>
      <c r="G47" s="6">
        <f>SQRT(SUM($F$2:F47)/A47)</f>
        <v>1021.3308772721822</v>
      </c>
      <c r="H47" s="5">
        <f t="shared" si="3"/>
        <v>1</v>
      </c>
      <c r="I47" s="5">
        <f t="shared" si="4"/>
        <v>0</v>
      </c>
    </row>
    <row r="48" spans="1:9">
      <c r="A48">
        <f t="shared" si="5"/>
        <v>47</v>
      </c>
      <c r="B48">
        <v>9</v>
      </c>
      <c r="C48">
        <v>5000</v>
      </c>
      <c r="D48">
        <v>5677</v>
      </c>
      <c r="E48" s="5">
        <f t="shared" si="1"/>
        <v>677</v>
      </c>
      <c r="F48" s="5">
        <f t="shared" si="2"/>
        <v>458329</v>
      </c>
      <c r="G48" s="6">
        <f>SQRT(SUM($F$2:F48)/A48)</f>
        <v>1015.2213887054913</v>
      </c>
      <c r="H48" s="5">
        <f t="shared" si="3"/>
        <v>1</v>
      </c>
      <c r="I48" s="5">
        <f t="shared" si="4"/>
        <v>0</v>
      </c>
    </row>
    <row r="49" spans="1:9">
      <c r="A49">
        <f t="shared" si="5"/>
        <v>48</v>
      </c>
      <c r="B49">
        <v>7</v>
      </c>
      <c r="C49">
        <v>5000</v>
      </c>
      <c r="D49">
        <v>4810</v>
      </c>
      <c r="E49" s="5">
        <f t="shared" si="1"/>
        <v>190</v>
      </c>
      <c r="F49" s="5">
        <f t="shared" si="2"/>
        <v>36100</v>
      </c>
      <c r="G49" s="6">
        <f>SQRT(SUM($F$2:F49)/A49)</f>
        <v>1004.9647589177775</v>
      </c>
      <c r="H49" s="5">
        <f t="shared" si="3"/>
        <v>1</v>
      </c>
      <c r="I49" s="5">
        <f t="shared" si="4"/>
        <v>1</v>
      </c>
    </row>
    <row r="50" spans="1:9">
      <c r="A50">
        <f t="shared" si="5"/>
        <v>49</v>
      </c>
      <c r="B50">
        <v>8</v>
      </c>
      <c r="C50">
        <v>5000</v>
      </c>
      <c r="D50">
        <v>4974</v>
      </c>
      <c r="E50" s="5">
        <f t="shared" si="1"/>
        <v>26</v>
      </c>
      <c r="F50" s="5">
        <f t="shared" si="2"/>
        <v>676</v>
      </c>
      <c r="G50" s="6">
        <f>SQRT(SUM($F$2:F50)/A50)</f>
        <v>994.66409056586758</v>
      </c>
      <c r="H50" s="5">
        <f t="shared" si="3"/>
        <v>1</v>
      </c>
      <c r="I50" s="5">
        <f t="shared" si="4"/>
        <v>1</v>
      </c>
    </row>
    <row r="51" spans="1:9">
      <c r="A51">
        <f t="shared" si="5"/>
        <v>50</v>
      </c>
      <c r="B51">
        <v>8</v>
      </c>
      <c r="C51">
        <v>5000</v>
      </c>
      <c r="D51">
        <v>4791</v>
      </c>
      <c r="E51" s="5">
        <f t="shared" si="1"/>
        <v>209</v>
      </c>
      <c r="F51" s="5">
        <f t="shared" si="2"/>
        <v>43681</v>
      </c>
      <c r="G51" s="6">
        <f>SQRT(SUM($F$2:F51)/A51)</f>
        <v>985.1107247411328</v>
      </c>
      <c r="H51" s="5">
        <f t="shared" si="3"/>
        <v>1</v>
      </c>
      <c r="I51" s="5">
        <f t="shared" si="4"/>
        <v>1</v>
      </c>
    </row>
    <row r="52" spans="1:9">
      <c r="A52">
        <f t="shared" si="5"/>
        <v>51</v>
      </c>
      <c r="B52">
        <v>8</v>
      </c>
      <c r="C52">
        <v>5000</v>
      </c>
      <c r="D52">
        <v>4984</v>
      </c>
      <c r="E52" s="5">
        <f t="shared" si="1"/>
        <v>16</v>
      </c>
      <c r="F52" s="5">
        <f t="shared" si="2"/>
        <v>256</v>
      </c>
      <c r="G52" s="6">
        <f>SQRT(SUM($F$2:F52)/A52)</f>
        <v>975.40753674815232</v>
      </c>
      <c r="H52" s="5">
        <f t="shared" si="3"/>
        <v>1</v>
      </c>
      <c r="I52" s="5">
        <f t="shared" si="4"/>
        <v>1</v>
      </c>
    </row>
    <row r="53" spans="1:9">
      <c r="A53">
        <f t="shared" si="5"/>
        <v>52</v>
      </c>
      <c r="B53">
        <v>8</v>
      </c>
      <c r="C53">
        <v>5000</v>
      </c>
      <c r="D53">
        <v>5233</v>
      </c>
      <c r="E53" s="5">
        <f t="shared" si="1"/>
        <v>233</v>
      </c>
      <c r="F53" s="5">
        <f t="shared" si="2"/>
        <v>54289</v>
      </c>
      <c r="G53" s="6">
        <f>SQRT(SUM($F$2:F53)/A53)</f>
        <v>966.52332933760374</v>
      </c>
      <c r="H53" s="5">
        <f t="shared" si="3"/>
        <v>1</v>
      </c>
      <c r="I53" s="5">
        <f t="shared" si="4"/>
        <v>1</v>
      </c>
    </row>
    <row r="54" spans="1:9">
      <c r="A54">
        <f t="shared" si="5"/>
        <v>53</v>
      </c>
      <c r="B54">
        <v>7</v>
      </c>
      <c r="C54">
        <v>5000</v>
      </c>
      <c r="D54">
        <v>4725</v>
      </c>
      <c r="E54" s="5">
        <f t="shared" si="1"/>
        <v>275</v>
      </c>
      <c r="F54" s="5">
        <f t="shared" si="2"/>
        <v>75625</v>
      </c>
      <c r="G54" s="6">
        <f>SQRT(SUM($F$2:F54)/A54)</f>
        <v>958.10669236899923</v>
      </c>
      <c r="H54" s="5">
        <f t="shared" si="3"/>
        <v>1</v>
      </c>
      <c r="I54" s="5">
        <f t="shared" si="4"/>
        <v>1</v>
      </c>
    </row>
    <row r="55" spans="1:9">
      <c r="A55">
        <f t="shared" si="5"/>
        <v>54</v>
      </c>
      <c r="B55">
        <v>8</v>
      </c>
      <c r="C55">
        <v>5000</v>
      </c>
      <c r="D55">
        <v>5489</v>
      </c>
      <c r="E55" s="5">
        <f t="shared" si="1"/>
        <v>489</v>
      </c>
      <c r="F55" s="5">
        <f t="shared" si="2"/>
        <v>239121</v>
      </c>
      <c r="G55" s="6">
        <f>SQRT(SUM($F$2:F55)/A55)</f>
        <v>951.52361252108983</v>
      </c>
      <c r="H55" s="5">
        <f t="shared" si="3"/>
        <v>1</v>
      </c>
      <c r="I55" s="5">
        <f t="shared" si="4"/>
        <v>1</v>
      </c>
    </row>
    <row r="56" spans="1:9">
      <c r="A56">
        <f t="shared" si="5"/>
        <v>55</v>
      </c>
      <c r="B56">
        <v>7</v>
      </c>
      <c r="C56">
        <v>5000</v>
      </c>
      <c r="D56">
        <v>5370</v>
      </c>
      <c r="E56" s="5">
        <f t="shared" si="1"/>
        <v>370</v>
      </c>
      <c r="F56" s="5">
        <f t="shared" si="2"/>
        <v>136900</v>
      </c>
      <c r="G56" s="6">
        <f>SQRT(SUM($F$2:F56)/A56)</f>
        <v>944.15279965210561</v>
      </c>
      <c r="H56" s="5">
        <f t="shared" si="3"/>
        <v>1</v>
      </c>
      <c r="I56" s="5">
        <f t="shared" si="4"/>
        <v>1</v>
      </c>
    </row>
    <row r="57" spans="1:9">
      <c r="A57">
        <f t="shared" si="5"/>
        <v>56</v>
      </c>
      <c r="B57">
        <v>7</v>
      </c>
      <c r="C57">
        <v>5000</v>
      </c>
      <c r="D57">
        <v>4655</v>
      </c>
      <c r="E57" s="5">
        <f t="shared" si="1"/>
        <v>345</v>
      </c>
      <c r="F57" s="5">
        <f t="shared" si="2"/>
        <v>119025</v>
      </c>
      <c r="G57" s="6">
        <f>SQRT(SUM($F$2:F57)/A57)</f>
        <v>936.81997241427644</v>
      </c>
      <c r="H57" s="5">
        <f t="shared" si="3"/>
        <v>1</v>
      </c>
      <c r="I57" s="5">
        <f t="shared" si="4"/>
        <v>1</v>
      </c>
    </row>
    <row r="58" spans="1:9">
      <c r="A58">
        <f t="shared" si="5"/>
        <v>57</v>
      </c>
      <c r="B58">
        <v>8</v>
      </c>
      <c r="C58">
        <v>5000</v>
      </c>
      <c r="D58">
        <v>6308</v>
      </c>
      <c r="E58" s="5">
        <f t="shared" si="1"/>
        <v>1308</v>
      </c>
      <c r="F58" s="5">
        <f t="shared" si="2"/>
        <v>1710864</v>
      </c>
      <c r="G58" s="6">
        <f>SQRT(SUM($F$2:F58)/A58)</f>
        <v>944.58973736211249</v>
      </c>
      <c r="H58" s="5">
        <f t="shared" si="3"/>
        <v>0</v>
      </c>
      <c r="I58" s="5">
        <f t="shared" si="4"/>
        <v>0</v>
      </c>
    </row>
    <row r="59" spans="1:9">
      <c r="A59">
        <f t="shared" si="5"/>
        <v>58</v>
      </c>
      <c r="B59">
        <v>6</v>
      </c>
      <c r="C59">
        <v>5000</v>
      </c>
      <c r="D59">
        <v>3629</v>
      </c>
      <c r="E59" s="5">
        <f t="shared" si="1"/>
        <v>1371</v>
      </c>
      <c r="F59" s="5">
        <f t="shared" si="2"/>
        <v>1879641</v>
      </c>
      <c r="G59" s="6">
        <f>SQRT(SUM($F$2:F59)/A59)</f>
        <v>953.55847152688523</v>
      </c>
      <c r="H59" s="5">
        <f t="shared" si="3"/>
        <v>0</v>
      </c>
      <c r="I59" s="5">
        <f t="shared" si="4"/>
        <v>0</v>
      </c>
    </row>
    <row r="60" spans="1:9">
      <c r="A60">
        <f t="shared" si="5"/>
        <v>59</v>
      </c>
      <c r="B60">
        <v>9</v>
      </c>
      <c r="C60">
        <v>5000</v>
      </c>
      <c r="D60">
        <v>5483</v>
      </c>
      <c r="E60" s="5">
        <f t="shared" si="1"/>
        <v>483</v>
      </c>
      <c r="F60" s="5">
        <f t="shared" si="2"/>
        <v>233289</v>
      </c>
      <c r="G60" s="6">
        <f>SQRT(SUM($F$2:F60)/A60)</f>
        <v>947.53173552684166</v>
      </c>
      <c r="H60" s="5">
        <f t="shared" si="3"/>
        <v>1</v>
      </c>
      <c r="I60" s="5">
        <f t="shared" si="4"/>
        <v>1</v>
      </c>
    </row>
    <row r="61" spans="1:9">
      <c r="A61">
        <f t="shared" si="5"/>
        <v>60</v>
      </c>
      <c r="B61">
        <v>7</v>
      </c>
      <c r="C61">
        <v>5000</v>
      </c>
      <c r="D61">
        <v>5587</v>
      </c>
      <c r="E61" s="5">
        <f t="shared" si="1"/>
        <v>587</v>
      </c>
      <c r="F61" s="5">
        <f t="shared" si="2"/>
        <v>344569</v>
      </c>
      <c r="G61" s="6">
        <f>SQRT(SUM($F$2:F61)/A61)</f>
        <v>942.65348882821195</v>
      </c>
      <c r="H61" s="5">
        <f t="shared" si="3"/>
        <v>1</v>
      </c>
      <c r="I61" s="5">
        <f t="shared" si="4"/>
        <v>0</v>
      </c>
    </row>
    <row r="62" spans="1:9">
      <c r="A62">
        <f t="shared" si="5"/>
        <v>61</v>
      </c>
      <c r="B62">
        <v>7</v>
      </c>
      <c r="C62">
        <v>5000</v>
      </c>
      <c r="D62">
        <v>4639</v>
      </c>
      <c r="E62" s="5">
        <f t="shared" si="1"/>
        <v>361</v>
      </c>
      <c r="F62" s="5">
        <f t="shared" si="2"/>
        <v>130321</v>
      </c>
      <c r="G62" s="6">
        <f>SQRT(SUM($F$2:F62)/A62)</f>
        <v>936.03678819395714</v>
      </c>
      <c r="H62" s="5">
        <f t="shared" si="3"/>
        <v>1</v>
      </c>
      <c r="I62" s="5">
        <f t="shared" si="4"/>
        <v>1</v>
      </c>
    </row>
    <row r="63" spans="1:9">
      <c r="A63">
        <f t="shared" si="5"/>
        <v>62</v>
      </c>
      <c r="B63">
        <v>8</v>
      </c>
      <c r="C63">
        <v>5000</v>
      </c>
      <c r="D63">
        <v>6100</v>
      </c>
      <c r="E63" s="5">
        <f t="shared" si="1"/>
        <v>1100</v>
      </c>
      <c r="F63" s="5">
        <f t="shared" si="2"/>
        <v>1210000</v>
      </c>
      <c r="G63" s="6">
        <f>SQRT(SUM($F$2:F63)/A63)</f>
        <v>938.90857193425006</v>
      </c>
      <c r="H63" s="5">
        <f t="shared" si="3"/>
        <v>0</v>
      </c>
      <c r="I63" s="5">
        <f t="shared" si="4"/>
        <v>0</v>
      </c>
    </row>
    <row r="64" spans="1:9">
      <c r="A64">
        <f t="shared" si="5"/>
        <v>63</v>
      </c>
      <c r="B64">
        <v>6</v>
      </c>
      <c r="C64">
        <v>5000</v>
      </c>
      <c r="D64">
        <v>4575</v>
      </c>
      <c r="E64" s="5">
        <f t="shared" si="1"/>
        <v>425</v>
      </c>
      <c r="F64" s="5">
        <f t="shared" si="2"/>
        <v>180625</v>
      </c>
      <c r="G64" s="6">
        <f>SQRT(SUM($F$2:F64)/A64)</f>
        <v>932.96491027772515</v>
      </c>
      <c r="H64" s="5">
        <f t="shared" si="3"/>
        <v>1</v>
      </c>
      <c r="I64" s="5">
        <f t="shared" si="4"/>
        <v>1</v>
      </c>
    </row>
    <row r="65" spans="1:9">
      <c r="A65">
        <f t="shared" si="5"/>
        <v>64</v>
      </c>
      <c r="B65">
        <v>8</v>
      </c>
      <c r="C65">
        <v>5000</v>
      </c>
      <c r="D65">
        <v>6225</v>
      </c>
      <c r="E65" s="5">
        <f t="shared" si="1"/>
        <v>1225</v>
      </c>
      <c r="F65" s="5">
        <f t="shared" si="2"/>
        <v>1500625</v>
      </c>
      <c r="G65" s="6">
        <f>SQRT(SUM($F$2:F65)/A65)</f>
        <v>938.22727623694675</v>
      </c>
      <c r="H65" s="5">
        <f t="shared" si="3"/>
        <v>0</v>
      </c>
      <c r="I65" s="5">
        <f t="shared" si="4"/>
        <v>0</v>
      </c>
    </row>
    <row r="66" spans="1:9">
      <c r="A66">
        <f t="shared" si="5"/>
        <v>65</v>
      </c>
      <c r="B66">
        <v>6</v>
      </c>
      <c r="C66">
        <v>5000</v>
      </c>
      <c r="D66">
        <v>4765</v>
      </c>
      <c r="E66" s="5">
        <f t="shared" si="1"/>
        <v>235</v>
      </c>
      <c r="F66" s="5">
        <f t="shared" si="2"/>
        <v>55225</v>
      </c>
      <c r="G66" s="6">
        <f>SQRT(SUM($F$2:F66)/A66)</f>
        <v>931.43835833865865</v>
      </c>
      <c r="H66" s="5">
        <f t="shared" si="3"/>
        <v>1</v>
      </c>
      <c r="I66" s="5">
        <f t="shared" si="4"/>
        <v>1</v>
      </c>
    </row>
    <row r="67" spans="1:9">
      <c r="A67">
        <f t="shared" si="5"/>
        <v>66</v>
      </c>
      <c r="B67">
        <v>7</v>
      </c>
      <c r="C67">
        <v>5000</v>
      </c>
      <c r="D67">
        <v>5846</v>
      </c>
      <c r="E67" s="5">
        <f t="shared" ref="E67:E130" si="6">ABS(C67-D67)</f>
        <v>846</v>
      </c>
      <c r="F67" s="5">
        <f t="shared" ref="F67:F130" si="7">POWER(E67,2)</f>
        <v>715716</v>
      </c>
      <c r="G67" s="6">
        <f>SQRT(SUM($F$2:F67)/A67)</f>
        <v>930.20238918661403</v>
      </c>
      <c r="H67" s="5">
        <f t="shared" ref="H67:H130" si="8">IF(ABS(E67)/C67&gt;0.2,0,1)</f>
        <v>1</v>
      </c>
      <c r="I67" s="5">
        <f t="shared" ref="I67:I130" si="9">IF(ABS(E67)/C67&gt;0.1,0,1)</f>
        <v>0</v>
      </c>
    </row>
    <row r="68" spans="1:9">
      <c r="A68">
        <f t="shared" ref="A68:A131" si="10">A67+1</f>
        <v>67</v>
      </c>
      <c r="B68">
        <v>6</v>
      </c>
      <c r="C68">
        <v>5000</v>
      </c>
      <c r="D68">
        <v>4601</v>
      </c>
      <c r="E68" s="5">
        <f t="shared" si="6"/>
        <v>399</v>
      </c>
      <c r="F68" s="5">
        <f t="shared" si="7"/>
        <v>159201</v>
      </c>
      <c r="G68" s="6">
        <f>SQRT(SUM($F$2:F68)/A68)</f>
        <v>924.52044043175135</v>
      </c>
      <c r="H68" s="5">
        <f t="shared" si="8"/>
        <v>1</v>
      </c>
      <c r="I68" s="5">
        <f t="shared" si="9"/>
        <v>1</v>
      </c>
    </row>
    <row r="69" spans="1:9">
      <c r="A69">
        <f t="shared" si="10"/>
        <v>68</v>
      </c>
      <c r="B69">
        <v>7</v>
      </c>
      <c r="C69">
        <v>5000</v>
      </c>
      <c r="D69">
        <v>5378</v>
      </c>
      <c r="E69" s="5">
        <f t="shared" si="6"/>
        <v>378</v>
      </c>
      <c r="F69" s="5">
        <f t="shared" si="7"/>
        <v>142884</v>
      </c>
      <c r="G69" s="6">
        <f>SQRT(SUM($F$2:F69)/A69)</f>
        <v>918.84144602927904</v>
      </c>
      <c r="H69" s="5">
        <f t="shared" si="8"/>
        <v>1</v>
      </c>
      <c r="I69" s="5">
        <f t="shared" si="9"/>
        <v>1</v>
      </c>
    </row>
    <row r="70" spans="1:9">
      <c r="A70">
        <f t="shared" si="10"/>
        <v>69</v>
      </c>
      <c r="B70">
        <v>6</v>
      </c>
      <c r="C70">
        <v>5000</v>
      </c>
      <c r="D70">
        <v>4663</v>
      </c>
      <c r="E70" s="5">
        <f t="shared" si="6"/>
        <v>337</v>
      </c>
      <c r="F70" s="5">
        <f t="shared" si="7"/>
        <v>113569</v>
      </c>
      <c r="G70" s="6">
        <f>SQRT(SUM($F$2:F70)/A70)</f>
        <v>913.06064373098172</v>
      </c>
      <c r="H70" s="5">
        <f t="shared" si="8"/>
        <v>1</v>
      </c>
      <c r="I70" s="5">
        <f t="shared" si="9"/>
        <v>1</v>
      </c>
    </row>
    <row r="71" spans="1:9">
      <c r="A71">
        <f t="shared" si="10"/>
        <v>70</v>
      </c>
      <c r="B71">
        <v>7</v>
      </c>
      <c r="C71">
        <v>5000</v>
      </c>
      <c r="D71">
        <v>5323</v>
      </c>
      <c r="E71" s="5">
        <f t="shared" si="6"/>
        <v>323</v>
      </c>
      <c r="F71" s="5">
        <f t="shared" si="7"/>
        <v>104329</v>
      </c>
      <c r="G71" s="6">
        <f>SQRT(SUM($F$2:F71)/A71)</f>
        <v>907.33700622047979</v>
      </c>
      <c r="H71" s="5">
        <f t="shared" si="8"/>
        <v>1</v>
      </c>
      <c r="I71" s="5">
        <f t="shared" si="9"/>
        <v>1</v>
      </c>
    </row>
    <row r="72" spans="1:9">
      <c r="A72">
        <f t="shared" si="10"/>
        <v>71</v>
      </c>
      <c r="B72">
        <v>6</v>
      </c>
      <c r="C72">
        <v>5000</v>
      </c>
      <c r="D72">
        <v>4837</v>
      </c>
      <c r="E72" s="5">
        <f t="shared" si="6"/>
        <v>163</v>
      </c>
      <c r="F72" s="5">
        <f t="shared" si="7"/>
        <v>26569</v>
      </c>
      <c r="G72" s="6">
        <f>SQRT(SUM($F$2:F72)/A72)</f>
        <v>901.13230805454884</v>
      </c>
      <c r="H72" s="5">
        <f t="shared" si="8"/>
        <v>1</v>
      </c>
      <c r="I72" s="5">
        <f t="shared" si="9"/>
        <v>1</v>
      </c>
    </row>
    <row r="73" spans="1:9">
      <c r="A73">
        <f t="shared" si="10"/>
        <v>72</v>
      </c>
      <c r="B73">
        <v>7</v>
      </c>
      <c r="C73">
        <v>5000</v>
      </c>
      <c r="D73">
        <v>5104</v>
      </c>
      <c r="E73" s="5">
        <f t="shared" si="6"/>
        <v>104</v>
      </c>
      <c r="F73" s="5">
        <f t="shared" si="7"/>
        <v>10816</v>
      </c>
      <c r="G73" s="6">
        <f>SQRT(SUM($F$2:F73)/A73)</f>
        <v>894.93649681602176</v>
      </c>
      <c r="H73" s="5">
        <f t="shared" si="8"/>
        <v>1</v>
      </c>
      <c r="I73" s="5">
        <f t="shared" si="9"/>
        <v>1</v>
      </c>
    </row>
    <row r="74" spans="1:9">
      <c r="A74">
        <f t="shared" si="10"/>
        <v>73</v>
      </c>
      <c r="B74">
        <v>7</v>
      </c>
      <c r="C74">
        <v>5000</v>
      </c>
      <c r="D74">
        <v>6151</v>
      </c>
      <c r="E74" s="5">
        <f t="shared" si="6"/>
        <v>1151</v>
      </c>
      <c r="F74" s="5">
        <f t="shared" si="7"/>
        <v>1324801</v>
      </c>
      <c r="G74" s="6">
        <f>SQRT(SUM($F$2:F74)/A74)</f>
        <v>898.93709685916792</v>
      </c>
      <c r="H74" s="5">
        <f t="shared" si="8"/>
        <v>0</v>
      </c>
      <c r="I74" s="5">
        <f t="shared" si="9"/>
        <v>0</v>
      </c>
    </row>
    <row r="75" spans="1:9">
      <c r="A75">
        <f t="shared" si="10"/>
        <v>74</v>
      </c>
      <c r="B75">
        <v>5</v>
      </c>
      <c r="C75">
        <v>5000</v>
      </c>
      <c r="D75">
        <v>3811</v>
      </c>
      <c r="E75" s="5">
        <f t="shared" si="6"/>
        <v>1189</v>
      </c>
      <c r="F75" s="5">
        <f t="shared" si="7"/>
        <v>1413721</v>
      </c>
      <c r="G75" s="6">
        <f>SQRT(SUM($F$2:F75)/A75)</f>
        <v>903.47780002340687</v>
      </c>
      <c r="H75" s="5">
        <f t="shared" si="8"/>
        <v>0</v>
      </c>
      <c r="I75" s="5">
        <f t="shared" si="9"/>
        <v>0</v>
      </c>
    </row>
    <row r="76" spans="1:9">
      <c r="A76">
        <f t="shared" si="10"/>
        <v>75</v>
      </c>
      <c r="B76">
        <v>8</v>
      </c>
      <c r="C76">
        <v>5000</v>
      </c>
      <c r="D76">
        <v>6131</v>
      </c>
      <c r="E76" s="5">
        <f t="shared" si="6"/>
        <v>1131</v>
      </c>
      <c r="F76" s="5">
        <f t="shared" si="7"/>
        <v>1279161</v>
      </c>
      <c r="G76" s="6">
        <f>SQRT(SUM($F$2:F76)/A76)</f>
        <v>906.88697568476891</v>
      </c>
      <c r="H76" s="5">
        <f t="shared" si="8"/>
        <v>0</v>
      </c>
      <c r="I76" s="5">
        <f t="shared" si="9"/>
        <v>0</v>
      </c>
    </row>
    <row r="77" spans="1:9">
      <c r="A77">
        <f t="shared" si="10"/>
        <v>76</v>
      </c>
      <c r="B77">
        <v>5</v>
      </c>
      <c r="C77">
        <v>5000</v>
      </c>
      <c r="D77">
        <v>4387</v>
      </c>
      <c r="E77" s="5">
        <f t="shared" si="6"/>
        <v>613</v>
      </c>
      <c r="F77" s="5">
        <f t="shared" si="7"/>
        <v>375769</v>
      </c>
      <c r="G77" s="6">
        <f>SQRT(SUM($F$2:F77)/A77)</f>
        <v>903.64079379503789</v>
      </c>
      <c r="H77" s="5">
        <f t="shared" si="8"/>
        <v>1</v>
      </c>
      <c r="I77" s="5">
        <f t="shared" si="9"/>
        <v>0</v>
      </c>
    </row>
    <row r="78" spans="1:9">
      <c r="A78">
        <f t="shared" si="10"/>
        <v>77</v>
      </c>
      <c r="B78">
        <v>7</v>
      </c>
      <c r="C78">
        <v>5000</v>
      </c>
      <c r="D78">
        <v>5601</v>
      </c>
      <c r="E78" s="5">
        <f t="shared" si="6"/>
        <v>601</v>
      </c>
      <c r="F78" s="5">
        <f t="shared" si="7"/>
        <v>361201</v>
      </c>
      <c r="G78" s="6">
        <f>SQRT(SUM($F$2:F78)/A78)</f>
        <v>900.36261814662441</v>
      </c>
      <c r="H78" s="5">
        <f t="shared" si="8"/>
        <v>1</v>
      </c>
      <c r="I78" s="5">
        <f t="shared" si="9"/>
        <v>0</v>
      </c>
    </row>
    <row r="79" spans="1:9">
      <c r="A79">
        <f t="shared" si="10"/>
        <v>78</v>
      </c>
      <c r="B79">
        <v>6</v>
      </c>
      <c r="C79">
        <v>5000</v>
      </c>
      <c r="D79">
        <v>4394</v>
      </c>
      <c r="E79" s="5">
        <f t="shared" si="6"/>
        <v>606</v>
      </c>
      <c r="F79" s="5">
        <f t="shared" si="7"/>
        <v>367236</v>
      </c>
      <c r="G79" s="6">
        <f>SQRT(SUM($F$2:F79)/A79)</f>
        <v>897.20009631102516</v>
      </c>
      <c r="H79" s="5">
        <f t="shared" si="8"/>
        <v>1</v>
      </c>
      <c r="I79" s="5">
        <f t="shared" si="9"/>
        <v>0</v>
      </c>
    </row>
    <row r="80" spans="1:9">
      <c r="A80">
        <f t="shared" si="10"/>
        <v>79</v>
      </c>
      <c r="B80">
        <v>7</v>
      </c>
      <c r="C80">
        <v>5000</v>
      </c>
      <c r="D80">
        <v>4684</v>
      </c>
      <c r="E80" s="5">
        <f t="shared" si="6"/>
        <v>316</v>
      </c>
      <c r="F80" s="5">
        <f t="shared" si="7"/>
        <v>99856</v>
      </c>
      <c r="G80" s="6">
        <f>SQRT(SUM($F$2:F80)/A80)</f>
        <v>892.21216327945081</v>
      </c>
      <c r="H80" s="5">
        <f t="shared" si="8"/>
        <v>1</v>
      </c>
      <c r="I80" s="5">
        <f t="shared" si="9"/>
        <v>1</v>
      </c>
    </row>
    <row r="81" spans="1:9">
      <c r="A81">
        <f t="shared" si="10"/>
        <v>80</v>
      </c>
      <c r="B81">
        <v>7</v>
      </c>
      <c r="C81">
        <v>5000</v>
      </c>
      <c r="D81">
        <v>5841</v>
      </c>
      <c r="E81" s="5">
        <f t="shared" si="6"/>
        <v>841</v>
      </c>
      <c r="F81" s="5">
        <f t="shared" si="7"/>
        <v>707281</v>
      </c>
      <c r="G81" s="6">
        <f>SQRT(SUM($F$2:F81)/A81)</f>
        <v>891.59016650028173</v>
      </c>
      <c r="H81" s="5">
        <f t="shared" si="8"/>
        <v>1</v>
      </c>
      <c r="I81" s="5">
        <f t="shared" si="9"/>
        <v>0</v>
      </c>
    </row>
    <row r="82" spans="1:9">
      <c r="A82">
        <f t="shared" si="10"/>
        <v>81</v>
      </c>
      <c r="B82">
        <v>6</v>
      </c>
      <c r="C82">
        <v>5000</v>
      </c>
      <c r="D82">
        <v>4501</v>
      </c>
      <c r="E82" s="5">
        <f t="shared" si="6"/>
        <v>499</v>
      </c>
      <c r="F82" s="5">
        <f t="shared" si="7"/>
        <v>249001</v>
      </c>
      <c r="G82" s="6">
        <f>SQRT(SUM($F$2:F82)/A82)</f>
        <v>887.80241239635643</v>
      </c>
      <c r="H82" s="5">
        <f t="shared" si="8"/>
        <v>1</v>
      </c>
      <c r="I82" s="5">
        <f t="shared" si="9"/>
        <v>1</v>
      </c>
    </row>
    <row r="83" spans="1:9">
      <c r="A83">
        <f t="shared" si="10"/>
        <v>82</v>
      </c>
      <c r="B83">
        <v>7</v>
      </c>
      <c r="C83">
        <v>5000</v>
      </c>
      <c r="D83">
        <v>5551</v>
      </c>
      <c r="E83" s="5">
        <f t="shared" si="6"/>
        <v>551</v>
      </c>
      <c r="F83" s="5">
        <f t="shared" si="7"/>
        <v>303601</v>
      </c>
      <c r="G83" s="6">
        <f>SQRT(SUM($F$2:F83)/A83)</f>
        <v>884.4678984647403</v>
      </c>
      <c r="H83" s="5">
        <f t="shared" si="8"/>
        <v>1</v>
      </c>
      <c r="I83" s="5">
        <f t="shared" si="9"/>
        <v>0</v>
      </c>
    </row>
    <row r="84" spans="1:9">
      <c r="A84">
        <f t="shared" si="10"/>
        <v>83</v>
      </c>
      <c r="B84">
        <v>6</v>
      </c>
      <c r="C84">
        <v>5000</v>
      </c>
      <c r="D84">
        <v>5206</v>
      </c>
      <c r="E84" s="5">
        <f t="shared" si="6"/>
        <v>206</v>
      </c>
      <c r="F84" s="5">
        <f t="shared" si="7"/>
        <v>42436</v>
      </c>
      <c r="G84" s="6">
        <f>SQRT(SUM($F$2:F84)/A84)</f>
        <v>879.41437249695707</v>
      </c>
      <c r="H84" s="5">
        <f t="shared" si="8"/>
        <v>1</v>
      </c>
      <c r="I84" s="5">
        <f t="shared" si="9"/>
        <v>1</v>
      </c>
    </row>
    <row r="85" spans="1:9">
      <c r="A85">
        <f t="shared" si="10"/>
        <v>84</v>
      </c>
      <c r="B85">
        <v>6</v>
      </c>
      <c r="C85">
        <v>5000</v>
      </c>
      <c r="D85">
        <v>5033</v>
      </c>
      <c r="E85" s="5">
        <f t="shared" si="6"/>
        <v>33</v>
      </c>
      <c r="F85" s="5">
        <f t="shared" si="7"/>
        <v>1089</v>
      </c>
      <c r="G85" s="6">
        <f>SQRT(SUM($F$2:F85)/A85)</f>
        <v>874.17150572903688</v>
      </c>
      <c r="H85" s="5">
        <f t="shared" si="8"/>
        <v>1</v>
      </c>
      <c r="I85" s="5">
        <f t="shared" si="9"/>
        <v>1</v>
      </c>
    </row>
    <row r="86" spans="1:9">
      <c r="A86">
        <f t="shared" si="10"/>
        <v>85</v>
      </c>
      <c r="B86">
        <v>6</v>
      </c>
      <c r="C86">
        <v>5000</v>
      </c>
      <c r="D86">
        <v>5246</v>
      </c>
      <c r="E86" s="5">
        <f t="shared" si="6"/>
        <v>246</v>
      </c>
      <c r="F86" s="5">
        <f t="shared" si="7"/>
        <v>60516</v>
      </c>
      <c r="G86" s="6">
        <f>SQRT(SUM($F$2:F86)/A86)</f>
        <v>869.42364275894602</v>
      </c>
      <c r="H86" s="5">
        <f t="shared" si="8"/>
        <v>1</v>
      </c>
      <c r="I86" s="5">
        <f t="shared" si="9"/>
        <v>1</v>
      </c>
    </row>
    <row r="87" spans="1:9">
      <c r="A87">
        <f t="shared" si="10"/>
        <v>86</v>
      </c>
      <c r="B87">
        <v>6</v>
      </c>
      <c r="C87">
        <v>5000</v>
      </c>
      <c r="D87">
        <v>5384</v>
      </c>
      <c r="E87" s="5">
        <f t="shared" si="6"/>
        <v>384</v>
      </c>
      <c r="F87" s="5">
        <f t="shared" si="7"/>
        <v>147456</v>
      </c>
      <c r="G87" s="6">
        <f>SQRT(SUM($F$2:F87)/A87)</f>
        <v>865.34534711145341</v>
      </c>
      <c r="H87" s="5">
        <f t="shared" si="8"/>
        <v>1</v>
      </c>
      <c r="I87" s="5">
        <f t="shared" si="9"/>
        <v>1</v>
      </c>
    </row>
    <row r="88" spans="1:9">
      <c r="A88">
        <f t="shared" si="10"/>
        <v>87</v>
      </c>
      <c r="B88">
        <v>6</v>
      </c>
      <c r="C88">
        <v>5000</v>
      </c>
      <c r="D88">
        <v>5052</v>
      </c>
      <c r="E88" s="5">
        <f t="shared" si="6"/>
        <v>52</v>
      </c>
      <c r="F88" s="5">
        <f t="shared" si="7"/>
        <v>2704</v>
      </c>
      <c r="G88" s="6">
        <f>SQRT(SUM($F$2:F88)/A88)</f>
        <v>860.37578664957414</v>
      </c>
      <c r="H88" s="5">
        <f t="shared" si="8"/>
        <v>1</v>
      </c>
      <c r="I88" s="5">
        <f t="shared" si="9"/>
        <v>1</v>
      </c>
    </row>
    <row r="89" spans="1:9">
      <c r="A89">
        <f t="shared" si="10"/>
        <v>88</v>
      </c>
      <c r="B89">
        <v>6</v>
      </c>
      <c r="C89">
        <v>5000</v>
      </c>
      <c r="D89">
        <v>4753</v>
      </c>
      <c r="E89" s="5">
        <f t="shared" si="6"/>
        <v>247</v>
      </c>
      <c r="F89" s="5">
        <f t="shared" si="7"/>
        <v>61009</v>
      </c>
      <c r="G89" s="6">
        <f>SQRT(SUM($F$2:F89)/A89)</f>
        <v>855.87842966372057</v>
      </c>
      <c r="H89" s="5">
        <f t="shared" si="8"/>
        <v>1</v>
      </c>
      <c r="I89" s="5">
        <f t="shared" si="9"/>
        <v>1</v>
      </c>
    </row>
    <row r="90" spans="1:9">
      <c r="A90">
        <f t="shared" si="10"/>
        <v>89</v>
      </c>
      <c r="B90">
        <v>6</v>
      </c>
      <c r="C90">
        <v>5000</v>
      </c>
      <c r="D90">
        <v>4900</v>
      </c>
      <c r="E90" s="5">
        <f t="shared" si="6"/>
        <v>100</v>
      </c>
      <c r="F90" s="5">
        <f t="shared" si="7"/>
        <v>10000</v>
      </c>
      <c r="G90" s="6">
        <f>SQRT(SUM($F$2:F90)/A90)</f>
        <v>851.12255022741465</v>
      </c>
      <c r="H90" s="5">
        <f t="shared" si="8"/>
        <v>1</v>
      </c>
      <c r="I90" s="5">
        <f t="shared" si="9"/>
        <v>1</v>
      </c>
    </row>
    <row r="91" spans="1:9">
      <c r="A91">
        <f t="shared" si="10"/>
        <v>90</v>
      </c>
      <c r="B91">
        <v>6</v>
      </c>
      <c r="C91">
        <v>5000</v>
      </c>
      <c r="D91">
        <v>5182</v>
      </c>
      <c r="E91" s="5">
        <f t="shared" si="6"/>
        <v>182</v>
      </c>
      <c r="F91" s="5">
        <f t="shared" si="7"/>
        <v>33124</v>
      </c>
      <c r="G91" s="6">
        <f>SQRT(SUM($F$2:F91)/A91)</f>
        <v>846.5982780778877</v>
      </c>
      <c r="H91" s="5">
        <f t="shared" si="8"/>
        <v>1</v>
      </c>
      <c r="I91" s="5">
        <f t="shared" si="9"/>
        <v>1</v>
      </c>
    </row>
    <row r="92" spans="1:9">
      <c r="A92">
        <f t="shared" si="10"/>
        <v>91</v>
      </c>
      <c r="B92">
        <v>6</v>
      </c>
      <c r="C92">
        <v>5000</v>
      </c>
      <c r="D92">
        <v>4667</v>
      </c>
      <c r="E92" s="5">
        <f t="shared" si="6"/>
        <v>333</v>
      </c>
      <c r="F92" s="5">
        <f t="shared" si="7"/>
        <v>110889</v>
      </c>
      <c r="G92" s="6">
        <f>SQRT(SUM($F$2:F92)/A92)</f>
        <v>842.6571461359988</v>
      </c>
      <c r="H92" s="5">
        <f t="shared" si="8"/>
        <v>1</v>
      </c>
      <c r="I92" s="5">
        <f t="shared" si="9"/>
        <v>1</v>
      </c>
    </row>
    <row r="93" spans="1:9">
      <c r="A93">
        <f t="shared" si="10"/>
        <v>92</v>
      </c>
      <c r="B93">
        <v>7</v>
      </c>
      <c r="C93">
        <v>5000</v>
      </c>
      <c r="D93">
        <v>5083</v>
      </c>
      <c r="E93" s="5">
        <f t="shared" si="6"/>
        <v>83</v>
      </c>
      <c r="F93" s="5">
        <f t="shared" si="7"/>
        <v>6889</v>
      </c>
      <c r="G93" s="6">
        <f>SQRT(SUM($F$2:F93)/A93)</f>
        <v>838.10964832096738</v>
      </c>
      <c r="H93" s="5">
        <f t="shared" si="8"/>
        <v>1</v>
      </c>
      <c r="I93" s="5">
        <f t="shared" si="9"/>
        <v>1</v>
      </c>
    </row>
    <row r="94" spans="1:9">
      <c r="A94">
        <f t="shared" si="10"/>
        <v>93</v>
      </c>
      <c r="B94">
        <v>6</v>
      </c>
      <c r="C94">
        <v>5000</v>
      </c>
      <c r="D94">
        <v>4679</v>
      </c>
      <c r="E94" s="5">
        <f t="shared" si="6"/>
        <v>321</v>
      </c>
      <c r="F94" s="5">
        <f t="shared" si="7"/>
        <v>103041</v>
      </c>
      <c r="G94" s="6">
        <f>SQRT(SUM($F$2:F94)/A94)</f>
        <v>834.25581414866997</v>
      </c>
      <c r="H94" s="5">
        <f t="shared" si="8"/>
        <v>1</v>
      </c>
      <c r="I94" s="5">
        <f t="shared" si="9"/>
        <v>1</v>
      </c>
    </row>
    <row r="95" spans="1:9">
      <c r="A95">
        <f t="shared" si="10"/>
        <v>94</v>
      </c>
      <c r="B95">
        <v>7</v>
      </c>
      <c r="C95">
        <v>5000</v>
      </c>
      <c r="D95">
        <v>5188</v>
      </c>
      <c r="E95" s="5">
        <f t="shared" si="6"/>
        <v>188</v>
      </c>
      <c r="F95" s="5">
        <f t="shared" si="7"/>
        <v>35344</v>
      </c>
      <c r="G95" s="6">
        <f>SQRT(SUM($F$2:F95)/A95)</f>
        <v>830.03294602645849</v>
      </c>
      <c r="H95" s="5">
        <f t="shared" si="8"/>
        <v>1</v>
      </c>
      <c r="I95" s="5">
        <f t="shared" si="9"/>
        <v>1</v>
      </c>
    </row>
    <row r="96" spans="1:9">
      <c r="A96">
        <f t="shared" si="10"/>
        <v>95</v>
      </c>
      <c r="B96">
        <v>6</v>
      </c>
      <c r="C96">
        <v>5000</v>
      </c>
      <c r="D96">
        <v>4602</v>
      </c>
      <c r="E96" s="5">
        <f t="shared" si="6"/>
        <v>398</v>
      </c>
      <c r="F96" s="5">
        <f t="shared" si="7"/>
        <v>158404</v>
      </c>
      <c r="G96" s="6">
        <f>SQRT(SUM($F$2:F96)/A96)</f>
        <v>826.66193051840787</v>
      </c>
      <c r="H96" s="5">
        <f t="shared" si="8"/>
        <v>1</v>
      </c>
      <c r="I96" s="5">
        <f t="shared" si="9"/>
        <v>1</v>
      </c>
    </row>
    <row r="97" spans="1:9">
      <c r="A97">
        <f t="shared" si="10"/>
        <v>96</v>
      </c>
      <c r="B97">
        <v>7</v>
      </c>
      <c r="C97">
        <v>5000</v>
      </c>
      <c r="D97">
        <v>4986</v>
      </c>
      <c r="E97" s="5">
        <f t="shared" si="6"/>
        <v>14</v>
      </c>
      <c r="F97" s="5">
        <f t="shared" si="7"/>
        <v>196</v>
      </c>
      <c r="G97" s="6">
        <f>SQRT(SUM($F$2:F97)/A97)</f>
        <v>822.34636989734042</v>
      </c>
      <c r="H97" s="5">
        <f t="shared" si="8"/>
        <v>1</v>
      </c>
      <c r="I97" s="5">
        <f t="shared" si="9"/>
        <v>1</v>
      </c>
    </row>
    <row r="98" spans="1:9">
      <c r="A98">
        <f t="shared" si="10"/>
        <v>97</v>
      </c>
      <c r="B98">
        <v>6</v>
      </c>
      <c r="C98">
        <v>5000</v>
      </c>
      <c r="D98">
        <v>4611</v>
      </c>
      <c r="E98" s="5">
        <f t="shared" si="6"/>
        <v>389</v>
      </c>
      <c r="F98" s="5">
        <f t="shared" si="7"/>
        <v>151321</v>
      </c>
      <c r="G98" s="6">
        <f>SQRT(SUM($F$2:F98)/A98)</f>
        <v>819.04937353535638</v>
      </c>
      <c r="H98" s="5">
        <f t="shared" si="8"/>
        <v>1</v>
      </c>
      <c r="I98" s="5">
        <f t="shared" si="9"/>
        <v>1</v>
      </c>
    </row>
    <row r="99" spans="1:9">
      <c r="A99">
        <f t="shared" si="10"/>
        <v>98</v>
      </c>
      <c r="B99">
        <v>7</v>
      </c>
      <c r="C99">
        <v>5000</v>
      </c>
      <c r="D99">
        <v>4613</v>
      </c>
      <c r="E99" s="5">
        <f t="shared" si="6"/>
        <v>387</v>
      </c>
      <c r="F99" s="5">
        <f t="shared" si="7"/>
        <v>149769</v>
      </c>
      <c r="G99" s="6">
        <f>SQRT(SUM($F$2:F99)/A99)</f>
        <v>815.79703733370411</v>
      </c>
      <c r="H99" s="5">
        <f t="shared" si="8"/>
        <v>1</v>
      </c>
      <c r="I99" s="5">
        <f t="shared" si="9"/>
        <v>1</v>
      </c>
    </row>
    <row r="100" spans="1:9">
      <c r="A100">
        <f t="shared" si="10"/>
        <v>99</v>
      </c>
      <c r="B100">
        <v>7</v>
      </c>
      <c r="C100">
        <v>5000</v>
      </c>
      <c r="D100">
        <v>5422</v>
      </c>
      <c r="E100" s="5">
        <f t="shared" si="6"/>
        <v>422</v>
      </c>
      <c r="F100" s="5">
        <f t="shared" si="7"/>
        <v>178084</v>
      </c>
      <c r="G100" s="6">
        <f>SQRT(SUM($F$2:F100)/A100)</f>
        <v>812.77374564891159</v>
      </c>
      <c r="H100" s="5">
        <f t="shared" si="8"/>
        <v>1</v>
      </c>
      <c r="I100" s="5">
        <f t="shared" si="9"/>
        <v>1</v>
      </c>
    </row>
    <row r="101" spans="1:9">
      <c r="A101">
        <f t="shared" si="10"/>
        <v>100</v>
      </c>
      <c r="B101">
        <v>6</v>
      </c>
      <c r="C101">
        <v>5000</v>
      </c>
      <c r="D101">
        <v>5038</v>
      </c>
      <c r="E101" s="5">
        <f t="shared" si="6"/>
        <v>38</v>
      </c>
      <c r="F101" s="5">
        <f t="shared" si="7"/>
        <v>1444</v>
      </c>
      <c r="G101" s="6">
        <f>SQRT(SUM($F$2:F101)/A101)</f>
        <v>808.70859399415315</v>
      </c>
      <c r="H101" s="5">
        <f t="shared" si="8"/>
        <v>1</v>
      </c>
      <c r="I101" s="5">
        <f t="shared" si="9"/>
        <v>1</v>
      </c>
    </row>
    <row r="102" spans="1:9">
      <c r="A102">
        <f t="shared" si="10"/>
        <v>101</v>
      </c>
      <c r="B102">
        <v>6</v>
      </c>
      <c r="C102">
        <v>6000</v>
      </c>
      <c r="D102">
        <v>4279</v>
      </c>
      <c r="E102" s="5">
        <f t="shared" si="6"/>
        <v>1721</v>
      </c>
      <c r="F102" s="5">
        <f t="shared" si="7"/>
        <v>2961841</v>
      </c>
      <c r="G102" s="6">
        <f>SQRT(SUM($F$2:F102)/A102)</f>
        <v>822.71465645179433</v>
      </c>
      <c r="H102" s="5">
        <f t="shared" si="8"/>
        <v>0</v>
      </c>
      <c r="I102" s="5">
        <f t="shared" si="9"/>
        <v>0</v>
      </c>
    </row>
    <row r="103" spans="1:9">
      <c r="A103">
        <f t="shared" si="10"/>
        <v>102</v>
      </c>
      <c r="B103">
        <v>9</v>
      </c>
      <c r="C103">
        <v>6000</v>
      </c>
      <c r="D103">
        <v>6373</v>
      </c>
      <c r="E103" s="5">
        <f t="shared" si="6"/>
        <v>373</v>
      </c>
      <c r="F103" s="5">
        <f t="shared" si="7"/>
        <v>139129</v>
      </c>
      <c r="G103" s="6">
        <f>SQRT(SUM($F$2:F103)/A103)</f>
        <v>819.50444734344569</v>
      </c>
      <c r="H103" s="5">
        <f t="shared" si="8"/>
        <v>1</v>
      </c>
      <c r="I103" s="5">
        <f t="shared" si="9"/>
        <v>1</v>
      </c>
    </row>
    <row r="104" spans="1:9">
      <c r="A104">
        <f t="shared" si="10"/>
        <v>103</v>
      </c>
      <c r="B104">
        <v>6</v>
      </c>
      <c r="C104">
        <v>6000</v>
      </c>
      <c r="D104">
        <v>4492</v>
      </c>
      <c r="E104" s="5">
        <f t="shared" si="6"/>
        <v>1508</v>
      </c>
      <c r="F104" s="5">
        <f t="shared" si="7"/>
        <v>2274064</v>
      </c>
      <c r="G104" s="6">
        <f>SQRT(SUM($F$2:F104)/A104)</f>
        <v>828.94243654598608</v>
      </c>
      <c r="H104" s="5">
        <f t="shared" si="8"/>
        <v>0</v>
      </c>
      <c r="I104" s="5">
        <f t="shared" si="9"/>
        <v>0</v>
      </c>
    </row>
    <row r="105" spans="1:9">
      <c r="A105">
        <f t="shared" si="10"/>
        <v>104</v>
      </c>
      <c r="B105">
        <v>9</v>
      </c>
      <c r="C105">
        <v>6000</v>
      </c>
      <c r="D105">
        <v>4505</v>
      </c>
      <c r="E105" s="5">
        <f t="shared" si="6"/>
        <v>1495</v>
      </c>
      <c r="F105" s="5">
        <f t="shared" si="7"/>
        <v>2235025</v>
      </c>
      <c r="G105" s="6">
        <f>SQRT(SUM($F$2:F105)/A105)</f>
        <v>837.87172003282774</v>
      </c>
      <c r="H105" s="5">
        <f t="shared" si="8"/>
        <v>0</v>
      </c>
      <c r="I105" s="5">
        <f t="shared" si="9"/>
        <v>0</v>
      </c>
    </row>
    <row r="106" spans="1:9">
      <c r="A106">
        <f t="shared" si="10"/>
        <v>105</v>
      </c>
      <c r="B106">
        <v>9</v>
      </c>
      <c r="C106">
        <v>6000</v>
      </c>
      <c r="D106">
        <v>3113</v>
      </c>
      <c r="E106" s="5">
        <f t="shared" si="6"/>
        <v>2887</v>
      </c>
      <c r="F106" s="5">
        <f t="shared" si="7"/>
        <v>8334769</v>
      </c>
      <c r="G106" s="6">
        <f>SQRT(SUM($F$2:F106)/A106)</f>
        <v>880.18281109800193</v>
      </c>
      <c r="H106" s="5">
        <f t="shared" si="8"/>
        <v>0</v>
      </c>
      <c r="I106" s="5">
        <f t="shared" si="9"/>
        <v>0</v>
      </c>
    </row>
    <row r="107" spans="1:9">
      <c r="A107">
        <f t="shared" si="10"/>
        <v>106</v>
      </c>
      <c r="B107">
        <v>11</v>
      </c>
      <c r="C107">
        <v>6000</v>
      </c>
      <c r="D107">
        <v>1366</v>
      </c>
      <c r="E107" s="5">
        <f t="shared" si="6"/>
        <v>4634</v>
      </c>
      <c r="F107" s="5">
        <f t="shared" si="7"/>
        <v>21473956</v>
      </c>
      <c r="G107" s="6">
        <f>SQRT(SUM($F$2:F107)/A107)</f>
        <v>984.88454931108447</v>
      </c>
      <c r="H107" s="5">
        <f t="shared" si="8"/>
        <v>0</v>
      </c>
      <c r="I107" s="5">
        <f t="shared" si="9"/>
        <v>0</v>
      </c>
    </row>
    <row r="108" spans="1:9">
      <c r="A108">
        <f t="shared" si="10"/>
        <v>107</v>
      </c>
      <c r="B108">
        <v>14</v>
      </c>
      <c r="C108">
        <v>6000</v>
      </c>
      <c r="D108">
        <v>6606</v>
      </c>
      <c r="E108" s="5">
        <f t="shared" si="6"/>
        <v>606</v>
      </c>
      <c r="F108" s="5">
        <f t="shared" si="7"/>
        <v>367236</v>
      </c>
      <c r="G108" s="6">
        <f>SQRT(SUM($F$2:F108)/A108)</f>
        <v>982.02051389959581</v>
      </c>
      <c r="H108" s="5">
        <f t="shared" si="8"/>
        <v>1</v>
      </c>
      <c r="I108" s="5">
        <f t="shared" si="9"/>
        <v>0</v>
      </c>
    </row>
    <row r="109" spans="1:9">
      <c r="A109">
        <f t="shared" si="10"/>
        <v>108</v>
      </c>
      <c r="B109">
        <v>9</v>
      </c>
      <c r="C109">
        <v>6000</v>
      </c>
      <c r="D109">
        <v>5729</v>
      </c>
      <c r="E109" s="5">
        <f t="shared" si="6"/>
        <v>271</v>
      </c>
      <c r="F109" s="5">
        <f t="shared" si="7"/>
        <v>73441</v>
      </c>
      <c r="G109" s="6">
        <f>SQRT(SUM($F$2:F109)/A109)</f>
        <v>977.81133149498737</v>
      </c>
      <c r="H109" s="5">
        <f t="shared" si="8"/>
        <v>1</v>
      </c>
      <c r="I109" s="5">
        <f t="shared" si="9"/>
        <v>1</v>
      </c>
    </row>
    <row r="110" spans="1:9">
      <c r="A110">
        <f t="shared" si="10"/>
        <v>109</v>
      </c>
      <c r="B110">
        <v>10</v>
      </c>
      <c r="C110">
        <v>6000</v>
      </c>
      <c r="D110">
        <v>6175</v>
      </c>
      <c r="E110" s="5">
        <f t="shared" si="6"/>
        <v>175</v>
      </c>
      <c r="F110" s="5">
        <f t="shared" si="7"/>
        <v>30625</v>
      </c>
      <c r="G110" s="6">
        <f>SQRT(SUM($F$2:F110)/A110)</f>
        <v>973.45994578875502</v>
      </c>
      <c r="H110" s="5">
        <f t="shared" si="8"/>
        <v>1</v>
      </c>
      <c r="I110" s="5">
        <f t="shared" si="9"/>
        <v>1</v>
      </c>
    </row>
    <row r="111" spans="1:9">
      <c r="A111">
        <f t="shared" si="10"/>
        <v>110</v>
      </c>
      <c r="B111">
        <v>10</v>
      </c>
      <c r="C111">
        <v>6000</v>
      </c>
      <c r="D111">
        <v>7010</v>
      </c>
      <c r="E111" s="5">
        <f t="shared" si="6"/>
        <v>1010</v>
      </c>
      <c r="F111" s="5">
        <f t="shared" si="7"/>
        <v>1020100</v>
      </c>
      <c r="G111" s="6">
        <f>SQRT(SUM($F$2:F111)/A111)</f>
        <v>973.79830373832363</v>
      </c>
      <c r="H111" s="5">
        <f t="shared" si="8"/>
        <v>1</v>
      </c>
      <c r="I111" s="5">
        <f t="shared" si="9"/>
        <v>0</v>
      </c>
    </row>
    <row r="112" spans="1:9">
      <c r="A112">
        <f t="shared" si="10"/>
        <v>111</v>
      </c>
      <c r="B112">
        <v>8</v>
      </c>
      <c r="C112">
        <v>6000</v>
      </c>
      <c r="D112">
        <v>5251</v>
      </c>
      <c r="E112" s="5">
        <f t="shared" si="6"/>
        <v>749</v>
      </c>
      <c r="F112" s="5">
        <f t="shared" si="7"/>
        <v>561001</v>
      </c>
      <c r="G112" s="6">
        <f>SQRT(SUM($F$2:F112)/A112)</f>
        <v>972.0051996301811</v>
      </c>
      <c r="H112" s="5">
        <f t="shared" si="8"/>
        <v>1</v>
      </c>
      <c r="I112" s="5">
        <f t="shared" si="9"/>
        <v>0</v>
      </c>
    </row>
    <row r="113" spans="1:9">
      <c r="A113">
        <f t="shared" si="10"/>
        <v>112</v>
      </c>
      <c r="B113">
        <v>10</v>
      </c>
      <c r="C113">
        <v>6000</v>
      </c>
      <c r="D113">
        <v>6238</v>
      </c>
      <c r="E113" s="5">
        <f t="shared" si="6"/>
        <v>238</v>
      </c>
      <c r="F113" s="5">
        <f t="shared" si="7"/>
        <v>56644</v>
      </c>
      <c r="G113" s="6">
        <f>SQRT(SUM($F$2:F113)/A113)</f>
        <v>967.9174533133347</v>
      </c>
      <c r="H113" s="5">
        <f t="shared" si="8"/>
        <v>1</v>
      </c>
      <c r="I113" s="5">
        <f t="shared" si="9"/>
        <v>1</v>
      </c>
    </row>
    <row r="114" spans="1:9">
      <c r="A114">
        <f t="shared" si="10"/>
        <v>113</v>
      </c>
      <c r="B114">
        <v>9</v>
      </c>
      <c r="C114">
        <v>6000</v>
      </c>
      <c r="D114">
        <v>5289</v>
      </c>
      <c r="E114" s="5">
        <f t="shared" si="6"/>
        <v>711</v>
      </c>
      <c r="F114" s="5">
        <f t="shared" si="7"/>
        <v>505521</v>
      </c>
      <c r="G114" s="6">
        <f>SQRT(SUM($F$2:F114)/A114)</f>
        <v>965.94358013291856</v>
      </c>
      <c r="H114" s="5">
        <f t="shared" si="8"/>
        <v>1</v>
      </c>
      <c r="I114" s="5">
        <f t="shared" si="9"/>
        <v>0</v>
      </c>
    </row>
    <row r="115" spans="1:9">
      <c r="A115">
        <f t="shared" si="10"/>
        <v>114</v>
      </c>
      <c r="B115">
        <v>10</v>
      </c>
      <c r="C115">
        <v>6000</v>
      </c>
      <c r="D115">
        <v>6352</v>
      </c>
      <c r="E115" s="5">
        <f t="shared" si="6"/>
        <v>352</v>
      </c>
      <c r="F115" s="5">
        <f t="shared" si="7"/>
        <v>123904</v>
      </c>
      <c r="G115" s="6">
        <f>SQRT(SUM($F$2:F115)/A115)</f>
        <v>962.26257039644065</v>
      </c>
      <c r="H115" s="5">
        <f t="shared" si="8"/>
        <v>1</v>
      </c>
      <c r="I115" s="5">
        <f t="shared" si="9"/>
        <v>1</v>
      </c>
    </row>
    <row r="116" spans="1:9">
      <c r="A116">
        <f t="shared" si="10"/>
        <v>115</v>
      </c>
      <c r="B116">
        <v>9</v>
      </c>
      <c r="C116">
        <v>6000</v>
      </c>
      <c r="D116">
        <v>5993</v>
      </c>
      <c r="E116" s="5">
        <f t="shared" si="6"/>
        <v>7</v>
      </c>
      <c r="F116" s="5">
        <f t="shared" si="7"/>
        <v>49</v>
      </c>
      <c r="G116" s="6">
        <f>SQRT(SUM($F$2:F116)/A116)</f>
        <v>958.06990758821303</v>
      </c>
      <c r="H116" s="5">
        <f t="shared" si="8"/>
        <v>1</v>
      </c>
      <c r="I116" s="5">
        <f t="shared" si="9"/>
        <v>1</v>
      </c>
    </row>
    <row r="117" spans="1:9">
      <c r="A117">
        <f t="shared" si="10"/>
        <v>116</v>
      </c>
      <c r="B117">
        <v>10</v>
      </c>
      <c r="C117">
        <v>6000</v>
      </c>
      <c r="D117">
        <v>7043</v>
      </c>
      <c r="E117" s="5">
        <f t="shared" si="6"/>
        <v>1043</v>
      </c>
      <c r="F117" s="5">
        <f t="shared" si="7"/>
        <v>1087849</v>
      </c>
      <c r="G117" s="6">
        <f>SQRT(SUM($F$2:F117)/A117)</f>
        <v>958.83421043653232</v>
      </c>
      <c r="H117" s="5">
        <f t="shared" si="8"/>
        <v>1</v>
      </c>
      <c r="I117" s="5">
        <f t="shared" si="9"/>
        <v>0</v>
      </c>
    </row>
    <row r="118" spans="1:9">
      <c r="A118">
        <f t="shared" si="10"/>
        <v>117</v>
      </c>
      <c r="B118">
        <v>8</v>
      </c>
      <c r="C118">
        <v>6000</v>
      </c>
      <c r="D118">
        <v>5646</v>
      </c>
      <c r="E118" s="5">
        <f t="shared" si="6"/>
        <v>354</v>
      </c>
      <c r="F118" s="5">
        <f t="shared" si="7"/>
        <v>125316</v>
      </c>
      <c r="G118" s="6">
        <f>SQRT(SUM($F$2:F118)/A118)</f>
        <v>955.28860363730723</v>
      </c>
      <c r="H118" s="5">
        <f t="shared" si="8"/>
        <v>1</v>
      </c>
      <c r="I118" s="5">
        <f t="shared" si="9"/>
        <v>1</v>
      </c>
    </row>
    <row r="119" spans="1:9">
      <c r="A119">
        <f t="shared" si="10"/>
        <v>118</v>
      </c>
      <c r="B119">
        <v>10</v>
      </c>
      <c r="C119">
        <v>6000</v>
      </c>
      <c r="D119">
        <v>6864</v>
      </c>
      <c r="E119" s="5">
        <f t="shared" si="6"/>
        <v>864</v>
      </c>
      <c r="F119" s="5">
        <f t="shared" si="7"/>
        <v>746496</v>
      </c>
      <c r="G119" s="6">
        <f>SQRT(SUM($F$2:F119)/A119)</f>
        <v>954.55165178852599</v>
      </c>
      <c r="H119" s="5">
        <f t="shared" si="8"/>
        <v>1</v>
      </c>
      <c r="I119" s="5">
        <f t="shared" si="9"/>
        <v>0</v>
      </c>
    </row>
    <row r="120" spans="1:9">
      <c r="A120">
        <f t="shared" si="10"/>
        <v>119</v>
      </c>
      <c r="B120">
        <v>8</v>
      </c>
      <c r="C120">
        <v>6000</v>
      </c>
      <c r="D120">
        <v>6105</v>
      </c>
      <c r="E120" s="5">
        <f t="shared" si="6"/>
        <v>105</v>
      </c>
      <c r="F120" s="5">
        <f t="shared" si="7"/>
        <v>11025</v>
      </c>
      <c r="G120" s="6">
        <f>SQRT(SUM($F$2:F120)/A120)</f>
        <v>950.58120213306313</v>
      </c>
      <c r="H120" s="5">
        <f t="shared" si="8"/>
        <v>1</v>
      </c>
      <c r="I120" s="5">
        <f t="shared" si="9"/>
        <v>1</v>
      </c>
    </row>
    <row r="121" spans="1:9">
      <c r="A121">
        <f t="shared" si="10"/>
        <v>120</v>
      </c>
      <c r="B121">
        <v>9</v>
      </c>
      <c r="C121">
        <v>6000</v>
      </c>
      <c r="D121">
        <v>7132</v>
      </c>
      <c r="E121" s="5">
        <f t="shared" si="6"/>
        <v>1132</v>
      </c>
      <c r="F121" s="5">
        <f t="shared" si="7"/>
        <v>1281424</v>
      </c>
      <c r="G121" s="6">
        <f>SQRT(SUM($F$2:F121)/A121)</f>
        <v>952.23585138696956</v>
      </c>
      <c r="H121" s="5">
        <f t="shared" si="8"/>
        <v>1</v>
      </c>
      <c r="I121" s="5">
        <f t="shared" si="9"/>
        <v>0</v>
      </c>
    </row>
    <row r="122" spans="1:9">
      <c r="A122">
        <f t="shared" si="10"/>
        <v>121</v>
      </c>
      <c r="B122">
        <v>8</v>
      </c>
      <c r="C122">
        <v>6000</v>
      </c>
      <c r="D122">
        <v>6058</v>
      </c>
      <c r="E122" s="5">
        <f t="shared" si="6"/>
        <v>58</v>
      </c>
      <c r="F122" s="5">
        <f t="shared" si="7"/>
        <v>3364</v>
      </c>
      <c r="G122" s="6">
        <f>SQRT(SUM($F$2:F122)/A122)</f>
        <v>948.30748753191381</v>
      </c>
      <c r="H122" s="5">
        <f t="shared" si="8"/>
        <v>1</v>
      </c>
      <c r="I122" s="5">
        <f t="shared" si="9"/>
        <v>1</v>
      </c>
    </row>
    <row r="123" spans="1:9">
      <c r="A123">
        <f t="shared" si="10"/>
        <v>122</v>
      </c>
      <c r="B123">
        <v>9</v>
      </c>
      <c r="C123">
        <v>6000</v>
      </c>
      <c r="D123">
        <v>7125</v>
      </c>
      <c r="E123" s="5">
        <f t="shared" si="6"/>
        <v>1125</v>
      </c>
      <c r="F123" s="5">
        <f t="shared" si="7"/>
        <v>1265625</v>
      </c>
      <c r="G123" s="6">
        <f>SQRT(SUM($F$2:F123)/A123)</f>
        <v>949.88939390633141</v>
      </c>
      <c r="H123" s="5">
        <f t="shared" si="8"/>
        <v>1</v>
      </c>
      <c r="I123" s="5">
        <f t="shared" si="9"/>
        <v>0</v>
      </c>
    </row>
    <row r="124" spans="1:9">
      <c r="A124">
        <f t="shared" si="10"/>
        <v>123</v>
      </c>
      <c r="B124">
        <v>7</v>
      </c>
      <c r="C124">
        <v>6000</v>
      </c>
      <c r="D124">
        <v>5343</v>
      </c>
      <c r="E124" s="5">
        <f t="shared" si="6"/>
        <v>657</v>
      </c>
      <c r="F124" s="5">
        <f t="shared" si="7"/>
        <v>431649</v>
      </c>
      <c r="G124" s="6">
        <f>SQRT(SUM($F$2:F124)/A124)</f>
        <v>947.8731519539532</v>
      </c>
      <c r="H124" s="5">
        <f t="shared" si="8"/>
        <v>1</v>
      </c>
      <c r="I124" s="5">
        <f t="shared" si="9"/>
        <v>0</v>
      </c>
    </row>
    <row r="125" spans="1:9">
      <c r="A125">
        <f t="shared" si="10"/>
        <v>124</v>
      </c>
      <c r="B125">
        <v>9</v>
      </c>
      <c r="C125">
        <v>6000</v>
      </c>
      <c r="D125">
        <v>6078</v>
      </c>
      <c r="E125" s="5">
        <f t="shared" si="6"/>
        <v>78</v>
      </c>
      <c r="F125" s="5">
        <f t="shared" si="7"/>
        <v>6084</v>
      </c>
      <c r="G125" s="6">
        <f>SQRT(SUM($F$2:F125)/A125)</f>
        <v>944.06933178967654</v>
      </c>
      <c r="H125" s="5">
        <f t="shared" si="8"/>
        <v>1</v>
      </c>
      <c r="I125" s="5">
        <f t="shared" si="9"/>
        <v>1</v>
      </c>
    </row>
    <row r="126" spans="1:9">
      <c r="A126">
        <f t="shared" si="10"/>
        <v>125</v>
      </c>
      <c r="B126">
        <v>9</v>
      </c>
      <c r="C126">
        <v>6000</v>
      </c>
      <c r="D126">
        <v>6816</v>
      </c>
      <c r="E126" s="5">
        <f t="shared" si="6"/>
        <v>816</v>
      </c>
      <c r="F126" s="5">
        <f t="shared" si="7"/>
        <v>665856</v>
      </c>
      <c r="G126" s="6">
        <f>SQRT(SUM($F$2:F126)/A126)</f>
        <v>943.11378740849716</v>
      </c>
      <c r="H126" s="5">
        <f t="shared" si="8"/>
        <v>1</v>
      </c>
      <c r="I126" s="5">
        <f t="shared" si="9"/>
        <v>0</v>
      </c>
    </row>
    <row r="127" spans="1:9">
      <c r="A127">
        <f t="shared" si="10"/>
        <v>126</v>
      </c>
      <c r="B127">
        <v>8</v>
      </c>
      <c r="C127">
        <v>6000</v>
      </c>
      <c r="D127">
        <v>7740</v>
      </c>
      <c r="E127" s="5">
        <f t="shared" si="6"/>
        <v>1740</v>
      </c>
      <c r="F127" s="5">
        <f t="shared" si="7"/>
        <v>3027600</v>
      </c>
      <c r="G127" s="6">
        <f>SQRT(SUM($F$2:F127)/A127)</f>
        <v>952.0677246818907</v>
      </c>
      <c r="H127" s="5">
        <f t="shared" si="8"/>
        <v>0</v>
      </c>
      <c r="I127" s="5">
        <f t="shared" si="9"/>
        <v>0</v>
      </c>
    </row>
    <row r="128" spans="1:9">
      <c r="A128">
        <f t="shared" si="10"/>
        <v>127</v>
      </c>
      <c r="B128">
        <v>6</v>
      </c>
      <c r="C128">
        <v>6000</v>
      </c>
      <c r="D128">
        <v>5434</v>
      </c>
      <c r="E128" s="5">
        <f t="shared" si="6"/>
        <v>566</v>
      </c>
      <c r="F128" s="5">
        <f t="shared" si="7"/>
        <v>320356</v>
      </c>
      <c r="G128" s="6">
        <f>SQRT(SUM($F$2:F128)/A128)</f>
        <v>949.64107600100499</v>
      </c>
      <c r="H128" s="5">
        <f t="shared" si="8"/>
        <v>1</v>
      </c>
      <c r="I128" s="5">
        <f t="shared" si="9"/>
        <v>1</v>
      </c>
    </row>
    <row r="129" spans="1:9">
      <c r="A129">
        <f t="shared" si="10"/>
        <v>128</v>
      </c>
      <c r="B129">
        <v>9</v>
      </c>
      <c r="C129">
        <v>6000</v>
      </c>
      <c r="D129">
        <v>7546</v>
      </c>
      <c r="E129" s="5">
        <f t="shared" si="6"/>
        <v>1546</v>
      </c>
      <c r="F129" s="5">
        <f t="shared" si="7"/>
        <v>2390116</v>
      </c>
      <c r="G129" s="6">
        <f>SQRT(SUM($F$2:F129)/A129)</f>
        <v>955.74342791357969</v>
      </c>
      <c r="H129" s="5">
        <f t="shared" si="8"/>
        <v>0</v>
      </c>
      <c r="I129" s="5">
        <f t="shared" si="9"/>
        <v>0</v>
      </c>
    </row>
    <row r="130" spans="1:9">
      <c r="A130">
        <f t="shared" si="10"/>
        <v>129</v>
      </c>
      <c r="B130">
        <v>6</v>
      </c>
      <c r="C130">
        <v>6000</v>
      </c>
      <c r="D130">
        <v>4928</v>
      </c>
      <c r="E130" s="5">
        <f t="shared" si="6"/>
        <v>1072</v>
      </c>
      <c r="F130" s="5">
        <f t="shared" si="7"/>
        <v>1149184</v>
      </c>
      <c r="G130" s="6">
        <f>SQRT(SUM($F$2:F130)/A130)</f>
        <v>956.69897576644144</v>
      </c>
      <c r="H130" s="5">
        <f t="shared" si="8"/>
        <v>1</v>
      </c>
      <c r="I130" s="5">
        <f t="shared" si="9"/>
        <v>0</v>
      </c>
    </row>
    <row r="131" spans="1:9">
      <c r="A131">
        <f t="shared" si="10"/>
        <v>130</v>
      </c>
      <c r="B131">
        <v>9</v>
      </c>
      <c r="C131">
        <v>6000</v>
      </c>
      <c r="D131">
        <v>6798</v>
      </c>
      <c r="E131" s="5">
        <f t="shared" ref="E131:E194" si="11">ABS(C131-D131)</f>
        <v>798</v>
      </c>
      <c r="F131" s="5">
        <f t="shared" ref="F131:F194" si="12">POWER(E131,2)</f>
        <v>636804</v>
      </c>
      <c r="G131" s="6">
        <f>SQRT(SUM($F$2:F131)/A131)</f>
        <v>955.57880969518237</v>
      </c>
      <c r="H131" s="5">
        <f t="shared" ref="H131:H194" si="13">IF(ABS(E131)/C131&gt;0.2,0,1)</f>
        <v>1</v>
      </c>
      <c r="I131" s="5">
        <f t="shared" ref="I131:I194" si="14">IF(ABS(E131)/C131&gt;0.1,0,1)</f>
        <v>0</v>
      </c>
    </row>
    <row r="132" spans="1:9">
      <c r="A132">
        <f t="shared" ref="A132:A195" si="15">A131+1</f>
        <v>131</v>
      </c>
      <c r="B132">
        <v>7</v>
      </c>
      <c r="C132">
        <v>6000</v>
      </c>
      <c r="D132">
        <v>4832</v>
      </c>
      <c r="E132" s="5">
        <f t="shared" si="11"/>
        <v>1168</v>
      </c>
      <c r="F132" s="5">
        <f t="shared" si="12"/>
        <v>1364224</v>
      </c>
      <c r="G132" s="6">
        <f>SQRT(SUM($F$2:F132)/A132)</f>
        <v>957.37888038680228</v>
      </c>
      <c r="H132" s="5">
        <f t="shared" si="13"/>
        <v>1</v>
      </c>
      <c r="I132" s="5">
        <f t="shared" si="14"/>
        <v>0</v>
      </c>
    </row>
    <row r="133" spans="1:9">
      <c r="A133">
        <f t="shared" si="15"/>
        <v>132</v>
      </c>
      <c r="B133">
        <v>9</v>
      </c>
      <c r="C133">
        <v>6000</v>
      </c>
      <c r="D133">
        <v>7078</v>
      </c>
      <c r="E133" s="5">
        <f t="shared" si="11"/>
        <v>1078</v>
      </c>
      <c r="F133" s="5">
        <f t="shared" si="12"/>
        <v>1162084</v>
      </c>
      <c r="G133" s="6">
        <f>SQRT(SUM($F$2:F133)/A133)</f>
        <v>958.34974953001495</v>
      </c>
      <c r="H133" s="5">
        <f t="shared" si="13"/>
        <v>1</v>
      </c>
      <c r="I133" s="5">
        <f t="shared" si="14"/>
        <v>0</v>
      </c>
    </row>
    <row r="134" spans="1:9">
      <c r="A134">
        <f t="shared" si="15"/>
        <v>133</v>
      </c>
      <c r="B134">
        <v>7</v>
      </c>
      <c r="C134">
        <v>6000</v>
      </c>
      <c r="D134">
        <v>5385</v>
      </c>
      <c r="E134" s="5">
        <f t="shared" si="11"/>
        <v>615</v>
      </c>
      <c r="F134" s="5">
        <f t="shared" si="12"/>
        <v>378225</v>
      </c>
      <c r="G134" s="6">
        <f>SQRT(SUM($F$2:F134)/A134)</f>
        <v>956.22827755562241</v>
      </c>
      <c r="H134" s="5">
        <f t="shared" si="13"/>
        <v>1</v>
      </c>
      <c r="I134" s="5">
        <f t="shared" si="14"/>
        <v>0</v>
      </c>
    </row>
    <row r="135" spans="1:9">
      <c r="A135">
        <f t="shared" si="15"/>
        <v>134</v>
      </c>
      <c r="B135">
        <v>9</v>
      </c>
      <c r="C135">
        <v>6000</v>
      </c>
      <c r="D135">
        <v>6106</v>
      </c>
      <c r="E135" s="5">
        <f t="shared" si="11"/>
        <v>106</v>
      </c>
      <c r="F135" s="5">
        <f t="shared" si="12"/>
        <v>11236</v>
      </c>
      <c r="G135" s="6">
        <f>SQRT(SUM($F$2:F135)/A135)</f>
        <v>952.69758792066375</v>
      </c>
      <c r="H135" s="5">
        <f t="shared" si="13"/>
        <v>1</v>
      </c>
      <c r="I135" s="5">
        <f t="shared" si="14"/>
        <v>1</v>
      </c>
    </row>
    <row r="136" spans="1:9">
      <c r="A136">
        <f t="shared" si="15"/>
        <v>135</v>
      </c>
      <c r="B136">
        <v>8</v>
      </c>
      <c r="C136">
        <v>6000</v>
      </c>
      <c r="D136">
        <v>5324</v>
      </c>
      <c r="E136" s="5">
        <f t="shared" si="11"/>
        <v>676</v>
      </c>
      <c r="F136" s="5">
        <f t="shared" si="12"/>
        <v>456976</v>
      </c>
      <c r="G136" s="6">
        <f>SQRT(SUM($F$2:F136)/A136)</f>
        <v>950.94400271324923</v>
      </c>
      <c r="H136" s="5">
        <f t="shared" si="13"/>
        <v>1</v>
      </c>
      <c r="I136" s="5">
        <f t="shared" si="14"/>
        <v>0</v>
      </c>
    </row>
    <row r="137" spans="1:9">
      <c r="A137">
        <f t="shared" si="15"/>
        <v>136</v>
      </c>
      <c r="B137">
        <v>9</v>
      </c>
      <c r="C137">
        <v>6000</v>
      </c>
      <c r="D137">
        <v>5578</v>
      </c>
      <c r="E137" s="5">
        <f t="shared" si="11"/>
        <v>422</v>
      </c>
      <c r="F137" s="5">
        <f t="shared" si="12"/>
        <v>178084</v>
      </c>
      <c r="G137" s="6">
        <f>SQRT(SUM($F$2:F137)/A137)</f>
        <v>948.1322234980172</v>
      </c>
      <c r="H137" s="5">
        <f t="shared" si="13"/>
        <v>1</v>
      </c>
      <c r="I137" s="5">
        <f t="shared" si="14"/>
        <v>1</v>
      </c>
    </row>
    <row r="138" spans="1:9">
      <c r="A138">
        <f t="shared" si="15"/>
        <v>137</v>
      </c>
      <c r="B138">
        <v>9</v>
      </c>
      <c r="C138">
        <v>6000</v>
      </c>
      <c r="D138">
        <v>6454</v>
      </c>
      <c r="E138" s="5">
        <f t="shared" si="11"/>
        <v>454</v>
      </c>
      <c r="F138" s="5">
        <f t="shared" si="12"/>
        <v>206116</v>
      </c>
      <c r="G138" s="6">
        <f>SQRT(SUM($F$2:F138)/A138)</f>
        <v>945.46152557910307</v>
      </c>
      <c r="H138" s="5">
        <f t="shared" si="13"/>
        <v>1</v>
      </c>
      <c r="I138" s="5">
        <f t="shared" si="14"/>
        <v>1</v>
      </c>
    </row>
    <row r="139" spans="1:9">
      <c r="A139">
        <f t="shared" si="15"/>
        <v>138</v>
      </c>
      <c r="B139">
        <v>8</v>
      </c>
      <c r="C139">
        <v>6000</v>
      </c>
      <c r="D139">
        <v>5967</v>
      </c>
      <c r="E139" s="5">
        <f t="shared" si="11"/>
        <v>33</v>
      </c>
      <c r="F139" s="5">
        <f t="shared" si="12"/>
        <v>1089</v>
      </c>
      <c r="G139" s="6">
        <f>SQRT(SUM($F$2:F139)/A139)</f>
        <v>942.03390043310935</v>
      </c>
      <c r="H139" s="5">
        <f t="shared" si="13"/>
        <v>1</v>
      </c>
      <c r="I139" s="5">
        <f t="shared" si="14"/>
        <v>1</v>
      </c>
    </row>
    <row r="140" spans="1:9">
      <c r="A140">
        <f t="shared" si="15"/>
        <v>139</v>
      </c>
      <c r="B140">
        <v>8</v>
      </c>
      <c r="C140">
        <v>6000</v>
      </c>
      <c r="D140">
        <v>6813</v>
      </c>
      <c r="E140" s="5">
        <f t="shared" si="11"/>
        <v>813</v>
      </c>
      <c r="F140" s="5">
        <f t="shared" si="12"/>
        <v>660969</v>
      </c>
      <c r="G140" s="6">
        <f>SQRT(SUM($F$2:F140)/A140)</f>
        <v>941.16877820332957</v>
      </c>
      <c r="H140" s="5">
        <f t="shared" si="13"/>
        <v>1</v>
      </c>
      <c r="I140" s="5">
        <f t="shared" si="14"/>
        <v>0</v>
      </c>
    </row>
    <row r="141" spans="1:9">
      <c r="A141">
        <f t="shared" si="15"/>
        <v>140</v>
      </c>
      <c r="B141">
        <v>7</v>
      </c>
      <c r="C141">
        <v>6000</v>
      </c>
      <c r="D141">
        <v>5407</v>
      </c>
      <c r="E141" s="5">
        <f t="shared" si="11"/>
        <v>593</v>
      </c>
      <c r="F141" s="5">
        <f t="shared" si="12"/>
        <v>351649</v>
      </c>
      <c r="G141" s="6">
        <f>SQRT(SUM($F$2:F141)/A141)</f>
        <v>939.13966708137411</v>
      </c>
      <c r="H141" s="5">
        <f t="shared" si="13"/>
        <v>1</v>
      </c>
      <c r="I141" s="5">
        <f t="shared" si="14"/>
        <v>1</v>
      </c>
    </row>
    <row r="142" spans="1:9">
      <c r="A142">
        <f t="shared" si="15"/>
        <v>141</v>
      </c>
      <c r="B142">
        <v>9</v>
      </c>
      <c r="C142">
        <v>6000</v>
      </c>
      <c r="D142">
        <v>6469</v>
      </c>
      <c r="E142" s="5">
        <f t="shared" si="11"/>
        <v>469</v>
      </c>
      <c r="F142" s="5">
        <f t="shared" si="12"/>
        <v>219961</v>
      </c>
      <c r="G142" s="6">
        <f>SQRT(SUM($F$2:F142)/A142)</f>
        <v>936.6366000575548</v>
      </c>
      <c r="H142" s="5">
        <f t="shared" si="13"/>
        <v>1</v>
      </c>
      <c r="I142" s="5">
        <f t="shared" si="14"/>
        <v>1</v>
      </c>
    </row>
    <row r="143" spans="1:9">
      <c r="A143">
        <f t="shared" si="15"/>
        <v>142</v>
      </c>
      <c r="B143">
        <v>7</v>
      </c>
      <c r="C143">
        <v>6000</v>
      </c>
      <c r="D143">
        <v>4937</v>
      </c>
      <c r="E143" s="5">
        <f t="shared" si="11"/>
        <v>1063</v>
      </c>
      <c r="F143" s="5">
        <f t="shared" si="12"/>
        <v>1129969</v>
      </c>
      <c r="G143" s="6">
        <f>SQRT(SUM($F$2:F143)/A143)</f>
        <v>937.58602985554433</v>
      </c>
      <c r="H143" s="5">
        <f t="shared" si="13"/>
        <v>1</v>
      </c>
      <c r="I143" s="5">
        <f t="shared" si="14"/>
        <v>0</v>
      </c>
    </row>
    <row r="144" spans="1:9">
      <c r="A144">
        <f t="shared" si="15"/>
        <v>143</v>
      </c>
      <c r="B144">
        <v>9</v>
      </c>
      <c r="C144">
        <v>6000</v>
      </c>
      <c r="D144">
        <v>6800</v>
      </c>
      <c r="E144" s="5">
        <f t="shared" si="11"/>
        <v>800</v>
      </c>
      <c r="F144" s="5">
        <f t="shared" si="12"/>
        <v>640000</v>
      </c>
      <c r="G144" s="6">
        <f>SQRT(SUM($F$2:F144)/A144)</f>
        <v>936.69406010594639</v>
      </c>
      <c r="H144" s="5">
        <f t="shared" si="13"/>
        <v>1</v>
      </c>
      <c r="I144" s="5">
        <f t="shared" si="14"/>
        <v>0</v>
      </c>
    </row>
    <row r="145" spans="1:9">
      <c r="A145">
        <f t="shared" si="15"/>
        <v>144</v>
      </c>
      <c r="B145">
        <v>7</v>
      </c>
      <c r="C145">
        <v>6000</v>
      </c>
      <c r="D145">
        <v>5282</v>
      </c>
      <c r="E145" s="5">
        <f t="shared" si="11"/>
        <v>718</v>
      </c>
      <c r="F145" s="5">
        <f t="shared" si="12"/>
        <v>515524</v>
      </c>
      <c r="G145" s="6">
        <f>SQRT(SUM($F$2:F145)/A145)</f>
        <v>935.35167925699955</v>
      </c>
      <c r="H145" s="5">
        <f t="shared" si="13"/>
        <v>1</v>
      </c>
      <c r="I145" s="5">
        <f t="shared" si="14"/>
        <v>0</v>
      </c>
    </row>
    <row r="146" spans="1:9">
      <c r="A146">
        <f t="shared" si="15"/>
        <v>145</v>
      </c>
      <c r="B146">
        <v>9</v>
      </c>
      <c r="C146">
        <v>6000</v>
      </c>
      <c r="D146">
        <v>5975</v>
      </c>
      <c r="E146" s="5">
        <f t="shared" si="11"/>
        <v>25</v>
      </c>
      <c r="F146" s="5">
        <f t="shared" si="12"/>
        <v>625</v>
      </c>
      <c r="G146" s="6">
        <f>SQRT(SUM($F$2:F146)/A146)</f>
        <v>932.12306054511919</v>
      </c>
      <c r="H146" s="5">
        <f t="shared" si="13"/>
        <v>1</v>
      </c>
      <c r="I146" s="5">
        <f t="shared" si="14"/>
        <v>1</v>
      </c>
    </row>
    <row r="147" spans="1:9">
      <c r="A147">
        <f t="shared" si="15"/>
        <v>146</v>
      </c>
      <c r="B147">
        <v>8</v>
      </c>
      <c r="C147">
        <v>6000</v>
      </c>
      <c r="D147">
        <v>5866</v>
      </c>
      <c r="E147" s="5">
        <f t="shared" si="11"/>
        <v>134</v>
      </c>
      <c r="F147" s="5">
        <f t="shared" si="12"/>
        <v>17956</v>
      </c>
      <c r="G147" s="6">
        <f>SQRT(SUM($F$2:F147)/A147)</f>
        <v>928.99156918480071</v>
      </c>
      <c r="H147" s="5">
        <f t="shared" si="13"/>
        <v>1</v>
      </c>
      <c r="I147" s="5">
        <f t="shared" si="14"/>
        <v>1</v>
      </c>
    </row>
    <row r="148" spans="1:9">
      <c r="A148">
        <f t="shared" si="15"/>
        <v>147</v>
      </c>
      <c r="B148">
        <v>8</v>
      </c>
      <c r="C148">
        <v>6000</v>
      </c>
      <c r="D148">
        <v>6367</v>
      </c>
      <c r="E148" s="5">
        <f t="shared" si="11"/>
        <v>367</v>
      </c>
      <c r="F148" s="5">
        <f t="shared" si="12"/>
        <v>134689</v>
      </c>
      <c r="G148" s="6">
        <f>SQRT(SUM($F$2:F148)/A148)</f>
        <v>926.3210386613631</v>
      </c>
      <c r="H148" s="5">
        <f t="shared" si="13"/>
        <v>1</v>
      </c>
      <c r="I148" s="5">
        <f t="shared" si="14"/>
        <v>1</v>
      </c>
    </row>
    <row r="149" spans="1:9">
      <c r="A149">
        <f t="shared" si="15"/>
        <v>148</v>
      </c>
      <c r="B149">
        <v>8</v>
      </c>
      <c r="C149">
        <v>6000</v>
      </c>
      <c r="D149">
        <v>5893</v>
      </c>
      <c r="E149" s="5">
        <f t="shared" si="11"/>
        <v>107</v>
      </c>
      <c r="F149" s="5">
        <f t="shared" si="12"/>
        <v>11449</v>
      </c>
      <c r="G149" s="6">
        <f>SQRT(SUM($F$2:F149)/A149)</f>
        <v>923.22816789783883</v>
      </c>
      <c r="H149" s="5">
        <f t="shared" si="13"/>
        <v>1</v>
      </c>
      <c r="I149" s="5">
        <f t="shared" si="14"/>
        <v>1</v>
      </c>
    </row>
    <row r="150" spans="1:9">
      <c r="A150">
        <f t="shared" si="15"/>
        <v>149</v>
      </c>
      <c r="B150">
        <v>8</v>
      </c>
      <c r="C150">
        <v>6000</v>
      </c>
      <c r="D150">
        <v>5141</v>
      </c>
      <c r="E150" s="5">
        <f t="shared" si="11"/>
        <v>859</v>
      </c>
      <c r="F150" s="5">
        <f t="shared" si="12"/>
        <v>737881</v>
      </c>
      <c r="G150" s="6">
        <f>SQRT(SUM($F$2:F150)/A150)</f>
        <v>922.8120068573013</v>
      </c>
      <c r="H150" s="5">
        <f t="shared" si="13"/>
        <v>1</v>
      </c>
      <c r="I150" s="5">
        <f t="shared" si="14"/>
        <v>0</v>
      </c>
    </row>
    <row r="151" spans="1:9">
      <c r="A151">
        <f t="shared" si="15"/>
        <v>150</v>
      </c>
      <c r="B151">
        <v>9</v>
      </c>
      <c r="C151">
        <v>6000</v>
      </c>
      <c r="D151">
        <v>5993</v>
      </c>
      <c r="E151" s="5">
        <f t="shared" si="11"/>
        <v>7</v>
      </c>
      <c r="F151" s="5">
        <f t="shared" si="12"/>
        <v>49</v>
      </c>
      <c r="G151" s="6">
        <f>SQRT(SUM($F$2:F151)/A151)</f>
        <v>919.73100052859661</v>
      </c>
      <c r="H151" s="5">
        <f t="shared" si="13"/>
        <v>1</v>
      </c>
      <c r="I151" s="5">
        <f t="shared" si="14"/>
        <v>1</v>
      </c>
    </row>
    <row r="152" spans="1:9">
      <c r="A152">
        <f t="shared" si="15"/>
        <v>151</v>
      </c>
      <c r="B152">
        <v>8</v>
      </c>
      <c r="C152">
        <v>6000</v>
      </c>
      <c r="D152">
        <v>5859</v>
      </c>
      <c r="E152" s="5">
        <f t="shared" si="11"/>
        <v>141</v>
      </c>
      <c r="F152" s="5">
        <f t="shared" si="12"/>
        <v>19881</v>
      </c>
      <c r="G152" s="6">
        <f>SQRT(SUM($F$2:F152)/A152)</f>
        <v>916.7522865893967</v>
      </c>
      <c r="H152" s="5">
        <f t="shared" si="13"/>
        <v>1</v>
      </c>
      <c r="I152" s="5">
        <f t="shared" si="14"/>
        <v>1</v>
      </c>
    </row>
    <row r="153" spans="1:9">
      <c r="A153">
        <f t="shared" si="15"/>
        <v>152</v>
      </c>
      <c r="B153">
        <v>9</v>
      </c>
      <c r="C153">
        <v>6000</v>
      </c>
      <c r="D153">
        <v>6074</v>
      </c>
      <c r="E153" s="5">
        <f t="shared" si="11"/>
        <v>74</v>
      </c>
      <c r="F153" s="5">
        <f t="shared" si="12"/>
        <v>5476</v>
      </c>
      <c r="G153" s="6">
        <f>SQRT(SUM($F$2:F153)/A153)</f>
        <v>913.75139138780958</v>
      </c>
      <c r="H153" s="5">
        <f t="shared" si="13"/>
        <v>1</v>
      </c>
      <c r="I153" s="5">
        <f t="shared" si="14"/>
        <v>1</v>
      </c>
    </row>
    <row r="154" spans="1:9">
      <c r="A154">
        <f t="shared" si="15"/>
        <v>153</v>
      </c>
      <c r="B154">
        <v>8</v>
      </c>
      <c r="C154">
        <v>6000</v>
      </c>
      <c r="D154">
        <v>5806</v>
      </c>
      <c r="E154" s="5">
        <f t="shared" si="11"/>
        <v>194</v>
      </c>
      <c r="F154" s="5">
        <f t="shared" si="12"/>
        <v>37636</v>
      </c>
      <c r="G154" s="6">
        <f>SQRT(SUM($F$2:F154)/A154)</f>
        <v>910.89541524608626</v>
      </c>
      <c r="H154" s="5">
        <f t="shared" si="13"/>
        <v>1</v>
      </c>
      <c r="I154" s="5">
        <f t="shared" si="14"/>
        <v>1</v>
      </c>
    </row>
    <row r="155" spans="1:9">
      <c r="A155">
        <f t="shared" si="15"/>
        <v>154</v>
      </c>
      <c r="B155">
        <v>9</v>
      </c>
      <c r="C155">
        <v>6000</v>
      </c>
      <c r="D155">
        <v>6042</v>
      </c>
      <c r="E155" s="5">
        <f t="shared" si="11"/>
        <v>42</v>
      </c>
      <c r="F155" s="5">
        <f t="shared" si="12"/>
        <v>1764</v>
      </c>
      <c r="G155" s="6">
        <f>SQRT(SUM($F$2:F155)/A155)</f>
        <v>907.93945389990176</v>
      </c>
      <c r="H155" s="5">
        <f t="shared" si="13"/>
        <v>1</v>
      </c>
      <c r="I155" s="5">
        <f t="shared" si="14"/>
        <v>1</v>
      </c>
    </row>
    <row r="156" spans="1:9">
      <c r="A156">
        <f t="shared" si="15"/>
        <v>155</v>
      </c>
      <c r="B156">
        <v>8</v>
      </c>
      <c r="C156">
        <v>6000</v>
      </c>
      <c r="D156">
        <v>5668</v>
      </c>
      <c r="E156" s="5">
        <f t="shared" si="11"/>
        <v>332</v>
      </c>
      <c r="F156" s="5">
        <f t="shared" si="12"/>
        <v>110224</v>
      </c>
      <c r="G156" s="6">
        <f>SQRT(SUM($F$2:F156)/A156)</f>
        <v>905.39867533055428</v>
      </c>
      <c r="H156" s="5">
        <f t="shared" si="13"/>
        <v>1</v>
      </c>
      <c r="I156" s="5">
        <f t="shared" si="14"/>
        <v>1</v>
      </c>
    </row>
    <row r="157" spans="1:9">
      <c r="A157">
        <f t="shared" si="15"/>
        <v>156</v>
      </c>
      <c r="B157">
        <v>9</v>
      </c>
      <c r="C157">
        <v>6000</v>
      </c>
      <c r="D157">
        <v>6457</v>
      </c>
      <c r="E157" s="5">
        <f t="shared" si="11"/>
        <v>457</v>
      </c>
      <c r="F157" s="5">
        <f t="shared" si="12"/>
        <v>208849</v>
      </c>
      <c r="G157" s="6">
        <f>SQRT(SUM($F$2:F157)/A157)</f>
        <v>903.23349694306626</v>
      </c>
      <c r="H157" s="5">
        <f t="shared" si="13"/>
        <v>1</v>
      </c>
      <c r="I157" s="5">
        <f t="shared" si="14"/>
        <v>1</v>
      </c>
    </row>
    <row r="158" spans="1:9">
      <c r="A158">
        <f t="shared" si="15"/>
        <v>157</v>
      </c>
      <c r="B158">
        <v>8</v>
      </c>
      <c r="C158">
        <v>6000</v>
      </c>
      <c r="D158">
        <v>5763</v>
      </c>
      <c r="E158" s="5">
        <f t="shared" si="11"/>
        <v>237</v>
      </c>
      <c r="F158" s="5">
        <f t="shared" si="12"/>
        <v>56169</v>
      </c>
      <c r="G158" s="6">
        <f>SQRT(SUM($F$2:F158)/A158)</f>
        <v>900.55102028002193</v>
      </c>
      <c r="H158" s="5">
        <f t="shared" si="13"/>
        <v>1</v>
      </c>
      <c r="I158" s="5">
        <f t="shared" si="14"/>
        <v>1</v>
      </c>
    </row>
    <row r="159" spans="1:9">
      <c r="A159">
        <f t="shared" si="15"/>
        <v>158</v>
      </c>
      <c r="B159">
        <v>9</v>
      </c>
      <c r="C159">
        <v>6000</v>
      </c>
      <c r="D159">
        <v>6516</v>
      </c>
      <c r="E159" s="5">
        <f t="shared" si="11"/>
        <v>516</v>
      </c>
      <c r="F159" s="5">
        <f t="shared" si="12"/>
        <v>266256</v>
      </c>
      <c r="G159" s="6">
        <f>SQRT(SUM($F$2:F159)/A159)</f>
        <v>898.63476620814902</v>
      </c>
      <c r="H159" s="5">
        <f t="shared" si="13"/>
        <v>1</v>
      </c>
      <c r="I159" s="5">
        <f t="shared" si="14"/>
        <v>1</v>
      </c>
    </row>
    <row r="160" spans="1:9">
      <c r="A160">
        <f t="shared" si="15"/>
        <v>159</v>
      </c>
      <c r="B160">
        <v>8</v>
      </c>
      <c r="C160">
        <v>6000</v>
      </c>
      <c r="D160">
        <v>5867</v>
      </c>
      <c r="E160" s="5">
        <f t="shared" si="11"/>
        <v>133</v>
      </c>
      <c r="F160" s="5">
        <f t="shared" si="12"/>
        <v>17689</v>
      </c>
      <c r="G160" s="6">
        <f>SQRT(SUM($F$2:F160)/A160)</f>
        <v>895.86650721083345</v>
      </c>
      <c r="H160" s="5">
        <f t="shared" si="13"/>
        <v>1</v>
      </c>
      <c r="I160" s="5">
        <f t="shared" si="14"/>
        <v>1</v>
      </c>
    </row>
    <row r="161" spans="1:9">
      <c r="A161">
        <f t="shared" si="15"/>
        <v>160</v>
      </c>
      <c r="B161">
        <v>9</v>
      </c>
      <c r="C161">
        <v>6000</v>
      </c>
      <c r="D161">
        <v>5666</v>
      </c>
      <c r="E161" s="5">
        <f t="shared" si="11"/>
        <v>334</v>
      </c>
      <c r="F161" s="5">
        <f t="shared" si="12"/>
        <v>111556</v>
      </c>
      <c r="G161" s="6">
        <f>SQRT(SUM($F$2:F161)/A161)</f>
        <v>893.4528072315851</v>
      </c>
      <c r="H161" s="5">
        <f t="shared" si="13"/>
        <v>1</v>
      </c>
      <c r="I161" s="5">
        <f t="shared" si="14"/>
        <v>1</v>
      </c>
    </row>
    <row r="162" spans="1:9">
      <c r="A162">
        <f t="shared" si="15"/>
        <v>161</v>
      </c>
      <c r="B162">
        <v>9</v>
      </c>
      <c r="C162">
        <v>6000</v>
      </c>
      <c r="D162">
        <v>6066</v>
      </c>
      <c r="E162" s="5">
        <f t="shared" si="11"/>
        <v>66</v>
      </c>
      <c r="F162" s="5">
        <f t="shared" si="12"/>
        <v>4356</v>
      </c>
      <c r="G162" s="6">
        <f>SQRT(SUM($F$2:F162)/A162)</f>
        <v>890.68897541828653</v>
      </c>
      <c r="H162" s="5">
        <f t="shared" si="13"/>
        <v>1</v>
      </c>
      <c r="I162" s="5">
        <f t="shared" si="14"/>
        <v>1</v>
      </c>
    </row>
    <row r="163" spans="1:9">
      <c r="A163">
        <f t="shared" si="15"/>
        <v>162</v>
      </c>
      <c r="B163">
        <v>8</v>
      </c>
      <c r="C163">
        <v>6000</v>
      </c>
      <c r="D163">
        <v>5365</v>
      </c>
      <c r="E163" s="5">
        <f t="shared" si="11"/>
        <v>635</v>
      </c>
      <c r="F163" s="5">
        <f t="shared" si="12"/>
        <v>403225</v>
      </c>
      <c r="G163" s="6">
        <f>SQRT(SUM($F$2:F163)/A163)</f>
        <v>889.33616524619913</v>
      </c>
      <c r="H163" s="5">
        <f t="shared" si="13"/>
        <v>1</v>
      </c>
      <c r="I163" s="5">
        <f t="shared" si="14"/>
        <v>0</v>
      </c>
    </row>
    <row r="164" spans="1:9">
      <c r="A164">
        <f t="shared" si="15"/>
        <v>163</v>
      </c>
      <c r="B164">
        <v>9</v>
      </c>
      <c r="C164">
        <v>6000</v>
      </c>
      <c r="D164">
        <v>6226</v>
      </c>
      <c r="E164" s="5">
        <f t="shared" si="11"/>
        <v>226</v>
      </c>
      <c r="F164" s="5">
        <f t="shared" si="12"/>
        <v>51076</v>
      </c>
      <c r="G164" s="6">
        <f>SQRT(SUM($F$2:F164)/A164)</f>
        <v>886.78063907625472</v>
      </c>
      <c r="H164" s="5">
        <f t="shared" si="13"/>
        <v>1</v>
      </c>
      <c r="I164" s="5">
        <f t="shared" si="14"/>
        <v>1</v>
      </c>
    </row>
    <row r="165" spans="1:9">
      <c r="A165">
        <f t="shared" si="15"/>
        <v>164</v>
      </c>
      <c r="B165">
        <v>8</v>
      </c>
      <c r="C165">
        <v>6000</v>
      </c>
      <c r="D165">
        <v>4063</v>
      </c>
      <c r="E165" s="5">
        <f t="shared" si="11"/>
        <v>1937</v>
      </c>
      <c r="F165" s="5">
        <f t="shared" si="12"/>
        <v>3751969</v>
      </c>
      <c r="G165" s="6">
        <f>SQRT(SUM($F$2:F165)/A165)</f>
        <v>896.9184813544216</v>
      </c>
      <c r="H165" s="5">
        <f t="shared" si="13"/>
        <v>0</v>
      </c>
      <c r="I165" s="5">
        <f t="shared" si="14"/>
        <v>0</v>
      </c>
    </row>
    <row r="166" spans="1:9">
      <c r="A166">
        <f t="shared" si="15"/>
        <v>165</v>
      </c>
      <c r="B166">
        <v>11</v>
      </c>
      <c r="C166">
        <v>6000</v>
      </c>
      <c r="D166">
        <v>5683</v>
      </c>
      <c r="E166" s="5">
        <f t="shared" si="11"/>
        <v>317</v>
      </c>
      <c r="F166" s="5">
        <f t="shared" si="12"/>
        <v>100489</v>
      </c>
      <c r="G166" s="6">
        <f>SQRT(SUM($F$2:F166)/A166)</f>
        <v>894.53689389843191</v>
      </c>
      <c r="H166" s="5">
        <f t="shared" si="13"/>
        <v>1</v>
      </c>
      <c r="I166" s="5">
        <f t="shared" si="14"/>
        <v>1</v>
      </c>
    </row>
    <row r="167" spans="1:9">
      <c r="A167">
        <f t="shared" si="15"/>
        <v>166</v>
      </c>
      <c r="B167">
        <v>10</v>
      </c>
      <c r="C167">
        <v>6000</v>
      </c>
      <c r="D167">
        <v>2157</v>
      </c>
      <c r="E167" s="5">
        <f t="shared" si="11"/>
        <v>3843</v>
      </c>
      <c r="F167" s="5">
        <f t="shared" si="12"/>
        <v>14768649</v>
      </c>
      <c r="G167" s="6">
        <f>SQRT(SUM($F$2:F167)/A167)</f>
        <v>940.39542759467088</v>
      </c>
      <c r="H167" s="5">
        <f t="shared" si="13"/>
        <v>0</v>
      </c>
      <c r="I167" s="5">
        <f t="shared" si="14"/>
        <v>0</v>
      </c>
    </row>
    <row r="168" spans="1:9">
      <c r="A168">
        <f t="shared" si="15"/>
        <v>167</v>
      </c>
      <c r="B168">
        <v>14</v>
      </c>
      <c r="C168">
        <v>6000</v>
      </c>
      <c r="D168">
        <v>6518</v>
      </c>
      <c r="E168" s="5">
        <f t="shared" si="11"/>
        <v>518</v>
      </c>
      <c r="F168" s="5">
        <f t="shared" si="12"/>
        <v>268324</v>
      </c>
      <c r="G168" s="6">
        <f>SQRT(SUM($F$2:F168)/A168)</f>
        <v>938.43210748528918</v>
      </c>
      <c r="H168" s="5">
        <f t="shared" si="13"/>
        <v>1</v>
      </c>
      <c r="I168" s="5">
        <f t="shared" si="14"/>
        <v>1</v>
      </c>
    </row>
    <row r="169" spans="1:9">
      <c r="A169">
        <f t="shared" si="15"/>
        <v>168</v>
      </c>
      <c r="B169">
        <v>10</v>
      </c>
      <c r="C169">
        <v>6000</v>
      </c>
      <c r="D169">
        <v>5749</v>
      </c>
      <c r="E169" s="5">
        <f t="shared" si="11"/>
        <v>251</v>
      </c>
      <c r="F169" s="5">
        <f t="shared" si="12"/>
        <v>63001</v>
      </c>
      <c r="G169" s="6">
        <f>SQRT(SUM($F$2:F169)/A169)</f>
        <v>935.83536657541072</v>
      </c>
      <c r="H169" s="5">
        <f t="shared" si="13"/>
        <v>1</v>
      </c>
      <c r="I169" s="5">
        <f t="shared" si="14"/>
        <v>1</v>
      </c>
    </row>
    <row r="170" spans="1:9">
      <c r="A170">
        <f t="shared" si="15"/>
        <v>169</v>
      </c>
      <c r="B170">
        <v>10</v>
      </c>
      <c r="C170">
        <v>6000</v>
      </c>
      <c r="D170">
        <v>5682</v>
      </c>
      <c r="E170" s="5">
        <f t="shared" si="11"/>
        <v>318</v>
      </c>
      <c r="F170" s="5">
        <f t="shared" si="12"/>
        <v>101124</v>
      </c>
      <c r="G170" s="6">
        <f>SQRT(SUM($F$2:F170)/A170)</f>
        <v>933.38310659055696</v>
      </c>
      <c r="H170" s="5">
        <f t="shared" si="13"/>
        <v>1</v>
      </c>
      <c r="I170" s="5">
        <f t="shared" si="14"/>
        <v>1</v>
      </c>
    </row>
    <row r="171" spans="1:9">
      <c r="A171">
        <f t="shared" si="15"/>
        <v>170</v>
      </c>
      <c r="B171">
        <v>11</v>
      </c>
      <c r="C171">
        <v>6000</v>
      </c>
      <c r="D171">
        <v>6203</v>
      </c>
      <c r="E171" s="5">
        <f t="shared" si="11"/>
        <v>203</v>
      </c>
      <c r="F171" s="5">
        <f t="shared" si="12"/>
        <v>41209</v>
      </c>
      <c r="G171" s="6">
        <f>SQRT(SUM($F$2:F171)/A171)</f>
        <v>930.76404098998148</v>
      </c>
      <c r="H171" s="5">
        <f t="shared" si="13"/>
        <v>1</v>
      </c>
      <c r="I171" s="5">
        <f t="shared" si="14"/>
        <v>1</v>
      </c>
    </row>
    <row r="172" spans="1:9">
      <c r="A172">
        <f t="shared" si="15"/>
        <v>171</v>
      </c>
      <c r="B172">
        <v>10</v>
      </c>
      <c r="C172">
        <v>6000</v>
      </c>
      <c r="D172">
        <v>6185</v>
      </c>
      <c r="E172" s="5">
        <f t="shared" si="11"/>
        <v>185</v>
      </c>
      <c r="F172" s="5">
        <f t="shared" si="12"/>
        <v>34225</v>
      </c>
      <c r="G172" s="6">
        <f>SQRT(SUM($F$2:F172)/A172)</f>
        <v>928.14634483302279</v>
      </c>
      <c r="H172" s="5">
        <f t="shared" si="13"/>
        <v>1</v>
      </c>
      <c r="I172" s="5">
        <f t="shared" si="14"/>
        <v>1</v>
      </c>
    </row>
    <row r="173" spans="1:9">
      <c r="A173">
        <f t="shared" si="15"/>
        <v>172</v>
      </c>
      <c r="B173">
        <v>10</v>
      </c>
      <c r="C173">
        <v>6000</v>
      </c>
      <c r="D173">
        <v>6361</v>
      </c>
      <c r="E173" s="5">
        <f t="shared" si="11"/>
        <v>361</v>
      </c>
      <c r="F173" s="5">
        <f t="shared" si="12"/>
        <v>130321</v>
      </c>
      <c r="G173" s="6">
        <f>SQRT(SUM($F$2:F173)/A173)</f>
        <v>925.85358164839579</v>
      </c>
      <c r="H173" s="5">
        <f t="shared" si="13"/>
        <v>1</v>
      </c>
      <c r="I173" s="5">
        <f t="shared" si="14"/>
        <v>1</v>
      </c>
    </row>
    <row r="174" spans="1:9">
      <c r="A174">
        <f t="shared" si="15"/>
        <v>173</v>
      </c>
      <c r="B174">
        <v>10</v>
      </c>
      <c r="C174">
        <v>6000</v>
      </c>
      <c r="D174">
        <v>6104</v>
      </c>
      <c r="E174" s="5">
        <f t="shared" si="11"/>
        <v>104</v>
      </c>
      <c r="F174" s="5">
        <f t="shared" si="12"/>
        <v>10816</v>
      </c>
      <c r="G174" s="6">
        <f>SQRT(SUM($F$2:F174)/A174)</f>
        <v>923.20768710296795</v>
      </c>
      <c r="H174" s="5">
        <f t="shared" si="13"/>
        <v>1</v>
      </c>
      <c r="I174" s="5">
        <f t="shared" si="14"/>
        <v>1</v>
      </c>
    </row>
    <row r="175" spans="1:9">
      <c r="A175">
        <f t="shared" si="15"/>
        <v>174</v>
      </c>
      <c r="B175">
        <v>10</v>
      </c>
      <c r="C175">
        <v>6000</v>
      </c>
      <c r="D175">
        <v>6531</v>
      </c>
      <c r="E175" s="5">
        <f t="shared" si="11"/>
        <v>531</v>
      </c>
      <c r="F175" s="5">
        <f t="shared" si="12"/>
        <v>281961</v>
      </c>
      <c r="G175" s="6">
        <f>SQRT(SUM($F$2:F175)/A175)</f>
        <v>921.43070912800488</v>
      </c>
      <c r="H175" s="5">
        <f t="shared" si="13"/>
        <v>1</v>
      </c>
      <c r="I175" s="5">
        <f t="shared" si="14"/>
        <v>1</v>
      </c>
    </row>
    <row r="176" spans="1:9">
      <c r="A176">
        <f t="shared" si="15"/>
        <v>175</v>
      </c>
      <c r="B176">
        <v>9</v>
      </c>
      <c r="C176">
        <v>6000</v>
      </c>
      <c r="D176">
        <v>6337</v>
      </c>
      <c r="E176" s="5">
        <f t="shared" si="11"/>
        <v>337</v>
      </c>
      <c r="F176" s="5">
        <f t="shared" si="12"/>
        <v>113569</v>
      </c>
      <c r="G176" s="6">
        <f>SQRT(SUM($F$2:F176)/A176)</f>
        <v>919.14737198589182</v>
      </c>
      <c r="H176" s="5">
        <f t="shared" si="13"/>
        <v>1</v>
      </c>
      <c r="I176" s="5">
        <f t="shared" si="14"/>
        <v>1</v>
      </c>
    </row>
    <row r="177" spans="1:9">
      <c r="A177">
        <f t="shared" si="15"/>
        <v>176</v>
      </c>
      <c r="B177">
        <v>10</v>
      </c>
      <c r="C177">
        <v>6000</v>
      </c>
      <c r="D177">
        <v>6240</v>
      </c>
      <c r="E177" s="5">
        <f t="shared" si="11"/>
        <v>240</v>
      </c>
      <c r="F177" s="5">
        <f t="shared" si="12"/>
        <v>57600</v>
      </c>
      <c r="G177" s="6">
        <f>SQRT(SUM($F$2:F177)/A177)</f>
        <v>916.71095932935452</v>
      </c>
      <c r="H177" s="5">
        <f t="shared" si="13"/>
        <v>1</v>
      </c>
      <c r="I177" s="5">
        <f t="shared" si="14"/>
        <v>1</v>
      </c>
    </row>
    <row r="178" spans="1:9">
      <c r="A178">
        <f t="shared" si="15"/>
        <v>177</v>
      </c>
      <c r="B178">
        <v>10</v>
      </c>
      <c r="C178">
        <v>6000</v>
      </c>
      <c r="D178">
        <v>6558</v>
      </c>
      <c r="E178" s="5">
        <f t="shared" si="11"/>
        <v>558</v>
      </c>
      <c r="F178" s="5">
        <f t="shared" si="12"/>
        <v>311364</v>
      </c>
      <c r="G178" s="6">
        <f>SQRT(SUM($F$2:F178)/A178)</f>
        <v>915.07940132781005</v>
      </c>
      <c r="H178" s="5">
        <f t="shared" si="13"/>
        <v>1</v>
      </c>
      <c r="I178" s="5">
        <f t="shared" si="14"/>
        <v>1</v>
      </c>
    </row>
    <row r="179" spans="1:9">
      <c r="A179">
        <f t="shared" si="15"/>
        <v>178</v>
      </c>
      <c r="B179">
        <v>9</v>
      </c>
      <c r="C179">
        <v>6000</v>
      </c>
      <c r="D179">
        <v>5417</v>
      </c>
      <c r="E179" s="5">
        <f t="shared" si="11"/>
        <v>583</v>
      </c>
      <c r="F179" s="5">
        <f t="shared" si="12"/>
        <v>339889</v>
      </c>
      <c r="G179" s="6">
        <f>SQRT(SUM($F$2:F179)/A179)</f>
        <v>913.55102315640386</v>
      </c>
      <c r="H179" s="5">
        <f t="shared" si="13"/>
        <v>1</v>
      </c>
      <c r="I179" s="5">
        <f t="shared" si="14"/>
        <v>1</v>
      </c>
    </row>
    <row r="180" spans="1:9">
      <c r="A180">
        <f t="shared" si="15"/>
        <v>179</v>
      </c>
      <c r="B180">
        <v>10</v>
      </c>
      <c r="C180">
        <v>6000</v>
      </c>
      <c r="D180">
        <v>6600</v>
      </c>
      <c r="E180" s="5">
        <f t="shared" si="11"/>
        <v>600</v>
      </c>
      <c r="F180" s="5">
        <f t="shared" si="12"/>
        <v>360000</v>
      </c>
      <c r="G180" s="6">
        <f>SQRT(SUM($F$2:F180)/A180)</f>
        <v>912.09879524671157</v>
      </c>
      <c r="H180" s="5">
        <f t="shared" si="13"/>
        <v>1</v>
      </c>
      <c r="I180" s="5">
        <f t="shared" si="14"/>
        <v>1</v>
      </c>
    </row>
    <row r="181" spans="1:9">
      <c r="A181">
        <f t="shared" si="15"/>
        <v>180</v>
      </c>
      <c r="B181">
        <v>9</v>
      </c>
      <c r="C181">
        <v>6000</v>
      </c>
      <c r="D181">
        <v>5296</v>
      </c>
      <c r="E181" s="5">
        <f t="shared" si="11"/>
        <v>704</v>
      </c>
      <c r="F181" s="5">
        <f t="shared" si="12"/>
        <v>495616</v>
      </c>
      <c r="G181" s="6">
        <f>SQRT(SUM($F$2:F181)/A181)</f>
        <v>911.07399992170417</v>
      </c>
      <c r="H181" s="5">
        <f t="shared" si="13"/>
        <v>1</v>
      </c>
      <c r="I181" s="5">
        <f t="shared" si="14"/>
        <v>0</v>
      </c>
    </row>
    <row r="182" spans="1:9">
      <c r="A182">
        <f t="shared" si="15"/>
        <v>181</v>
      </c>
      <c r="B182">
        <v>11</v>
      </c>
      <c r="C182">
        <v>6000</v>
      </c>
      <c r="D182">
        <v>7051</v>
      </c>
      <c r="E182" s="5">
        <f t="shared" si="11"/>
        <v>1051</v>
      </c>
      <c r="F182" s="5">
        <f t="shared" si="12"/>
        <v>1104601</v>
      </c>
      <c r="G182" s="6">
        <f>SQRT(SUM($F$2:F182)/A182)</f>
        <v>911.90605736477244</v>
      </c>
      <c r="H182" s="5">
        <f t="shared" si="13"/>
        <v>1</v>
      </c>
      <c r="I182" s="5">
        <f t="shared" si="14"/>
        <v>0</v>
      </c>
    </row>
    <row r="183" spans="1:9">
      <c r="A183">
        <f t="shared" si="15"/>
        <v>182</v>
      </c>
      <c r="B183">
        <v>8</v>
      </c>
      <c r="C183">
        <v>6000</v>
      </c>
      <c r="D183">
        <v>5288</v>
      </c>
      <c r="E183" s="5">
        <f t="shared" si="11"/>
        <v>712</v>
      </c>
      <c r="F183" s="5">
        <f t="shared" si="12"/>
        <v>506944</v>
      </c>
      <c r="G183" s="6">
        <f>SQRT(SUM($F$2:F183)/A183)</f>
        <v>910.92754021188955</v>
      </c>
      <c r="H183" s="5">
        <f t="shared" si="13"/>
        <v>1</v>
      </c>
      <c r="I183" s="5">
        <f t="shared" si="14"/>
        <v>0</v>
      </c>
    </row>
    <row r="184" spans="1:9">
      <c r="A184">
        <f t="shared" si="15"/>
        <v>183</v>
      </c>
      <c r="B184">
        <v>10</v>
      </c>
      <c r="C184">
        <v>6000</v>
      </c>
      <c r="D184">
        <v>6970</v>
      </c>
      <c r="E184" s="5">
        <f t="shared" si="11"/>
        <v>970</v>
      </c>
      <c r="F184" s="5">
        <f t="shared" si="12"/>
        <v>940900</v>
      </c>
      <c r="G184" s="6">
        <f>SQRT(SUM($F$2:F184)/A184)</f>
        <v>911.26074618683299</v>
      </c>
      <c r="H184" s="5">
        <f t="shared" si="13"/>
        <v>1</v>
      </c>
      <c r="I184" s="5">
        <f t="shared" si="14"/>
        <v>0</v>
      </c>
    </row>
    <row r="185" spans="1:9">
      <c r="A185">
        <f t="shared" si="15"/>
        <v>184</v>
      </c>
      <c r="B185">
        <v>8</v>
      </c>
      <c r="C185">
        <v>6000</v>
      </c>
      <c r="D185">
        <v>5491</v>
      </c>
      <c r="E185" s="5">
        <f t="shared" si="11"/>
        <v>509</v>
      </c>
      <c r="F185" s="5">
        <f t="shared" si="12"/>
        <v>259081</v>
      </c>
      <c r="G185" s="6">
        <f>SQRT(SUM($F$2:F185)/A185)</f>
        <v>909.55548149249444</v>
      </c>
      <c r="H185" s="5">
        <f t="shared" si="13"/>
        <v>1</v>
      </c>
      <c r="I185" s="5">
        <f t="shared" si="14"/>
        <v>1</v>
      </c>
    </row>
    <row r="186" spans="1:9">
      <c r="A186">
        <f t="shared" si="15"/>
        <v>185</v>
      </c>
      <c r="B186">
        <v>10</v>
      </c>
      <c r="C186">
        <v>6000</v>
      </c>
      <c r="D186">
        <v>6676</v>
      </c>
      <c r="E186" s="5">
        <f t="shared" si="11"/>
        <v>676</v>
      </c>
      <c r="F186" s="5">
        <f t="shared" si="12"/>
        <v>456976</v>
      </c>
      <c r="G186" s="6">
        <f>SQRT(SUM($F$2:F186)/A186)</f>
        <v>908.45444039328152</v>
      </c>
      <c r="H186" s="5">
        <f t="shared" si="13"/>
        <v>1</v>
      </c>
      <c r="I186" s="5">
        <f t="shared" si="14"/>
        <v>0</v>
      </c>
    </row>
    <row r="187" spans="1:9">
      <c r="A187">
        <f t="shared" si="15"/>
        <v>186</v>
      </c>
      <c r="B187">
        <v>9</v>
      </c>
      <c r="C187">
        <v>6000</v>
      </c>
      <c r="D187">
        <v>6986</v>
      </c>
      <c r="E187" s="5">
        <f t="shared" si="11"/>
        <v>986</v>
      </c>
      <c r="F187" s="5">
        <f t="shared" si="12"/>
        <v>972196</v>
      </c>
      <c r="G187" s="6">
        <f>SQRT(SUM($F$2:F187)/A187)</f>
        <v>908.88904181015437</v>
      </c>
      <c r="H187" s="5">
        <f t="shared" si="13"/>
        <v>1</v>
      </c>
      <c r="I187" s="5">
        <f t="shared" si="14"/>
        <v>0</v>
      </c>
    </row>
    <row r="188" spans="1:9">
      <c r="A188">
        <f t="shared" si="15"/>
        <v>187</v>
      </c>
      <c r="B188">
        <v>8</v>
      </c>
      <c r="C188">
        <v>6000</v>
      </c>
      <c r="D188">
        <v>5767</v>
      </c>
      <c r="E188" s="5">
        <f t="shared" si="11"/>
        <v>233</v>
      </c>
      <c r="F188" s="5">
        <f t="shared" si="12"/>
        <v>54289</v>
      </c>
      <c r="G188" s="6">
        <f>SQRT(SUM($F$2:F188)/A188)</f>
        <v>906.6157231808395</v>
      </c>
      <c r="H188" s="5">
        <f t="shared" si="13"/>
        <v>1</v>
      </c>
      <c r="I188" s="5">
        <f t="shared" si="14"/>
        <v>1</v>
      </c>
    </row>
    <row r="189" spans="1:9">
      <c r="A189">
        <f t="shared" si="15"/>
        <v>188</v>
      </c>
      <c r="B189">
        <v>9</v>
      </c>
      <c r="C189">
        <v>6000</v>
      </c>
      <c r="D189">
        <v>5795</v>
      </c>
      <c r="E189" s="5">
        <f t="shared" si="11"/>
        <v>205</v>
      </c>
      <c r="F189" s="5">
        <f t="shared" si="12"/>
        <v>42025</v>
      </c>
      <c r="G189" s="6">
        <f>SQRT(SUM($F$2:F189)/A189)</f>
        <v>904.32489807402499</v>
      </c>
      <c r="H189" s="5">
        <f t="shared" si="13"/>
        <v>1</v>
      </c>
      <c r="I189" s="5">
        <f t="shared" si="14"/>
        <v>1</v>
      </c>
    </row>
    <row r="190" spans="1:9">
      <c r="A190">
        <f t="shared" si="15"/>
        <v>189</v>
      </c>
      <c r="B190">
        <v>9</v>
      </c>
      <c r="C190">
        <v>6000</v>
      </c>
      <c r="D190">
        <v>6158</v>
      </c>
      <c r="E190" s="5">
        <f t="shared" si="11"/>
        <v>158</v>
      </c>
      <c r="F190" s="5">
        <f t="shared" si="12"/>
        <v>24964</v>
      </c>
      <c r="G190" s="6">
        <f>SQRT(SUM($F$2:F190)/A190)</f>
        <v>902.00255164528403</v>
      </c>
      <c r="H190" s="5">
        <f t="shared" si="13"/>
        <v>1</v>
      </c>
      <c r="I190" s="5">
        <f t="shared" si="14"/>
        <v>1</v>
      </c>
    </row>
    <row r="191" spans="1:9">
      <c r="A191">
        <f t="shared" si="15"/>
        <v>190</v>
      </c>
      <c r="B191">
        <v>9</v>
      </c>
      <c r="C191">
        <v>6000</v>
      </c>
      <c r="D191">
        <v>5835</v>
      </c>
      <c r="E191" s="5">
        <f t="shared" si="11"/>
        <v>165</v>
      </c>
      <c r="F191" s="5">
        <f t="shared" si="12"/>
        <v>27225</v>
      </c>
      <c r="G191" s="6">
        <f>SQRT(SUM($F$2:F191)/A191)</f>
        <v>899.70536405273435</v>
      </c>
      <c r="H191" s="5">
        <f t="shared" si="13"/>
        <v>1</v>
      </c>
      <c r="I191" s="5">
        <f t="shared" si="14"/>
        <v>1</v>
      </c>
    </row>
    <row r="192" spans="1:9">
      <c r="A192">
        <f t="shared" si="15"/>
        <v>191</v>
      </c>
      <c r="B192">
        <v>9</v>
      </c>
      <c r="C192">
        <v>6000</v>
      </c>
      <c r="D192">
        <v>6145</v>
      </c>
      <c r="E192" s="5">
        <f t="shared" si="11"/>
        <v>145</v>
      </c>
      <c r="F192" s="5">
        <f t="shared" si="12"/>
        <v>21025</v>
      </c>
      <c r="G192" s="6">
        <f>SQRT(SUM($F$2:F192)/A192)</f>
        <v>897.40835697150919</v>
      </c>
      <c r="H192" s="5">
        <f t="shared" si="13"/>
        <v>1</v>
      </c>
      <c r="I192" s="5">
        <f t="shared" si="14"/>
        <v>1</v>
      </c>
    </row>
    <row r="193" spans="1:9">
      <c r="A193">
        <f t="shared" si="15"/>
        <v>192</v>
      </c>
      <c r="B193">
        <v>9</v>
      </c>
      <c r="C193">
        <v>6000</v>
      </c>
      <c r="D193">
        <v>6004</v>
      </c>
      <c r="E193" s="5">
        <f t="shared" si="11"/>
        <v>4</v>
      </c>
      <c r="F193" s="5">
        <f t="shared" si="12"/>
        <v>16</v>
      </c>
      <c r="G193" s="6">
        <f>SQRT(SUM($F$2:F193)/A193)</f>
        <v>895.0683516730254</v>
      </c>
      <c r="H193" s="5">
        <f t="shared" si="13"/>
        <v>1</v>
      </c>
      <c r="I193" s="5">
        <f t="shared" si="14"/>
        <v>1</v>
      </c>
    </row>
    <row r="194" spans="1:9">
      <c r="A194">
        <f t="shared" si="15"/>
        <v>193</v>
      </c>
      <c r="B194">
        <v>9</v>
      </c>
      <c r="C194">
        <v>6000</v>
      </c>
      <c r="D194">
        <v>5877</v>
      </c>
      <c r="E194" s="5">
        <f t="shared" si="11"/>
        <v>123</v>
      </c>
      <c r="F194" s="5">
        <f t="shared" si="12"/>
        <v>15129</v>
      </c>
      <c r="G194" s="6">
        <f>SQRT(SUM($F$2:F194)/A194)</f>
        <v>892.7904122509683</v>
      </c>
      <c r="H194" s="5">
        <f t="shared" si="13"/>
        <v>1</v>
      </c>
      <c r="I194" s="5">
        <f t="shared" si="14"/>
        <v>1</v>
      </c>
    </row>
    <row r="195" spans="1:9">
      <c r="A195">
        <f t="shared" si="15"/>
        <v>194</v>
      </c>
      <c r="B195">
        <v>9</v>
      </c>
      <c r="C195">
        <v>6000</v>
      </c>
      <c r="D195">
        <v>5794</v>
      </c>
      <c r="E195" s="5">
        <f t="shared" ref="E195:E258" si="16">ABS(C195-D195)</f>
        <v>206</v>
      </c>
      <c r="F195" s="5">
        <f t="shared" ref="F195:F258" si="17">POWER(E195,2)</f>
        <v>42436</v>
      </c>
      <c r="G195" s="6">
        <f>SQRT(SUM($F$2:F195)/A195)</f>
        <v>890.60924646946444</v>
      </c>
      <c r="H195" s="5">
        <f t="shared" ref="H195:H258" si="18">IF(ABS(E195)/C195&gt;0.2,0,1)</f>
        <v>1</v>
      </c>
      <c r="I195" s="5">
        <f t="shared" ref="I195:I258" si="19">IF(ABS(E195)/C195&gt;0.1,0,1)</f>
        <v>1</v>
      </c>
    </row>
    <row r="196" spans="1:9">
      <c r="A196">
        <f t="shared" ref="A196:A259" si="20">A195+1</f>
        <v>195</v>
      </c>
      <c r="B196">
        <v>9</v>
      </c>
      <c r="C196">
        <v>6000</v>
      </c>
      <c r="D196">
        <v>6095</v>
      </c>
      <c r="E196" s="5">
        <f t="shared" si="16"/>
        <v>95</v>
      </c>
      <c r="F196" s="5">
        <f t="shared" si="17"/>
        <v>9025</v>
      </c>
      <c r="G196" s="6">
        <f>SQRT(SUM($F$2:F196)/A196)</f>
        <v>888.34874764131769</v>
      </c>
      <c r="H196" s="5">
        <f t="shared" si="18"/>
        <v>1</v>
      </c>
      <c r="I196" s="5">
        <f t="shared" si="19"/>
        <v>1</v>
      </c>
    </row>
    <row r="197" spans="1:9">
      <c r="A197">
        <f t="shared" si="20"/>
        <v>196</v>
      </c>
      <c r="B197">
        <v>9</v>
      </c>
      <c r="C197">
        <v>6000</v>
      </c>
      <c r="D197">
        <v>5809</v>
      </c>
      <c r="E197" s="5">
        <f t="shared" si="16"/>
        <v>191</v>
      </c>
      <c r="F197" s="5">
        <f t="shared" si="17"/>
        <v>36481</v>
      </c>
      <c r="G197" s="6">
        <f>SQRT(SUM($F$2:F197)/A197)</f>
        <v>886.1846763582887</v>
      </c>
      <c r="H197" s="5">
        <f t="shared" si="18"/>
        <v>1</v>
      </c>
      <c r="I197" s="5">
        <f t="shared" si="19"/>
        <v>1</v>
      </c>
    </row>
    <row r="198" spans="1:9">
      <c r="A198">
        <f t="shared" si="20"/>
        <v>197</v>
      </c>
      <c r="B198">
        <v>10</v>
      </c>
      <c r="C198">
        <v>6000</v>
      </c>
      <c r="D198">
        <v>6163</v>
      </c>
      <c r="E198" s="5">
        <f t="shared" si="16"/>
        <v>163</v>
      </c>
      <c r="F198" s="5">
        <f t="shared" si="17"/>
        <v>26569</v>
      </c>
      <c r="G198" s="6">
        <f>SQRT(SUM($F$2:F198)/A198)</f>
        <v>884.00890043065135</v>
      </c>
      <c r="H198" s="5">
        <f t="shared" si="18"/>
        <v>1</v>
      </c>
      <c r="I198" s="5">
        <f t="shared" si="19"/>
        <v>1</v>
      </c>
    </row>
    <row r="199" spans="1:9">
      <c r="A199">
        <f t="shared" si="20"/>
        <v>198</v>
      </c>
      <c r="B199">
        <v>9</v>
      </c>
      <c r="C199">
        <v>6000</v>
      </c>
      <c r="D199">
        <v>5531</v>
      </c>
      <c r="E199" s="5">
        <f t="shared" si="16"/>
        <v>469</v>
      </c>
      <c r="F199" s="5">
        <f t="shared" si="17"/>
        <v>219961</v>
      </c>
      <c r="G199" s="6">
        <f>SQRT(SUM($F$2:F199)/A199)</f>
        <v>882.4034356417269</v>
      </c>
      <c r="H199" s="5">
        <f t="shared" si="18"/>
        <v>1</v>
      </c>
      <c r="I199" s="5">
        <f t="shared" si="19"/>
        <v>1</v>
      </c>
    </row>
    <row r="200" spans="1:9">
      <c r="A200">
        <f t="shared" si="20"/>
        <v>199</v>
      </c>
      <c r="B200">
        <v>10</v>
      </c>
      <c r="C200">
        <v>6000</v>
      </c>
      <c r="D200">
        <v>6852</v>
      </c>
      <c r="E200" s="5">
        <f t="shared" si="16"/>
        <v>852</v>
      </c>
      <c r="F200" s="5">
        <f t="shared" si="17"/>
        <v>725904</v>
      </c>
      <c r="G200" s="6">
        <f>SQRT(SUM($F$2:F200)/A200)</f>
        <v>882.25327383692934</v>
      </c>
      <c r="H200" s="5">
        <f t="shared" si="18"/>
        <v>1</v>
      </c>
      <c r="I200" s="5">
        <f t="shared" si="19"/>
        <v>0</v>
      </c>
    </row>
    <row r="201" spans="1:9">
      <c r="A201">
        <f t="shared" si="20"/>
        <v>200</v>
      </c>
      <c r="B201">
        <v>8</v>
      </c>
      <c r="C201">
        <v>6000</v>
      </c>
      <c r="D201">
        <v>5420</v>
      </c>
      <c r="E201" s="5">
        <f t="shared" si="16"/>
        <v>580</v>
      </c>
      <c r="F201" s="5">
        <f t="shared" si="17"/>
        <v>336400</v>
      </c>
      <c r="G201" s="6">
        <f>SQRT(SUM($F$2:F201)/A201)</f>
        <v>880.99999148694656</v>
      </c>
      <c r="H201" s="5">
        <f t="shared" si="18"/>
        <v>1</v>
      </c>
      <c r="I201" s="5">
        <f t="shared" si="19"/>
        <v>1</v>
      </c>
    </row>
    <row r="202" spans="1:9">
      <c r="A202">
        <f t="shared" si="20"/>
        <v>201</v>
      </c>
      <c r="B202">
        <v>10</v>
      </c>
      <c r="C202">
        <v>9000</v>
      </c>
      <c r="D202">
        <v>6052</v>
      </c>
      <c r="E202" s="5">
        <f t="shared" si="16"/>
        <v>2948</v>
      </c>
      <c r="F202" s="5">
        <f t="shared" si="17"/>
        <v>8690704</v>
      </c>
      <c r="G202" s="6">
        <f>SQRT(SUM($F$2:F202)/A202)</f>
        <v>903.07077291623295</v>
      </c>
      <c r="H202" s="5">
        <f t="shared" si="18"/>
        <v>0</v>
      </c>
      <c r="I202" s="5">
        <f t="shared" si="19"/>
        <v>0</v>
      </c>
    </row>
    <row r="203" spans="1:9">
      <c r="A203">
        <f t="shared" si="20"/>
        <v>202</v>
      </c>
      <c r="B203">
        <v>13</v>
      </c>
      <c r="C203">
        <v>9000</v>
      </c>
      <c r="D203">
        <v>8308</v>
      </c>
      <c r="E203" s="5">
        <f t="shared" si="16"/>
        <v>692</v>
      </c>
      <c r="F203" s="5">
        <f t="shared" si="17"/>
        <v>478864</v>
      </c>
      <c r="G203" s="6">
        <f>SQRT(SUM($F$2:F203)/A203)</f>
        <v>902.14750665419251</v>
      </c>
      <c r="H203" s="5">
        <f t="shared" si="18"/>
        <v>1</v>
      </c>
      <c r="I203" s="5">
        <f t="shared" si="19"/>
        <v>1</v>
      </c>
    </row>
    <row r="204" spans="1:9">
      <c r="A204">
        <f t="shared" si="20"/>
        <v>203</v>
      </c>
      <c r="B204">
        <v>11</v>
      </c>
      <c r="C204">
        <v>9000</v>
      </c>
      <c r="D204">
        <v>7126</v>
      </c>
      <c r="E204" s="5">
        <f t="shared" si="16"/>
        <v>1874</v>
      </c>
      <c r="F204" s="5">
        <f t="shared" si="17"/>
        <v>3511876</v>
      </c>
      <c r="G204" s="6">
        <f>SQRT(SUM($F$2:F204)/A204)</f>
        <v>909.48380585002622</v>
      </c>
      <c r="H204" s="5">
        <f t="shared" si="18"/>
        <v>0</v>
      </c>
      <c r="I204" s="5">
        <f t="shared" si="19"/>
        <v>0</v>
      </c>
    </row>
    <row r="205" spans="1:9">
      <c r="A205">
        <f t="shared" si="20"/>
        <v>204</v>
      </c>
      <c r="B205">
        <v>13</v>
      </c>
      <c r="C205">
        <v>9000</v>
      </c>
      <c r="D205">
        <v>7860</v>
      </c>
      <c r="E205" s="5">
        <f t="shared" si="16"/>
        <v>1140</v>
      </c>
      <c r="F205" s="5">
        <f t="shared" si="17"/>
        <v>1299600</v>
      </c>
      <c r="G205" s="6">
        <f>SQRT(SUM($F$2:F205)/A205)</f>
        <v>910.75609883691004</v>
      </c>
      <c r="H205" s="5">
        <f t="shared" si="18"/>
        <v>1</v>
      </c>
      <c r="I205" s="5">
        <f t="shared" si="19"/>
        <v>0</v>
      </c>
    </row>
    <row r="206" spans="1:9">
      <c r="A206">
        <f t="shared" si="20"/>
        <v>205</v>
      </c>
      <c r="B206">
        <v>12</v>
      </c>
      <c r="C206">
        <v>9000</v>
      </c>
      <c r="D206">
        <v>7553</v>
      </c>
      <c r="E206" s="5">
        <f t="shared" si="16"/>
        <v>1447</v>
      </c>
      <c r="F206" s="5">
        <f t="shared" si="17"/>
        <v>2093809</v>
      </c>
      <c r="G206" s="6">
        <f>SQRT(SUM($F$2:F206)/A206)</f>
        <v>914.13573737244485</v>
      </c>
      <c r="H206" s="5">
        <f t="shared" si="18"/>
        <v>1</v>
      </c>
      <c r="I206" s="5">
        <f t="shared" si="19"/>
        <v>0</v>
      </c>
    </row>
    <row r="207" spans="1:9">
      <c r="A207">
        <f t="shared" si="20"/>
        <v>206</v>
      </c>
      <c r="B207">
        <v>13</v>
      </c>
      <c r="C207">
        <v>9000</v>
      </c>
      <c r="D207">
        <v>8033</v>
      </c>
      <c r="E207" s="5">
        <f t="shared" si="16"/>
        <v>967</v>
      </c>
      <c r="F207" s="5">
        <f t="shared" si="17"/>
        <v>935089</v>
      </c>
      <c r="G207" s="6">
        <f>SQRT(SUM($F$2:F207)/A207)</f>
        <v>914.39974209834213</v>
      </c>
      <c r="H207" s="5">
        <f t="shared" si="18"/>
        <v>1</v>
      </c>
      <c r="I207" s="5">
        <f t="shared" si="19"/>
        <v>0</v>
      </c>
    </row>
    <row r="208" spans="1:9">
      <c r="A208">
        <f t="shared" si="20"/>
        <v>207</v>
      </c>
      <c r="B208">
        <v>13</v>
      </c>
      <c r="C208">
        <v>9000</v>
      </c>
      <c r="D208">
        <v>8950</v>
      </c>
      <c r="E208" s="5">
        <f t="shared" si="16"/>
        <v>50</v>
      </c>
      <c r="F208" s="5">
        <f t="shared" si="17"/>
        <v>2500</v>
      </c>
      <c r="G208" s="6">
        <f>SQRT(SUM($F$2:F208)/A208)</f>
        <v>912.19499303274495</v>
      </c>
      <c r="H208" s="5">
        <f t="shared" si="18"/>
        <v>1</v>
      </c>
      <c r="I208" s="5">
        <f t="shared" si="19"/>
        <v>1</v>
      </c>
    </row>
    <row r="209" spans="1:9">
      <c r="A209">
        <f t="shared" si="20"/>
        <v>208</v>
      </c>
      <c r="B209">
        <v>12</v>
      </c>
      <c r="C209">
        <v>9000</v>
      </c>
      <c r="D209">
        <v>8021</v>
      </c>
      <c r="E209" s="5">
        <f t="shared" si="16"/>
        <v>979</v>
      </c>
      <c r="F209" s="5">
        <f t="shared" si="17"/>
        <v>958441</v>
      </c>
      <c r="G209" s="6">
        <f>SQRT(SUM($F$2:F209)/A209)</f>
        <v>912.52787101798447</v>
      </c>
      <c r="H209" s="5">
        <f t="shared" si="18"/>
        <v>1</v>
      </c>
      <c r="I209" s="5">
        <f t="shared" si="19"/>
        <v>0</v>
      </c>
    </row>
    <row r="210" spans="1:9">
      <c r="A210">
        <f t="shared" si="20"/>
        <v>209</v>
      </c>
      <c r="B210">
        <v>13</v>
      </c>
      <c r="C210">
        <v>9000</v>
      </c>
      <c r="D210">
        <v>8424</v>
      </c>
      <c r="E210" s="5">
        <f t="shared" si="16"/>
        <v>576</v>
      </c>
      <c r="F210" s="5">
        <f t="shared" si="17"/>
        <v>331776</v>
      </c>
      <c r="G210" s="6">
        <f>SQRT(SUM($F$2:F210)/A210)</f>
        <v>911.21364991393409</v>
      </c>
      <c r="H210" s="5">
        <f t="shared" si="18"/>
        <v>1</v>
      </c>
      <c r="I210" s="5">
        <f t="shared" si="19"/>
        <v>1</v>
      </c>
    </row>
    <row r="211" spans="1:9">
      <c r="A211">
        <f t="shared" si="20"/>
        <v>210</v>
      </c>
      <c r="B211">
        <v>13</v>
      </c>
      <c r="C211">
        <v>9000</v>
      </c>
      <c r="D211">
        <v>8100</v>
      </c>
      <c r="E211" s="5">
        <f t="shared" si="16"/>
        <v>900</v>
      </c>
      <c r="F211" s="5">
        <f t="shared" si="17"/>
        <v>810000</v>
      </c>
      <c r="G211" s="6">
        <f>SQRT(SUM($F$2:F211)/A211)</f>
        <v>911.16057860291562</v>
      </c>
      <c r="H211" s="5">
        <f t="shared" si="18"/>
        <v>1</v>
      </c>
      <c r="I211" s="5">
        <f t="shared" si="19"/>
        <v>1</v>
      </c>
    </row>
    <row r="212" spans="1:9">
      <c r="A212">
        <f t="shared" si="20"/>
        <v>211</v>
      </c>
      <c r="B212">
        <v>13</v>
      </c>
      <c r="C212">
        <v>9000</v>
      </c>
      <c r="D212">
        <v>8114</v>
      </c>
      <c r="E212" s="5">
        <f t="shared" si="16"/>
        <v>886</v>
      </c>
      <c r="F212" s="5">
        <f t="shared" si="17"/>
        <v>784996</v>
      </c>
      <c r="G212" s="6">
        <f>SQRT(SUM($F$2:F212)/A212)</f>
        <v>911.04297295912397</v>
      </c>
      <c r="H212" s="5">
        <f t="shared" si="18"/>
        <v>1</v>
      </c>
      <c r="I212" s="5">
        <f t="shared" si="19"/>
        <v>1</v>
      </c>
    </row>
    <row r="213" spans="1:9">
      <c r="A213">
        <f t="shared" si="20"/>
        <v>212</v>
      </c>
      <c r="B213">
        <v>14</v>
      </c>
      <c r="C213">
        <v>9000</v>
      </c>
      <c r="D213">
        <v>9130</v>
      </c>
      <c r="E213" s="5">
        <f t="shared" si="16"/>
        <v>130</v>
      </c>
      <c r="F213" s="5">
        <f t="shared" si="17"/>
        <v>16900</v>
      </c>
      <c r="G213" s="6">
        <f>SQRT(SUM($F$2:F213)/A213)</f>
        <v>908.9355997694787</v>
      </c>
      <c r="H213" s="5">
        <f t="shared" si="18"/>
        <v>1</v>
      </c>
      <c r="I213" s="5">
        <f t="shared" si="19"/>
        <v>1</v>
      </c>
    </row>
    <row r="214" spans="1:9">
      <c r="A214">
        <f t="shared" si="20"/>
        <v>213</v>
      </c>
      <c r="B214">
        <v>13</v>
      </c>
      <c r="C214">
        <v>9000</v>
      </c>
      <c r="D214">
        <v>8141</v>
      </c>
      <c r="E214" s="5">
        <f t="shared" si="16"/>
        <v>859</v>
      </c>
      <c r="F214" s="5">
        <f t="shared" si="17"/>
        <v>737881</v>
      </c>
      <c r="G214" s="6">
        <f>SQRT(SUM($F$2:F214)/A214)</f>
        <v>908.70757161158576</v>
      </c>
      <c r="H214" s="5">
        <f t="shared" si="18"/>
        <v>1</v>
      </c>
      <c r="I214" s="5">
        <f t="shared" si="19"/>
        <v>1</v>
      </c>
    </row>
    <row r="215" spans="1:9">
      <c r="A215">
        <f t="shared" si="20"/>
        <v>214</v>
      </c>
      <c r="B215">
        <v>14</v>
      </c>
      <c r="C215">
        <v>9000</v>
      </c>
      <c r="D215">
        <v>9883</v>
      </c>
      <c r="E215" s="5">
        <f t="shared" si="16"/>
        <v>883</v>
      </c>
      <c r="F215" s="5">
        <f t="shared" si="17"/>
        <v>779689</v>
      </c>
      <c r="G215" s="6">
        <f>SQRT(SUM($F$2:F215)/A215)</f>
        <v>908.58913429188169</v>
      </c>
      <c r="H215" s="5">
        <f t="shared" si="18"/>
        <v>1</v>
      </c>
      <c r="I215" s="5">
        <f t="shared" si="19"/>
        <v>1</v>
      </c>
    </row>
    <row r="216" spans="1:9">
      <c r="A216">
        <f t="shared" si="20"/>
        <v>215</v>
      </c>
      <c r="B216">
        <v>12</v>
      </c>
      <c r="C216">
        <v>9000</v>
      </c>
      <c r="D216">
        <v>7372</v>
      </c>
      <c r="E216" s="5">
        <f t="shared" si="16"/>
        <v>1628</v>
      </c>
      <c r="F216" s="5">
        <f t="shared" si="17"/>
        <v>2650384</v>
      </c>
      <c r="G216" s="6">
        <f>SQRT(SUM($F$2:F216)/A216)</f>
        <v>913.24798843035671</v>
      </c>
      <c r="H216" s="5">
        <f t="shared" si="18"/>
        <v>1</v>
      </c>
      <c r="I216" s="5">
        <f t="shared" si="19"/>
        <v>0</v>
      </c>
    </row>
    <row r="217" spans="1:9">
      <c r="A217">
        <f t="shared" si="20"/>
        <v>216</v>
      </c>
      <c r="B217">
        <v>15</v>
      </c>
      <c r="C217">
        <v>9000</v>
      </c>
      <c r="D217">
        <v>8671</v>
      </c>
      <c r="E217" s="5">
        <f t="shared" si="16"/>
        <v>329</v>
      </c>
      <c r="F217" s="5">
        <f t="shared" si="17"/>
        <v>108241</v>
      </c>
      <c r="G217" s="6">
        <f>SQRT(SUM($F$2:F217)/A217)</f>
        <v>911.40649090659133</v>
      </c>
      <c r="H217" s="5">
        <f t="shared" si="18"/>
        <v>1</v>
      </c>
      <c r="I217" s="5">
        <f t="shared" si="19"/>
        <v>1</v>
      </c>
    </row>
    <row r="218" spans="1:9">
      <c r="A218">
        <f t="shared" si="20"/>
        <v>217</v>
      </c>
      <c r="B218">
        <v>14</v>
      </c>
      <c r="C218">
        <v>9000</v>
      </c>
      <c r="D218">
        <v>8562</v>
      </c>
      <c r="E218" s="5">
        <f t="shared" si="16"/>
        <v>438</v>
      </c>
      <c r="F218" s="5">
        <f t="shared" si="17"/>
        <v>191844</v>
      </c>
      <c r="G218" s="6">
        <f>SQRT(SUM($F$2:F218)/A218)</f>
        <v>909.79004768989205</v>
      </c>
      <c r="H218" s="5">
        <f t="shared" si="18"/>
        <v>1</v>
      </c>
      <c r="I218" s="5">
        <f t="shared" si="19"/>
        <v>1</v>
      </c>
    </row>
    <row r="219" spans="1:9">
      <c r="A219">
        <f t="shared" si="20"/>
        <v>218</v>
      </c>
      <c r="B219">
        <v>14</v>
      </c>
      <c r="C219">
        <v>9000</v>
      </c>
      <c r="D219">
        <v>8536</v>
      </c>
      <c r="E219" s="5">
        <f t="shared" si="16"/>
        <v>464</v>
      </c>
      <c r="F219" s="5">
        <f t="shared" si="17"/>
        <v>215296</v>
      </c>
      <c r="G219" s="6">
        <f>SQRT(SUM($F$2:F219)/A219)</f>
        <v>908.24482160004789</v>
      </c>
      <c r="H219" s="5">
        <f t="shared" si="18"/>
        <v>1</v>
      </c>
      <c r="I219" s="5">
        <f t="shared" si="19"/>
        <v>1</v>
      </c>
    </row>
    <row r="220" spans="1:9">
      <c r="A220">
        <f t="shared" si="20"/>
        <v>219</v>
      </c>
      <c r="B220">
        <v>14</v>
      </c>
      <c r="C220">
        <v>9000</v>
      </c>
      <c r="D220">
        <v>8536</v>
      </c>
      <c r="E220" s="5">
        <f t="shared" si="16"/>
        <v>464</v>
      </c>
      <c r="F220" s="5">
        <f t="shared" si="17"/>
        <v>215296</v>
      </c>
      <c r="G220" s="6">
        <f>SQRT(SUM($F$2:F220)/A220)</f>
        <v>906.71110974206135</v>
      </c>
      <c r="H220" s="5">
        <f t="shared" si="18"/>
        <v>1</v>
      </c>
      <c r="I220" s="5">
        <f t="shared" si="19"/>
        <v>1</v>
      </c>
    </row>
    <row r="221" spans="1:9">
      <c r="A221">
        <f t="shared" si="20"/>
        <v>220</v>
      </c>
      <c r="B221">
        <v>14</v>
      </c>
      <c r="C221">
        <v>9000</v>
      </c>
      <c r="D221">
        <v>8737</v>
      </c>
      <c r="E221" s="5">
        <f t="shared" si="16"/>
        <v>263</v>
      </c>
      <c r="F221" s="5">
        <f t="shared" si="17"/>
        <v>69169</v>
      </c>
      <c r="G221" s="6">
        <f>SQRT(SUM($F$2:F221)/A221)</f>
        <v>904.82181068479395</v>
      </c>
      <c r="H221" s="5">
        <f t="shared" si="18"/>
        <v>1</v>
      </c>
      <c r="I221" s="5">
        <f t="shared" si="19"/>
        <v>1</v>
      </c>
    </row>
    <row r="222" spans="1:9">
      <c r="A222">
        <f t="shared" si="20"/>
        <v>221</v>
      </c>
      <c r="B222">
        <v>14</v>
      </c>
      <c r="C222">
        <v>9000</v>
      </c>
      <c r="D222">
        <v>8765</v>
      </c>
      <c r="E222" s="5">
        <f t="shared" si="16"/>
        <v>235</v>
      </c>
      <c r="F222" s="5">
        <f t="shared" si="17"/>
        <v>55225</v>
      </c>
      <c r="G222" s="6">
        <f>SQRT(SUM($F$2:F222)/A222)</f>
        <v>902.91077063489877</v>
      </c>
      <c r="H222" s="5">
        <f t="shared" si="18"/>
        <v>1</v>
      </c>
      <c r="I222" s="5">
        <f t="shared" si="19"/>
        <v>1</v>
      </c>
    </row>
    <row r="223" spans="1:9">
      <c r="A223">
        <f t="shared" si="20"/>
        <v>222</v>
      </c>
      <c r="B223">
        <v>14</v>
      </c>
      <c r="C223">
        <v>9000</v>
      </c>
      <c r="D223">
        <v>8064</v>
      </c>
      <c r="E223" s="5">
        <f t="shared" si="16"/>
        <v>936</v>
      </c>
      <c r="F223" s="5">
        <f t="shared" si="17"/>
        <v>876096</v>
      </c>
      <c r="G223" s="6">
        <f>SQRT(SUM($F$2:F223)/A223)</f>
        <v>903.06253961198638</v>
      </c>
      <c r="H223" s="5">
        <f t="shared" si="18"/>
        <v>1</v>
      </c>
      <c r="I223" s="5">
        <f t="shared" si="19"/>
        <v>0</v>
      </c>
    </row>
    <row r="224" spans="1:9">
      <c r="A224">
        <f t="shared" si="20"/>
        <v>223</v>
      </c>
      <c r="B224">
        <v>15</v>
      </c>
      <c r="C224">
        <v>9000</v>
      </c>
      <c r="D224">
        <v>9233</v>
      </c>
      <c r="E224" s="5">
        <f t="shared" si="16"/>
        <v>233</v>
      </c>
      <c r="F224" s="5">
        <f t="shared" si="17"/>
        <v>54289</v>
      </c>
      <c r="G224" s="6">
        <f>SQRT(SUM($F$2:F224)/A224)</f>
        <v>901.17054422333661</v>
      </c>
      <c r="H224" s="5">
        <f t="shared" si="18"/>
        <v>1</v>
      </c>
      <c r="I224" s="5">
        <f t="shared" si="19"/>
        <v>1</v>
      </c>
    </row>
    <row r="225" spans="1:9">
      <c r="A225">
        <f t="shared" si="20"/>
        <v>224</v>
      </c>
      <c r="B225">
        <v>14</v>
      </c>
      <c r="C225">
        <v>9000</v>
      </c>
      <c r="D225">
        <v>7442</v>
      </c>
      <c r="E225" s="5">
        <f t="shared" si="16"/>
        <v>1558</v>
      </c>
      <c r="F225" s="5">
        <f t="shared" si="17"/>
        <v>2427364</v>
      </c>
      <c r="G225" s="6">
        <f>SQRT(SUM($F$2:F225)/A225)</f>
        <v>905.1625889860893</v>
      </c>
      <c r="H225" s="5">
        <f t="shared" si="18"/>
        <v>1</v>
      </c>
      <c r="I225" s="5">
        <f t="shared" si="19"/>
        <v>0</v>
      </c>
    </row>
    <row r="226" spans="1:9">
      <c r="A226">
        <f t="shared" si="20"/>
        <v>225</v>
      </c>
      <c r="B226">
        <v>16</v>
      </c>
      <c r="C226">
        <v>9000</v>
      </c>
      <c r="D226">
        <v>4798</v>
      </c>
      <c r="E226" s="5">
        <f t="shared" si="16"/>
        <v>4202</v>
      </c>
      <c r="F226" s="5">
        <f t="shared" si="17"/>
        <v>17656804</v>
      </c>
      <c r="G226" s="6">
        <f>SQRT(SUM($F$2:F226)/A226)</f>
        <v>945.59641379278605</v>
      </c>
      <c r="H226" s="5">
        <f t="shared" si="18"/>
        <v>0</v>
      </c>
      <c r="I226" s="5">
        <f t="shared" si="19"/>
        <v>0</v>
      </c>
    </row>
    <row r="227" spans="1:9">
      <c r="A227">
        <f t="shared" si="20"/>
        <v>226</v>
      </c>
      <c r="B227">
        <v>20</v>
      </c>
      <c r="C227">
        <v>9000</v>
      </c>
      <c r="D227">
        <v>2990</v>
      </c>
      <c r="E227" s="5">
        <f t="shared" si="16"/>
        <v>6010</v>
      </c>
      <c r="F227" s="5">
        <f t="shared" si="17"/>
        <v>36120100</v>
      </c>
      <c r="G227" s="6">
        <f>SQRT(SUM($F$2:F227)/A227)</f>
        <v>1024.7046412356644</v>
      </c>
      <c r="H227" s="5">
        <f t="shared" si="18"/>
        <v>0</v>
      </c>
      <c r="I227" s="5">
        <f t="shared" si="19"/>
        <v>0</v>
      </c>
    </row>
    <row r="228" spans="1:9">
      <c r="A228">
        <f t="shared" si="20"/>
        <v>227</v>
      </c>
      <c r="B228">
        <v>23</v>
      </c>
      <c r="C228">
        <v>9000</v>
      </c>
      <c r="D228">
        <v>8826</v>
      </c>
      <c r="E228" s="5">
        <f t="shared" si="16"/>
        <v>174</v>
      </c>
      <c r="F228" s="5">
        <f t="shared" si="17"/>
        <v>30276</v>
      </c>
      <c r="G228" s="6">
        <f>SQRT(SUM($F$2:F228)/A228)</f>
        <v>1022.5103125186799</v>
      </c>
      <c r="H228" s="5">
        <f t="shared" si="18"/>
        <v>1</v>
      </c>
      <c r="I228" s="5">
        <f t="shared" si="19"/>
        <v>1</v>
      </c>
    </row>
    <row r="229" spans="1:9">
      <c r="A229">
        <f t="shared" si="20"/>
        <v>228</v>
      </c>
      <c r="B229">
        <v>18</v>
      </c>
      <c r="C229">
        <v>9000</v>
      </c>
      <c r="D229">
        <v>10101</v>
      </c>
      <c r="E229" s="5">
        <f t="shared" si="16"/>
        <v>1101</v>
      </c>
      <c r="F229" s="5">
        <f t="shared" si="17"/>
        <v>1212201</v>
      </c>
      <c r="G229" s="6">
        <f>SQRT(SUM($F$2:F229)/A229)</f>
        <v>1022.8677158044865</v>
      </c>
      <c r="H229" s="5">
        <f t="shared" si="18"/>
        <v>1</v>
      </c>
      <c r="I229" s="5">
        <f t="shared" si="19"/>
        <v>0</v>
      </c>
    </row>
    <row r="230" spans="1:9">
      <c r="A230">
        <f t="shared" si="20"/>
        <v>229</v>
      </c>
      <c r="B230">
        <v>16</v>
      </c>
      <c r="C230">
        <v>9000</v>
      </c>
      <c r="D230">
        <v>8817</v>
      </c>
      <c r="E230" s="5">
        <f t="shared" si="16"/>
        <v>183</v>
      </c>
      <c r="F230" s="5">
        <f t="shared" si="17"/>
        <v>33489</v>
      </c>
      <c r="G230" s="6">
        <f>SQRT(SUM($F$2:F230)/A230)</f>
        <v>1020.7035761635271</v>
      </c>
      <c r="H230" s="5">
        <f t="shared" si="18"/>
        <v>1</v>
      </c>
      <c r="I230" s="5">
        <f t="shared" si="19"/>
        <v>1</v>
      </c>
    </row>
    <row r="231" spans="1:9">
      <c r="A231">
        <f t="shared" si="20"/>
        <v>230</v>
      </c>
      <c r="B231">
        <v>17</v>
      </c>
      <c r="C231">
        <v>9000</v>
      </c>
      <c r="D231">
        <v>9933</v>
      </c>
      <c r="E231" s="5">
        <f t="shared" si="16"/>
        <v>933</v>
      </c>
      <c r="F231" s="5">
        <f t="shared" si="17"/>
        <v>870489</v>
      </c>
      <c r="G231" s="6">
        <f>SQRT(SUM($F$2:F231)/A231)</f>
        <v>1020.33857339014</v>
      </c>
      <c r="H231" s="5">
        <f t="shared" si="18"/>
        <v>1</v>
      </c>
      <c r="I231" s="5">
        <f t="shared" si="19"/>
        <v>0</v>
      </c>
    </row>
    <row r="232" spans="1:9">
      <c r="A232">
        <f t="shared" si="20"/>
        <v>231</v>
      </c>
      <c r="B232">
        <v>16</v>
      </c>
      <c r="C232">
        <v>9000</v>
      </c>
      <c r="D232">
        <v>9074</v>
      </c>
      <c r="E232" s="5">
        <f t="shared" si="16"/>
        <v>74</v>
      </c>
      <c r="F232" s="5">
        <f t="shared" si="17"/>
        <v>5476</v>
      </c>
      <c r="G232" s="6">
        <f>SQRT(SUM($F$2:F232)/A232)</f>
        <v>1018.1392946825219</v>
      </c>
      <c r="H232" s="5">
        <f t="shared" si="18"/>
        <v>1</v>
      </c>
      <c r="I232" s="5">
        <f t="shared" si="19"/>
        <v>1</v>
      </c>
    </row>
    <row r="233" spans="1:9">
      <c r="A233">
        <f t="shared" si="20"/>
        <v>232</v>
      </c>
      <c r="B233">
        <v>17</v>
      </c>
      <c r="C233">
        <v>9000</v>
      </c>
      <c r="D233">
        <v>9678</v>
      </c>
      <c r="E233" s="5">
        <f t="shared" si="16"/>
        <v>678</v>
      </c>
      <c r="F233" s="5">
        <f t="shared" si="17"/>
        <v>459684</v>
      </c>
      <c r="G233" s="6">
        <f>SQRT(SUM($F$2:F233)/A233)</f>
        <v>1016.9173435538847</v>
      </c>
      <c r="H233" s="5">
        <f t="shared" si="18"/>
        <v>1</v>
      </c>
      <c r="I233" s="5">
        <f t="shared" si="19"/>
        <v>1</v>
      </c>
    </row>
    <row r="234" spans="1:9">
      <c r="A234">
        <f t="shared" si="20"/>
        <v>233</v>
      </c>
      <c r="B234">
        <v>16</v>
      </c>
      <c r="C234">
        <v>9000</v>
      </c>
      <c r="D234">
        <v>9526</v>
      </c>
      <c r="E234" s="5">
        <f t="shared" si="16"/>
        <v>526</v>
      </c>
      <c r="F234" s="5">
        <f t="shared" si="17"/>
        <v>276676</v>
      </c>
      <c r="G234" s="6">
        <f>SQRT(SUM($F$2:F234)/A234)</f>
        <v>1015.3177075232661</v>
      </c>
      <c r="H234" s="5">
        <f t="shared" si="18"/>
        <v>1</v>
      </c>
      <c r="I234" s="5">
        <f t="shared" si="19"/>
        <v>1</v>
      </c>
    </row>
    <row r="235" spans="1:9">
      <c r="A235">
        <f t="shared" si="20"/>
        <v>234</v>
      </c>
      <c r="B235">
        <v>16</v>
      </c>
      <c r="C235">
        <v>9000</v>
      </c>
      <c r="D235">
        <v>9706</v>
      </c>
      <c r="E235" s="5">
        <f t="shared" si="16"/>
        <v>706</v>
      </c>
      <c r="F235" s="5">
        <f t="shared" si="17"/>
        <v>498436</v>
      </c>
      <c r="G235" s="6">
        <f>SQRT(SUM($F$2:F235)/A235)</f>
        <v>1014.1965726791765</v>
      </c>
      <c r="H235" s="5">
        <f t="shared" si="18"/>
        <v>1</v>
      </c>
      <c r="I235" s="5">
        <f t="shared" si="19"/>
        <v>1</v>
      </c>
    </row>
    <row r="236" spans="1:9">
      <c r="A236">
        <f t="shared" si="20"/>
        <v>235</v>
      </c>
      <c r="B236">
        <v>16</v>
      </c>
      <c r="C236">
        <v>9000</v>
      </c>
      <c r="D236">
        <v>9260</v>
      </c>
      <c r="E236" s="5">
        <f t="shared" si="16"/>
        <v>260</v>
      </c>
      <c r="F236" s="5">
        <f t="shared" si="17"/>
        <v>67600</v>
      </c>
      <c r="G236" s="6">
        <f>SQRT(SUM($F$2:F236)/A236)</f>
        <v>1012.1785163379878</v>
      </c>
      <c r="H236" s="5">
        <f t="shared" si="18"/>
        <v>1</v>
      </c>
      <c r="I236" s="5">
        <f t="shared" si="19"/>
        <v>1</v>
      </c>
    </row>
    <row r="237" spans="1:9">
      <c r="A237">
        <f t="shared" si="20"/>
        <v>236</v>
      </c>
      <c r="B237">
        <v>16</v>
      </c>
      <c r="C237">
        <v>9000</v>
      </c>
      <c r="D237">
        <v>9248</v>
      </c>
      <c r="E237" s="5">
        <f t="shared" si="16"/>
        <v>248</v>
      </c>
      <c r="F237" s="5">
        <f t="shared" si="17"/>
        <v>61504</v>
      </c>
      <c r="G237" s="6">
        <f>SQRT(SUM($F$2:F237)/A237)</f>
        <v>1010.1607964803241</v>
      </c>
      <c r="H237" s="5">
        <f t="shared" si="18"/>
        <v>1</v>
      </c>
      <c r="I237" s="5">
        <f t="shared" si="19"/>
        <v>1</v>
      </c>
    </row>
    <row r="238" spans="1:9">
      <c r="A238">
        <f t="shared" si="20"/>
        <v>237</v>
      </c>
      <c r="B238">
        <v>16</v>
      </c>
      <c r="C238">
        <v>9000</v>
      </c>
      <c r="D238">
        <v>9817</v>
      </c>
      <c r="E238" s="5">
        <f t="shared" si="16"/>
        <v>817</v>
      </c>
      <c r="F238" s="5">
        <f t="shared" si="17"/>
        <v>667489</v>
      </c>
      <c r="G238" s="6">
        <f>SQRT(SUM($F$2:F238)/A238)</f>
        <v>1009.4234265205255</v>
      </c>
      <c r="H238" s="5">
        <f t="shared" si="18"/>
        <v>1</v>
      </c>
      <c r="I238" s="5">
        <f t="shared" si="19"/>
        <v>1</v>
      </c>
    </row>
    <row r="239" spans="1:9">
      <c r="A239">
        <f t="shared" si="20"/>
        <v>238</v>
      </c>
      <c r="B239">
        <v>15</v>
      </c>
      <c r="C239">
        <v>9000</v>
      </c>
      <c r="D239">
        <v>8798</v>
      </c>
      <c r="E239" s="5">
        <f t="shared" si="16"/>
        <v>202</v>
      </c>
      <c r="F239" s="5">
        <f t="shared" si="17"/>
        <v>40804</v>
      </c>
      <c r="G239" s="6">
        <f>SQRT(SUM($F$2:F239)/A239)</f>
        <v>1007.3856546243137</v>
      </c>
      <c r="H239" s="5">
        <f t="shared" si="18"/>
        <v>1</v>
      </c>
      <c r="I239" s="5">
        <f t="shared" si="19"/>
        <v>1</v>
      </c>
    </row>
    <row r="240" spans="1:9">
      <c r="A240">
        <f t="shared" si="20"/>
        <v>239</v>
      </c>
      <c r="B240">
        <v>16</v>
      </c>
      <c r="C240">
        <v>9000</v>
      </c>
      <c r="D240">
        <v>9237</v>
      </c>
      <c r="E240" s="5">
        <f t="shared" si="16"/>
        <v>237</v>
      </c>
      <c r="F240" s="5">
        <f t="shared" si="17"/>
        <v>56169</v>
      </c>
      <c r="G240" s="6">
        <f>SQRT(SUM($F$2:F240)/A240)</f>
        <v>1005.392828990626</v>
      </c>
      <c r="H240" s="5">
        <f t="shared" si="18"/>
        <v>1</v>
      </c>
      <c r="I240" s="5">
        <f t="shared" si="19"/>
        <v>1</v>
      </c>
    </row>
    <row r="241" spans="1:9">
      <c r="A241">
        <f t="shared" si="20"/>
        <v>240</v>
      </c>
      <c r="B241">
        <v>16</v>
      </c>
      <c r="C241">
        <v>9000</v>
      </c>
      <c r="D241">
        <v>8864</v>
      </c>
      <c r="E241" s="5">
        <f t="shared" si="16"/>
        <v>136</v>
      </c>
      <c r="F241" s="5">
        <f t="shared" si="17"/>
        <v>18496</v>
      </c>
      <c r="G241" s="6">
        <f>SQRT(SUM($F$2:F241)/A241)</f>
        <v>1003.3344802042172</v>
      </c>
      <c r="H241" s="5">
        <f t="shared" si="18"/>
        <v>1</v>
      </c>
      <c r="I241" s="5">
        <f t="shared" si="19"/>
        <v>1</v>
      </c>
    </row>
    <row r="242" spans="1:9">
      <c r="A242">
        <f t="shared" si="20"/>
        <v>241</v>
      </c>
      <c r="B242">
        <v>16</v>
      </c>
      <c r="C242">
        <v>9000</v>
      </c>
      <c r="D242">
        <v>8789</v>
      </c>
      <c r="E242" s="5">
        <f t="shared" si="16"/>
        <v>211</v>
      </c>
      <c r="F242" s="5">
        <f t="shared" si="17"/>
        <v>44521</v>
      </c>
      <c r="G242" s="6">
        <f>SQRT(SUM($F$2:F242)/A242)</f>
        <v>1001.3429571542028</v>
      </c>
      <c r="H242" s="5">
        <f t="shared" si="18"/>
        <v>1</v>
      </c>
      <c r="I242" s="5">
        <f t="shared" si="19"/>
        <v>1</v>
      </c>
    </row>
    <row r="243" spans="1:9">
      <c r="A243">
        <f t="shared" si="20"/>
        <v>242</v>
      </c>
      <c r="B243">
        <v>16</v>
      </c>
      <c r="C243">
        <v>9000</v>
      </c>
      <c r="D243">
        <v>9761</v>
      </c>
      <c r="E243" s="5">
        <f t="shared" si="16"/>
        <v>761</v>
      </c>
      <c r="F243" s="5">
        <f t="shared" si="17"/>
        <v>579121</v>
      </c>
      <c r="G243" s="6">
        <f>SQRT(SUM($F$2:F243)/A243)</f>
        <v>1000.4686112761161</v>
      </c>
      <c r="H243" s="5">
        <f t="shared" si="18"/>
        <v>1</v>
      </c>
      <c r="I243" s="5">
        <f t="shared" si="19"/>
        <v>1</v>
      </c>
    </row>
    <row r="244" spans="1:9">
      <c r="A244">
        <f t="shared" si="20"/>
        <v>243</v>
      </c>
      <c r="B244">
        <v>15</v>
      </c>
      <c r="C244">
        <v>9000</v>
      </c>
      <c r="D244">
        <v>8685</v>
      </c>
      <c r="E244" s="5">
        <f t="shared" si="16"/>
        <v>315</v>
      </c>
      <c r="F244" s="5">
        <f t="shared" si="17"/>
        <v>99225</v>
      </c>
      <c r="G244" s="6">
        <f>SQRT(SUM($F$2:F244)/A244)</f>
        <v>998.61238293845759</v>
      </c>
      <c r="H244" s="5">
        <f t="shared" si="18"/>
        <v>1</v>
      </c>
      <c r="I244" s="5">
        <f t="shared" si="19"/>
        <v>1</v>
      </c>
    </row>
    <row r="245" spans="1:9">
      <c r="A245">
        <f t="shared" si="20"/>
        <v>244</v>
      </c>
      <c r="B245">
        <v>16</v>
      </c>
      <c r="C245">
        <v>9000</v>
      </c>
      <c r="D245">
        <v>10263</v>
      </c>
      <c r="E245" s="5">
        <f t="shared" si="16"/>
        <v>1263</v>
      </c>
      <c r="F245" s="5">
        <f t="shared" si="17"/>
        <v>1595169</v>
      </c>
      <c r="G245" s="6">
        <f>SQRT(SUM($F$2:F245)/A245)</f>
        <v>999.83862427401948</v>
      </c>
      <c r="H245" s="5">
        <f t="shared" si="18"/>
        <v>1</v>
      </c>
      <c r="I245" s="5">
        <f t="shared" si="19"/>
        <v>0</v>
      </c>
    </row>
    <row r="246" spans="1:9">
      <c r="A246">
        <f t="shared" si="20"/>
        <v>245</v>
      </c>
      <c r="B246">
        <v>14</v>
      </c>
      <c r="C246">
        <v>9000</v>
      </c>
      <c r="D246">
        <v>8740</v>
      </c>
      <c r="E246" s="5">
        <f t="shared" si="16"/>
        <v>260</v>
      </c>
      <c r="F246" s="5">
        <f t="shared" si="17"/>
        <v>67600</v>
      </c>
      <c r="G246" s="6">
        <f>SQRT(SUM($F$2:F246)/A246)</f>
        <v>997.93430522806477</v>
      </c>
      <c r="H246" s="5">
        <f t="shared" si="18"/>
        <v>1</v>
      </c>
      <c r="I246" s="5">
        <f t="shared" si="19"/>
        <v>1</v>
      </c>
    </row>
    <row r="247" spans="1:9">
      <c r="A247">
        <f t="shared" si="20"/>
        <v>246</v>
      </c>
      <c r="B247">
        <v>16</v>
      </c>
      <c r="C247">
        <v>9000</v>
      </c>
      <c r="D247">
        <v>10702</v>
      </c>
      <c r="E247" s="5">
        <f t="shared" si="16"/>
        <v>1702</v>
      </c>
      <c r="F247" s="5">
        <f t="shared" si="17"/>
        <v>2896804</v>
      </c>
      <c r="G247" s="6">
        <f>SQRT(SUM($F$2:F247)/A247)</f>
        <v>1001.7985026128749</v>
      </c>
      <c r="H247" s="5">
        <f t="shared" si="18"/>
        <v>1</v>
      </c>
      <c r="I247" s="5">
        <f t="shared" si="19"/>
        <v>0</v>
      </c>
    </row>
    <row r="248" spans="1:9">
      <c r="A248">
        <f t="shared" si="20"/>
        <v>247</v>
      </c>
      <c r="B248">
        <v>13</v>
      </c>
      <c r="C248">
        <v>9000</v>
      </c>
      <c r="D248">
        <v>7475</v>
      </c>
      <c r="E248" s="5">
        <f t="shared" si="16"/>
        <v>1525</v>
      </c>
      <c r="F248" s="5">
        <f t="shared" si="17"/>
        <v>2325625</v>
      </c>
      <c r="G248" s="6">
        <f>SQRT(SUM($F$2:F248)/A248)</f>
        <v>1004.4663094407993</v>
      </c>
      <c r="H248" s="5">
        <f t="shared" si="18"/>
        <v>1</v>
      </c>
      <c r="I248" s="5">
        <f t="shared" si="19"/>
        <v>0</v>
      </c>
    </row>
    <row r="249" spans="1:9">
      <c r="A249">
        <f t="shared" si="20"/>
        <v>248</v>
      </c>
      <c r="B249">
        <v>17</v>
      </c>
      <c r="C249">
        <v>9000</v>
      </c>
      <c r="D249">
        <v>10050</v>
      </c>
      <c r="E249" s="5">
        <f t="shared" si="16"/>
        <v>1050</v>
      </c>
      <c r="F249" s="5">
        <f t="shared" si="17"/>
        <v>1102500</v>
      </c>
      <c r="G249" s="6">
        <f>SQRT(SUM($F$2:F249)/A249)</f>
        <v>1004.6540569736173</v>
      </c>
      <c r="H249" s="5">
        <f t="shared" si="18"/>
        <v>1</v>
      </c>
      <c r="I249" s="5">
        <f t="shared" si="19"/>
        <v>0</v>
      </c>
    </row>
    <row r="250" spans="1:9">
      <c r="A250">
        <f t="shared" si="20"/>
        <v>249</v>
      </c>
      <c r="B250">
        <v>14</v>
      </c>
      <c r="C250">
        <v>9000</v>
      </c>
      <c r="D250">
        <v>8563</v>
      </c>
      <c r="E250" s="5">
        <f t="shared" si="16"/>
        <v>437</v>
      </c>
      <c r="F250" s="5">
        <f t="shared" si="17"/>
        <v>190969</v>
      </c>
      <c r="G250" s="6">
        <f>SQRT(SUM($F$2:F250)/A250)</f>
        <v>1003.0170411009755</v>
      </c>
      <c r="H250" s="5">
        <f t="shared" si="18"/>
        <v>1</v>
      </c>
      <c r="I250" s="5">
        <f t="shared" si="19"/>
        <v>1</v>
      </c>
    </row>
    <row r="251" spans="1:9">
      <c r="A251">
        <f t="shared" si="20"/>
        <v>250</v>
      </c>
      <c r="B251">
        <v>16</v>
      </c>
      <c r="C251">
        <v>9000</v>
      </c>
      <c r="D251">
        <v>9796</v>
      </c>
      <c r="E251" s="5">
        <f t="shared" si="16"/>
        <v>796</v>
      </c>
      <c r="F251" s="5">
        <f t="shared" si="17"/>
        <v>633616</v>
      </c>
      <c r="G251" s="6">
        <f>SQRT(SUM($F$2:F251)/A251)</f>
        <v>1002.2741521160765</v>
      </c>
      <c r="H251" s="5">
        <f t="shared" si="18"/>
        <v>1</v>
      </c>
      <c r="I251" s="5">
        <f t="shared" si="19"/>
        <v>1</v>
      </c>
    </row>
    <row r="252" spans="1:9">
      <c r="A252">
        <f t="shared" si="20"/>
        <v>251</v>
      </c>
      <c r="B252">
        <v>14</v>
      </c>
      <c r="C252">
        <v>9000</v>
      </c>
      <c r="D252">
        <v>8350</v>
      </c>
      <c r="E252" s="5">
        <f t="shared" si="16"/>
        <v>650</v>
      </c>
      <c r="F252" s="5">
        <f t="shared" si="17"/>
        <v>422500</v>
      </c>
      <c r="G252" s="6">
        <f>SQRT(SUM($F$2:F252)/A252)</f>
        <v>1001.1166454757436</v>
      </c>
      <c r="H252" s="5">
        <f t="shared" si="18"/>
        <v>1</v>
      </c>
      <c r="I252" s="5">
        <f t="shared" si="19"/>
        <v>1</v>
      </c>
    </row>
    <row r="253" spans="1:9">
      <c r="A253">
        <f t="shared" si="20"/>
        <v>252</v>
      </c>
      <c r="B253">
        <v>16</v>
      </c>
      <c r="C253">
        <v>9000</v>
      </c>
      <c r="D253">
        <v>8886</v>
      </c>
      <c r="E253" s="5">
        <f t="shared" si="16"/>
        <v>114</v>
      </c>
      <c r="F253" s="5">
        <f t="shared" si="17"/>
        <v>12996</v>
      </c>
      <c r="G253" s="6">
        <f>SQRT(SUM($F$2:F253)/A253)</f>
        <v>999.15413630492378</v>
      </c>
      <c r="H253" s="5">
        <f t="shared" si="18"/>
        <v>1</v>
      </c>
      <c r="I253" s="5">
        <f t="shared" si="19"/>
        <v>1</v>
      </c>
    </row>
    <row r="254" spans="1:9">
      <c r="A254">
        <f t="shared" si="20"/>
        <v>253</v>
      </c>
      <c r="B254">
        <v>16</v>
      </c>
      <c r="C254">
        <v>9000</v>
      </c>
      <c r="D254">
        <v>9948</v>
      </c>
      <c r="E254" s="5">
        <f t="shared" si="16"/>
        <v>948</v>
      </c>
      <c r="F254" s="5">
        <f t="shared" si="17"/>
        <v>898704</v>
      </c>
      <c r="G254" s="6">
        <f>SQRT(SUM($F$2:F254)/A254)</f>
        <v>998.95710242738573</v>
      </c>
      <c r="H254" s="5">
        <f t="shared" si="18"/>
        <v>1</v>
      </c>
      <c r="I254" s="5">
        <f t="shared" si="19"/>
        <v>0</v>
      </c>
    </row>
    <row r="255" spans="1:9">
      <c r="A255">
        <f t="shared" si="20"/>
        <v>254</v>
      </c>
      <c r="B255">
        <v>14</v>
      </c>
      <c r="C255">
        <v>9000</v>
      </c>
      <c r="D255">
        <v>8958</v>
      </c>
      <c r="E255" s="5">
        <f t="shared" si="16"/>
        <v>42</v>
      </c>
      <c r="F255" s="5">
        <f t="shared" si="17"/>
        <v>1764</v>
      </c>
      <c r="G255" s="6">
        <f>SQRT(SUM($F$2:F255)/A255)</f>
        <v>996.99219505865437</v>
      </c>
      <c r="H255" s="5">
        <f t="shared" si="18"/>
        <v>1</v>
      </c>
      <c r="I255" s="5">
        <f t="shared" si="19"/>
        <v>1</v>
      </c>
    </row>
    <row r="256" spans="1:9">
      <c r="A256">
        <f t="shared" si="20"/>
        <v>255</v>
      </c>
      <c r="B256">
        <v>15</v>
      </c>
      <c r="C256">
        <v>9000</v>
      </c>
      <c r="D256">
        <v>8446</v>
      </c>
      <c r="E256" s="5">
        <f t="shared" si="16"/>
        <v>554</v>
      </c>
      <c r="F256" s="5">
        <f t="shared" si="17"/>
        <v>306916</v>
      </c>
      <c r="G256" s="6">
        <f>SQRT(SUM($F$2:F256)/A256)</f>
        <v>995.64000305646346</v>
      </c>
      <c r="H256" s="5">
        <f t="shared" si="18"/>
        <v>1</v>
      </c>
      <c r="I256" s="5">
        <f t="shared" si="19"/>
        <v>1</v>
      </c>
    </row>
    <row r="257" spans="1:9">
      <c r="A257">
        <f t="shared" si="20"/>
        <v>256</v>
      </c>
      <c r="B257">
        <v>16</v>
      </c>
      <c r="C257">
        <v>9000</v>
      </c>
      <c r="D257">
        <v>9937</v>
      </c>
      <c r="E257" s="5">
        <f t="shared" si="16"/>
        <v>937</v>
      </c>
      <c r="F257" s="5">
        <f t="shared" si="17"/>
        <v>877969</v>
      </c>
      <c r="G257" s="6">
        <f>SQRT(SUM($F$2:F257)/A257)</f>
        <v>995.41766124200353</v>
      </c>
      <c r="H257" s="5">
        <f t="shared" si="18"/>
        <v>1</v>
      </c>
      <c r="I257" s="5">
        <f t="shared" si="19"/>
        <v>0</v>
      </c>
    </row>
    <row r="258" spans="1:9">
      <c r="A258">
        <f t="shared" si="20"/>
        <v>257</v>
      </c>
      <c r="B258">
        <v>14</v>
      </c>
      <c r="C258">
        <v>9000</v>
      </c>
      <c r="D258">
        <v>8655</v>
      </c>
      <c r="E258" s="5">
        <f t="shared" si="16"/>
        <v>345</v>
      </c>
      <c r="F258" s="5">
        <f t="shared" si="17"/>
        <v>119025</v>
      </c>
      <c r="G258" s="6">
        <f>SQRT(SUM($F$2:F258)/A258)</f>
        <v>993.7122221975269</v>
      </c>
      <c r="H258" s="5">
        <f t="shared" si="18"/>
        <v>1</v>
      </c>
      <c r="I258" s="5">
        <f t="shared" si="19"/>
        <v>1</v>
      </c>
    </row>
    <row r="259" spans="1:9">
      <c r="A259">
        <f t="shared" si="20"/>
        <v>258</v>
      </c>
      <c r="B259">
        <v>15</v>
      </c>
      <c r="C259">
        <v>9000</v>
      </c>
      <c r="D259">
        <v>9919</v>
      </c>
      <c r="E259" s="5">
        <f t="shared" ref="E259:E322" si="21">ABS(C259-D259)</f>
        <v>919</v>
      </c>
      <c r="F259" s="5">
        <f t="shared" ref="F259:F322" si="22">POWER(E259,2)</f>
        <v>844561</v>
      </c>
      <c r="G259" s="6">
        <f>SQRT(SUM($F$2:F259)/A259)</f>
        <v>993.43348696490784</v>
      </c>
      <c r="H259" s="5">
        <f t="shared" ref="H259:H322" si="23">IF(ABS(E259)/C259&gt;0.2,0,1)</f>
        <v>1</v>
      </c>
      <c r="I259" s="5">
        <f t="shared" ref="I259:I322" si="24">IF(ABS(E259)/C259&gt;0.1,0,1)</f>
        <v>0</v>
      </c>
    </row>
    <row r="260" spans="1:9">
      <c r="A260">
        <f t="shared" ref="A260:A323" si="25">A259+1</f>
        <v>259</v>
      </c>
      <c r="B260">
        <v>14</v>
      </c>
      <c r="C260">
        <v>9000</v>
      </c>
      <c r="D260">
        <v>8752</v>
      </c>
      <c r="E260" s="5">
        <f t="shared" si="21"/>
        <v>248</v>
      </c>
      <c r="F260" s="5">
        <f t="shared" si="22"/>
        <v>61504</v>
      </c>
      <c r="G260" s="6">
        <f>SQRT(SUM($F$2:F260)/A260)</f>
        <v>991.63354951569511</v>
      </c>
      <c r="H260" s="5">
        <f t="shared" si="23"/>
        <v>1</v>
      </c>
      <c r="I260" s="5">
        <f t="shared" si="24"/>
        <v>1</v>
      </c>
    </row>
    <row r="261" spans="1:9">
      <c r="A261">
        <f t="shared" si="25"/>
        <v>260</v>
      </c>
      <c r="B261">
        <v>15</v>
      </c>
      <c r="C261">
        <v>9000</v>
      </c>
      <c r="D261">
        <v>8914</v>
      </c>
      <c r="E261" s="5">
        <f t="shared" si="21"/>
        <v>86</v>
      </c>
      <c r="F261" s="5">
        <f t="shared" si="22"/>
        <v>7396</v>
      </c>
      <c r="G261" s="6">
        <f>SQRT(SUM($F$2:F261)/A261)</f>
        <v>989.73909537972531</v>
      </c>
      <c r="H261" s="5">
        <f t="shared" si="23"/>
        <v>1</v>
      </c>
      <c r="I261" s="5">
        <f t="shared" si="24"/>
        <v>1</v>
      </c>
    </row>
    <row r="262" spans="1:9">
      <c r="A262">
        <f t="shared" si="25"/>
        <v>261</v>
      </c>
      <c r="B262">
        <v>15</v>
      </c>
      <c r="C262">
        <v>9000</v>
      </c>
      <c r="D262">
        <v>9596</v>
      </c>
      <c r="E262" s="5">
        <f t="shared" si="21"/>
        <v>596</v>
      </c>
      <c r="F262" s="5">
        <f t="shared" si="22"/>
        <v>355216</v>
      </c>
      <c r="G262" s="6">
        <f>SQRT(SUM($F$2:F262)/A262)</f>
        <v>988.52985001355216</v>
      </c>
      <c r="H262" s="5">
        <f t="shared" si="23"/>
        <v>1</v>
      </c>
      <c r="I262" s="5">
        <f t="shared" si="24"/>
        <v>1</v>
      </c>
    </row>
    <row r="263" spans="1:9">
      <c r="A263">
        <f t="shared" si="25"/>
        <v>262</v>
      </c>
      <c r="B263">
        <v>14</v>
      </c>
      <c r="C263">
        <v>9000</v>
      </c>
      <c r="D263">
        <v>8077</v>
      </c>
      <c r="E263" s="5">
        <f t="shared" si="21"/>
        <v>923</v>
      </c>
      <c r="F263" s="5">
        <f t="shared" si="22"/>
        <v>851929</v>
      </c>
      <c r="G263" s="6">
        <f>SQRT(SUM($F$2:F263)/A263)</f>
        <v>988.28799654864645</v>
      </c>
      <c r="H263" s="5">
        <f t="shared" si="23"/>
        <v>1</v>
      </c>
      <c r="I263" s="5">
        <f t="shared" si="24"/>
        <v>0</v>
      </c>
    </row>
    <row r="264" spans="1:9">
      <c r="A264">
        <f t="shared" si="25"/>
        <v>263</v>
      </c>
      <c r="B264">
        <v>16</v>
      </c>
      <c r="C264">
        <v>9000</v>
      </c>
      <c r="D264">
        <v>9479</v>
      </c>
      <c r="E264" s="5">
        <f t="shared" si="21"/>
        <v>479</v>
      </c>
      <c r="F264" s="5">
        <f t="shared" si="22"/>
        <v>229441</v>
      </c>
      <c r="G264" s="6">
        <f>SQRT(SUM($F$2:F264)/A264)</f>
        <v>986.84944398578705</v>
      </c>
      <c r="H264" s="5">
        <f t="shared" si="23"/>
        <v>1</v>
      </c>
      <c r="I264" s="5">
        <f t="shared" si="24"/>
        <v>1</v>
      </c>
    </row>
    <row r="265" spans="1:9">
      <c r="A265">
        <f t="shared" si="25"/>
        <v>264</v>
      </c>
      <c r="B265">
        <v>14</v>
      </c>
      <c r="C265">
        <v>9000</v>
      </c>
      <c r="D265">
        <v>8541</v>
      </c>
      <c r="E265" s="5">
        <f t="shared" si="21"/>
        <v>459</v>
      </c>
      <c r="F265" s="5">
        <f t="shared" si="22"/>
        <v>210681</v>
      </c>
      <c r="G265" s="6">
        <f>SQRT(SUM($F$2:F265)/A265)</f>
        <v>985.38365663206321</v>
      </c>
      <c r="H265" s="5">
        <f t="shared" si="23"/>
        <v>1</v>
      </c>
      <c r="I265" s="5">
        <f t="shared" si="24"/>
        <v>1</v>
      </c>
    </row>
    <row r="266" spans="1:9">
      <c r="A266">
        <f t="shared" si="25"/>
        <v>265</v>
      </c>
      <c r="B266">
        <v>15</v>
      </c>
      <c r="C266">
        <v>9000</v>
      </c>
      <c r="D266">
        <v>9261</v>
      </c>
      <c r="E266" s="5">
        <f t="shared" si="21"/>
        <v>261</v>
      </c>
      <c r="F266" s="5">
        <f t="shared" si="22"/>
        <v>68121</v>
      </c>
      <c r="G266" s="6">
        <f>SQRT(SUM($F$2:F266)/A266)</f>
        <v>983.65335971340619</v>
      </c>
      <c r="H266" s="5">
        <f t="shared" si="23"/>
        <v>1</v>
      </c>
      <c r="I266" s="5">
        <f t="shared" si="24"/>
        <v>1</v>
      </c>
    </row>
    <row r="267" spans="1:9">
      <c r="A267">
        <f t="shared" si="25"/>
        <v>266</v>
      </c>
      <c r="B267">
        <v>15</v>
      </c>
      <c r="C267">
        <v>9000</v>
      </c>
      <c r="D267">
        <v>9454</v>
      </c>
      <c r="E267" s="5">
        <f t="shared" si="21"/>
        <v>454</v>
      </c>
      <c r="F267" s="5">
        <f t="shared" si="22"/>
        <v>206116</v>
      </c>
      <c r="G267" s="6">
        <f>SQRT(SUM($F$2:F267)/A267)</f>
        <v>982.19718400669251</v>
      </c>
      <c r="H267" s="5">
        <f t="shared" si="23"/>
        <v>1</v>
      </c>
      <c r="I267" s="5">
        <f t="shared" si="24"/>
        <v>1</v>
      </c>
    </row>
    <row r="268" spans="1:9">
      <c r="A268">
        <f t="shared" si="25"/>
        <v>267</v>
      </c>
      <c r="B268">
        <v>14</v>
      </c>
      <c r="C268">
        <v>9000</v>
      </c>
      <c r="D268">
        <v>8693</v>
      </c>
      <c r="E268" s="5">
        <f t="shared" si="21"/>
        <v>307</v>
      </c>
      <c r="F268" s="5">
        <f t="shared" si="22"/>
        <v>94249</v>
      </c>
      <c r="G268" s="6">
        <f>SQRT(SUM($F$2:F268)/A268)</f>
        <v>980.53615426088913</v>
      </c>
      <c r="H268" s="5">
        <f t="shared" si="23"/>
        <v>1</v>
      </c>
      <c r="I268" s="5">
        <f t="shared" si="24"/>
        <v>1</v>
      </c>
    </row>
    <row r="269" spans="1:9">
      <c r="A269">
        <f t="shared" si="25"/>
        <v>268</v>
      </c>
      <c r="B269">
        <v>15</v>
      </c>
      <c r="C269">
        <v>9000</v>
      </c>
      <c r="D269">
        <v>9589</v>
      </c>
      <c r="E269" s="5">
        <f t="shared" si="21"/>
        <v>589</v>
      </c>
      <c r="F269" s="5">
        <f t="shared" si="22"/>
        <v>346921</v>
      </c>
      <c r="G269" s="6">
        <f>SQRT(SUM($F$2:F269)/A269)</f>
        <v>979.36618629891018</v>
      </c>
      <c r="H269" s="5">
        <f t="shared" si="23"/>
        <v>1</v>
      </c>
      <c r="I269" s="5">
        <f t="shared" si="24"/>
        <v>1</v>
      </c>
    </row>
    <row r="270" spans="1:9">
      <c r="A270">
        <f t="shared" si="25"/>
        <v>269</v>
      </c>
      <c r="B270">
        <v>14</v>
      </c>
      <c r="C270">
        <v>9000</v>
      </c>
      <c r="D270">
        <v>8565</v>
      </c>
      <c r="E270" s="5">
        <f t="shared" si="21"/>
        <v>435</v>
      </c>
      <c r="F270" s="5">
        <f t="shared" si="22"/>
        <v>189225</v>
      </c>
      <c r="G270" s="6">
        <f>SQRT(SUM($F$2:F270)/A270)</f>
        <v>977.90384084176981</v>
      </c>
      <c r="H270" s="5">
        <f t="shared" si="23"/>
        <v>1</v>
      </c>
      <c r="I270" s="5">
        <f t="shared" si="24"/>
        <v>1</v>
      </c>
    </row>
    <row r="271" spans="1:9">
      <c r="A271">
        <f t="shared" si="25"/>
        <v>270</v>
      </c>
      <c r="B271">
        <v>15</v>
      </c>
      <c r="C271">
        <v>9000</v>
      </c>
      <c r="D271">
        <v>9516</v>
      </c>
      <c r="E271" s="5">
        <f t="shared" si="21"/>
        <v>516</v>
      </c>
      <c r="F271" s="5">
        <f t="shared" si="22"/>
        <v>266256</v>
      </c>
      <c r="G271" s="6">
        <f>SQRT(SUM($F$2:F271)/A271)</f>
        <v>976.59624129858219</v>
      </c>
      <c r="H271" s="5">
        <f t="shared" si="23"/>
        <v>1</v>
      </c>
      <c r="I271" s="5">
        <f t="shared" si="24"/>
        <v>1</v>
      </c>
    </row>
    <row r="272" spans="1:9">
      <c r="A272">
        <f t="shared" si="25"/>
        <v>271</v>
      </c>
      <c r="B272">
        <v>14</v>
      </c>
      <c r="C272">
        <v>9000</v>
      </c>
      <c r="D272">
        <v>8355</v>
      </c>
      <c r="E272" s="5">
        <f t="shared" si="21"/>
        <v>645</v>
      </c>
      <c r="F272" s="5">
        <f t="shared" si="22"/>
        <v>416025</v>
      </c>
      <c r="G272" s="6">
        <f>SQRT(SUM($F$2:F272)/A272)</f>
        <v>975.57984271934151</v>
      </c>
      <c r="H272" s="5">
        <f t="shared" si="23"/>
        <v>1</v>
      </c>
      <c r="I272" s="5">
        <f t="shared" si="24"/>
        <v>1</v>
      </c>
    </row>
    <row r="273" spans="1:9">
      <c r="A273">
        <f t="shared" si="25"/>
        <v>272</v>
      </c>
      <c r="B273">
        <v>16</v>
      </c>
      <c r="C273">
        <v>9000</v>
      </c>
      <c r="D273">
        <v>9749</v>
      </c>
      <c r="E273" s="5">
        <f t="shared" si="21"/>
        <v>749</v>
      </c>
      <c r="F273" s="5">
        <f t="shared" si="22"/>
        <v>561001</v>
      </c>
      <c r="G273" s="6">
        <f>SQRT(SUM($F$2:F273)/A273)</f>
        <v>974.84328491663666</v>
      </c>
      <c r="H273" s="5">
        <f t="shared" si="23"/>
        <v>1</v>
      </c>
      <c r="I273" s="5">
        <f t="shared" si="24"/>
        <v>1</v>
      </c>
    </row>
    <row r="274" spans="1:9">
      <c r="A274">
        <f t="shared" si="25"/>
        <v>273</v>
      </c>
      <c r="B274">
        <v>14</v>
      </c>
      <c r="C274">
        <v>9000</v>
      </c>
      <c r="D274">
        <v>8539</v>
      </c>
      <c r="E274" s="5">
        <f t="shared" si="21"/>
        <v>461</v>
      </c>
      <c r="F274" s="5">
        <f t="shared" si="22"/>
        <v>212521</v>
      </c>
      <c r="G274" s="6">
        <f>SQRT(SUM($F$2:F274)/A274)</f>
        <v>973.45614785406315</v>
      </c>
      <c r="H274" s="5">
        <f t="shared" si="23"/>
        <v>1</v>
      </c>
      <c r="I274" s="5">
        <f t="shared" si="24"/>
        <v>1</v>
      </c>
    </row>
    <row r="275" spans="1:9">
      <c r="A275">
        <f t="shared" si="25"/>
        <v>274</v>
      </c>
      <c r="B275">
        <v>15</v>
      </c>
      <c r="C275">
        <v>9000</v>
      </c>
      <c r="D275">
        <v>8969</v>
      </c>
      <c r="E275" s="5">
        <f t="shared" si="21"/>
        <v>31</v>
      </c>
      <c r="F275" s="5">
        <f t="shared" si="22"/>
        <v>961</v>
      </c>
      <c r="G275" s="6">
        <f>SQRT(SUM($F$2:F275)/A275)</f>
        <v>971.67994903551664</v>
      </c>
      <c r="H275" s="5">
        <f t="shared" si="23"/>
        <v>1</v>
      </c>
      <c r="I275" s="5">
        <f t="shared" si="24"/>
        <v>1</v>
      </c>
    </row>
    <row r="276" spans="1:9">
      <c r="A276">
        <f t="shared" si="25"/>
        <v>275</v>
      </c>
      <c r="B276">
        <v>15</v>
      </c>
      <c r="C276">
        <v>9000</v>
      </c>
      <c r="D276">
        <v>9444</v>
      </c>
      <c r="E276" s="5">
        <f t="shared" si="21"/>
        <v>444</v>
      </c>
      <c r="F276" s="5">
        <f t="shared" si="22"/>
        <v>197136</v>
      </c>
      <c r="G276" s="6">
        <f>SQRT(SUM($F$2:F276)/A276)</f>
        <v>970.28112702172325</v>
      </c>
      <c r="H276" s="5">
        <f t="shared" si="23"/>
        <v>1</v>
      </c>
      <c r="I276" s="5">
        <f t="shared" si="24"/>
        <v>1</v>
      </c>
    </row>
    <row r="277" spans="1:9">
      <c r="A277">
        <f t="shared" si="25"/>
        <v>276</v>
      </c>
      <c r="B277">
        <v>14</v>
      </c>
      <c r="C277">
        <v>9000</v>
      </c>
      <c r="D277">
        <v>8409</v>
      </c>
      <c r="E277" s="5">
        <f t="shared" si="21"/>
        <v>591</v>
      </c>
      <c r="F277" s="5">
        <f t="shared" si="22"/>
        <v>349281</v>
      </c>
      <c r="G277" s="6">
        <f>SQRT(SUM($F$2:F277)/A277)</f>
        <v>969.17487690766393</v>
      </c>
      <c r="H277" s="5">
        <f t="shared" si="23"/>
        <v>1</v>
      </c>
      <c r="I277" s="5">
        <f t="shared" si="24"/>
        <v>1</v>
      </c>
    </row>
    <row r="278" spans="1:9">
      <c r="A278">
        <f t="shared" si="25"/>
        <v>277</v>
      </c>
      <c r="B278">
        <v>15</v>
      </c>
      <c r="C278">
        <v>9000</v>
      </c>
      <c r="D278">
        <v>8727</v>
      </c>
      <c r="E278" s="5">
        <f t="shared" si="21"/>
        <v>273</v>
      </c>
      <c r="F278" s="5">
        <f t="shared" si="22"/>
        <v>74529</v>
      </c>
      <c r="G278" s="6">
        <f>SQRT(SUM($F$2:F278)/A278)</f>
        <v>967.56293090979773</v>
      </c>
      <c r="H278" s="5">
        <f t="shared" si="23"/>
        <v>1</v>
      </c>
      <c r="I278" s="5">
        <f t="shared" si="24"/>
        <v>1</v>
      </c>
    </row>
    <row r="279" spans="1:9">
      <c r="A279">
        <f t="shared" si="25"/>
        <v>278</v>
      </c>
      <c r="B279">
        <v>15</v>
      </c>
      <c r="C279">
        <v>9000</v>
      </c>
      <c r="D279">
        <v>9115</v>
      </c>
      <c r="E279" s="5">
        <f t="shared" si="21"/>
        <v>115</v>
      </c>
      <c r="F279" s="5">
        <f t="shared" si="22"/>
        <v>13225</v>
      </c>
      <c r="G279" s="6">
        <f>SQRT(SUM($F$2:F279)/A279)</f>
        <v>965.84576944754087</v>
      </c>
      <c r="H279" s="5">
        <f t="shared" si="23"/>
        <v>1</v>
      </c>
      <c r="I279" s="5">
        <f t="shared" si="24"/>
        <v>1</v>
      </c>
    </row>
    <row r="280" spans="1:9">
      <c r="A280">
        <f t="shared" si="25"/>
        <v>279</v>
      </c>
      <c r="B280">
        <v>15</v>
      </c>
      <c r="C280">
        <v>9000</v>
      </c>
      <c r="D280">
        <v>8638</v>
      </c>
      <c r="E280" s="5">
        <f t="shared" si="21"/>
        <v>362</v>
      </c>
      <c r="F280" s="5">
        <f t="shared" si="22"/>
        <v>131044</v>
      </c>
      <c r="G280" s="6">
        <f>SQRT(SUM($F$2:F280)/A280)</f>
        <v>964.35686593426192</v>
      </c>
      <c r="H280" s="5">
        <f t="shared" si="23"/>
        <v>1</v>
      </c>
      <c r="I280" s="5">
        <f t="shared" si="24"/>
        <v>1</v>
      </c>
    </row>
    <row r="281" spans="1:9">
      <c r="A281">
        <f t="shared" si="25"/>
        <v>280</v>
      </c>
      <c r="B281">
        <v>15</v>
      </c>
      <c r="C281">
        <v>9000</v>
      </c>
      <c r="D281">
        <v>9178</v>
      </c>
      <c r="E281" s="5">
        <f t="shared" si="21"/>
        <v>178</v>
      </c>
      <c r="F281" s="5">
        <f t="shared" si="22"/>
        <v>31684</v>
      </c>
      <c r="G281" s="6">
        <f>SQRT(SUM($F$2:F281)/A281)</f>
        <v>962.69203279138026</v>
      </c>
      <c r="H281" s="5">
        <f t="shared" si="23"/>
        <v>1</v>
      </c>
      <c r="I281" s="5">
        <f t="shared" si="24"/>
        <v>1</v>
      </c>
    </row>
    <row r="282" spans="1:9">
      <c r="A282">
        <f t="shared" si="25"/>
        <v>281</v>
      </c>
      <c r="B282">
        <v>15</v>
      </c>
      <c r="C282">
        <v>9000</v>
      </c>
      <c r="D282">
        <v>9041</v>
      </c>
      <c r="E282" s="5">
        <f t="shared" si="21"/>
        <v>41</v>
      </c>
      <c r="F282" s="5">
        <f t="shared" si="22"/>
        <v>1681</v>
      </c>
      <c r="G282" s="6">
        <f>SQRT(SUM($F$2:F282)/A282)</f>
        <v>960.98064348509376</v>
      </c>
      <c r="H282" s="5">
        <f t="shared" si="23"/>
        <v>1</v>
      </c>
      <c r="I282" s="5">
        <f t="shared" si="24"/>
        <v>1</v>
      </c>
    </row>
    <row r="283" spans="1:9">
      <c r="A283">
        <f t="shared" si="25"/>
        <v>282</v>
      </c>
      <c r="B283">
        <v>15</v>
      </c>
      <c r="C283">
        <v>9000</v>
      </c>
      <c r="D283">
        <v>8833</v>
      </c>
      <c r="E283" s="5">
        <f t="shared" si="21"/>
        <v>167</v>
      </c>
      <c r="F283" s="5">
        <f t="shared" si="22"/>
        <v>27889</v>
      </c>
      <c r="G283" s="6">
        <f>SQRT(SUM($F$2:F283)/A283)</f>
        <v>959.32681036131487</v>
      </c>
      <c r="H283" s="5">
        <f t="shared" si="23"/>
        <v>1</v>
      </c>
      <c r="I283" s="5">
        <f t="shared" si="24"/>
        <v>1</v>
      </c>
    </row>
    <row r="284" spans="1:9">
      <c r="A284">
        <f t="shared" si="25"/>
        <v>283</v>
      </c>
      <c r="B284">
        <v>15</v>
      </c>
      <c r="C284">
        <v>9000</v>
      </c>
      <c r="D284">
        <v>9295</v>
      </c>
      <c r="E284" s="5">
        <f t="shared" si="21"/>
        <v>295</v>
      </c>
      <c r="F284" s="5">
        <f t="shared" si="22"/>
        <v>87025</v>
      </c>
      <c r="G284" s="6">
        <f>SQRT(SUM($F$2:F284)/A284)</f>
        <v>957.79093043894261</v>
      </c>
      <c r="H284" s="5">
        <f t="shared" si="23"/>
        <v>1</v>
      </c>
      <c r="I284" s="5">
        <f t="shared" si="24"/>
        <v>1</v>
      </c>
    </row>
    <row r="285" spans="1:9">
      <c r="A285">
        <f t="shared" si="25"/>
        <v>284</v>
      </c>
      <c r="B285">
        <v>15</v>
      </c>
      <c r="C285">
        <v>9000</v>
      </c>
      <c r="D285">
        <v>6818</v>
      </c>
      <c r="E285" s="5">
        <f t="shared" si="21"/>
        <v>2182</v>
      </c>
      <c r="F285" s="5">
        <f t="shared" si="22"/>
        <v>4761124</v>
      </c>
      <c r="G285" s="6">
        <f>SQRT(SUM($F$2:F285)/A285)</f>
        <v>964.83046930900889</v>
      </c>
      <c r="H285" s="5">
        <f t="shared" si="23"/>
        <v>0</v>
      </c>
      <c r="I285" s="5">
        <f t="shared" si="24"/>
        <v>0</v>
      </c>
    </row>
    <row r="286" spans="1:9">
      <c r="A286">
        <f t="shared" si="25"/>
        <v>285</v>
      </c>
      <c r="B286">
        <v>18</v>
      </c>
      <c r="C286">
        <v>9000</v>
      </c>
      <c r="D286">
        <v>5730</v>
      </c>
      <c r="E286" s="5">
        <f t="shared" si="21"/>
        <v>3270</v>
      </c>
      <c r="F286" s="5">
        <f t="shared" si="22"/>
        <v>10692900</v>
      </c>
      <c r="G286" s="6">
        <f>SQRT(SUM($F$2:F286)/A286)</f>
        <v>982.42072132269811</v>
      </c>
      <c r="H286" s="5">
        <f t="shared" si="23"/>
        <v>0</v>
      </c>
      <c r="I286" s="5">
        <f t="shared" si="24"/>
        <v>0</v>
      </c>
    </row>
    <row r="287" spans="1:9">
      <c r="A287">
        <f t="shared" si="25"/>
        <v>286</v>
      </c>
      <c r="B287">
        <v>20</v>
      </c>
      <c r="C287">
        <v>9000</v>
      </c>
      <c r="D287">
        <v>5239</v>
      </c>
      <c r="E287" s="5">
        <f t="shared" si="21"/>
        <v>3761</v>
      </c>
      <c r="F287" s="5">
        <f t="shared" si="22"/>
        <v>14145121</v>
      </c>
      <c r="G287" s="6">
        <f>SQRT(SUM($F$2:F287)/A287)</f>
        <v>1005.6014552064286</v>
      </c>
      <c r="H287" s="5">
        <f t="shared" si="23"/>
        <v>0</v>
      </c>
      <c r="I287" s="5">
        <f t="shared" si="24"/>
        <v>0</v>
      </c>
    </row>
    <row r="288" spans="1:9">
      <c r="A288">
        <f t="shared" si="25"/>
        <v>287</v>
      </c>
      <c r="B288">
        <v>21</v>
      </c>
      <c r="C288">
        <v>9000</v>
      </c>
      <c r="D288">
        <v>11878</v>
      </c>
      <c r="E288" s="5">
        <f t="shared" si="21"/>
        <v>2878</v>
      </c>
      <c r="F288" s="5">
        <f t="shared" si="22"/>
        <v>8282884</v>
      </c>
      <c r="G288" s="6">
        <f>SQRT(SUM($F$2:F288)/A288)</f>
        <v>1018.1213313236135</v>
      </c>
      <c r="H288" s="5">
        <f t="shared" si="23"/>
        <v>0</v>
      </c>
      <c r="I288" s="5">
        <f t="shared" si="24"/>
        <v>0</v>
      </c>
    </row>
    <row r="289" spans="1:9">
      <c r="A289">
        <f t="shared" si="25"/>
        <v>288</v>
      </c>
      <c r="B289">
        <v>14</v>
      </c>
      <c r="C289">
        <v>9000</v>
      </c>
      <c r="D289">
        <v>7961</v>
      </c>
      <c r="E289" s="5">
        <f t="shared" si="21"/>
        <v>1039</v>
      </c>
      <c r="F289" s="5">
        <f t="shared" si="22"/>
        <v>1079521</v>
      </c>
      <c r="G289" s="6">
        <f>SQRT(SUM($F$2:F289)/A289)</f>
        <v>1018.194567400226</v>
      </c>
      <c r="H289" s="5">
        <f t="shared" si="23"/>
        <v>1</v>
      </c>
      <c r="I289" s="5">
        <f t="shared" si="24"/>
        <v>0</v>
      </c>
    </row>
    <row r="290" spans="1:9">
      <c r="A290">
        <f t="shared" si="25"/>
        <v>289</v>
      </c>
      <c r="B290">
        <v>18</v>
      </c>
      <c r="C290">
        <v>9000</v>
      </c>
      <c r="D290">
        <v>9731</v>
      </c>
      <c r="E290" s="5">
        <f t="shared" si="21"/>
        <v>731</v>
      </c>
      <c r="F290" s="5">
        <f t="shared" si="22"/>
        <v>534361</v>
      </c>
      <c r="G290" s="6">
        <f>SQRT(SUM($F$2:F290)/A290)</f>
        <v>1017.3406066969911</v>
      </c>
      <c r="H290" s="5">
        <f t="shared" si="23"/>
        <v>1</v>
      </c>
      <c r="I290" s="5">
        <f t="shared" si="24"/>
        <v>1</v>
      </c>
    </row>
    <row r="291" spans="1:9">
      <c r="A291">
        <f t="shared" si="25"/>
        <v>290</v>
      </c>
      <c r="B291">
        <v>16</v>
      </c>
      <c r="C291">
        <v>9000</v>
      </c>
      <c r="D291">
        <v>9667</v>
      </c>
      <c r="E291" s="5">
        <f t="shared" si="21"/>
        <v>667</v>
      </c>
      <c r="F291" s="5">
        <f t="shared" si="22"/>
        <v>444889</v>
      </c>
      <c r="G291" s="6">
        <f>SQRT(SUM($F$2:F291)/A291)</f>
        <v>1016.3400547536005</v>
      </c>
      <c r="H291" s="5">
        <f t="shared" si="23"/>
        <v>1</v>
      </c>
      <c r="I291" s="5">
        <f t="shared" si="24"/>
        <v>1</v>
      </c>
    </row>
    <row r="292" spans="1:9">
      <c r="A292">
        <f t="shared" si="25"/>
        <v>291</v>
      </c>
      <c r="B292">
        <v>16</v>
      </c>
      <c r="C292">
        <v>9000</v>
      </c>
      <c r="D292">
        <v>10581</v>
      </c>
      <c r="E292" s="5">
        <f t="shared" si="21"/>
        <v>1581</v>
      </c>
      <c r="F292" s="5">
        <f t="shared" si="22"/>
        <v>2499561</v>
      </c>
      <c r="G292" s="6">
        <f>SQRT(SUM($F$2:F292)/A292)</f>
        <v>1018.8164786565491</v>
      </c>
      <c r="H292" s="5">
        <f t="shared" si="23"/>
        <v>1</v>
      </c>
      <c r="I292" s="5">
        <f t="shared" si="24"/>
        <v>0</v>
      </c>
    </row>
    <row r="293" spans="1:9">
      <c r="A293">
        <f t="shared" si="25"/>
        <v>292</v>
      </c>
      <c r="B293">
        <v>15</v>
      </c>
      <c r="C293">
        <v>9000</v>
      </c>
      <c r="D293">
        <v>8463</v>
      </c>
      <c r="E293" s="5">
        <f t="shared" si="21"/>
        <v>537</v>
      </c>
      <c r="F293" s="5">
        <f t="shared" si="22"/>
        <v>288369</v>
      </c>
      <c r="G293" s="6">
        <f>SQRT(SUM($F$2:F293)/A293)</f>
        <v>1017.5558128141084</v>
      </c>
      <c r="H293" s="5">
        <f t="shared" si="23"/>
        <v>1</v>
      </c>
      <c r="I293" s="5">
        <f t="shared" si="24"/>
        <v>1</v>
      </c>
    </row>
    <row r="294" spans="1:9">
      <c r="A294">
        <f t="shared" si="25"/>
        <v>293</v>
      </c>
      <c r="B294">
        <v>17</v>
      </c>
      <c r="C294">
        <v>9000</v>
      </c>
      <c r="D294">
        <v>9825</v>
      </c>
      <c r="E294" s="5">
        <f t="shared" si="21"/>
        <v>825</v>
      </c>
      <c r="F294" s="5">
        <f t="shared" si="22"/>
        <v>680625</v>
      </c>
      <c r="G294" s="6">
        <f>SQRT(SUM($F$2:F294)/A294)</f>
        <v>1016.9606326341473</v>
      </c>
      <c r="H294" s="5">
        <f t="shared" si="23"/>
        <v>1</v>
      </c>
      <c r="I294" s="5">
        <f t="shared" si="24"/>
        <v>1</v>
      </c>
    </row>
    <row r="295" spans="1:9">
      <c r="A295">
        <f t="shared" si="25"/>
        <v>294</v>
      </c>
      <c r="B295">
        <v>15</v>
      </c>
      <c r="C295">
        <v>9000</v>
      </c>
      <c r="D295">
        <v>8563</v>
      </c>
      <c r="E295" s="5">
        <f t="shared" si="21"/>
        <v>437</v>
      </c>
      <c r="F295" s="5">
        <f t="shared" si="22"/>
        <v>190969</v>
      </c>
      <c r="G295" s="6">
        <f>SQRT(SUM($F$2:F295)/A295)</f>
        <v>1015.5494893436373</v>
      </c>
      <c r="H295" s="5">
        <f t="shared" si="23"/>
        <v>1</v>
      </c>
      <c r="I295" s="5">
        <f t="shared" si="24"/>
        <v>1</v>
      </c>
    </row>
    <row r="296" spans="1:9">
      <c r="A296">
        <f t="shared" si="25"/>
        <v>295</v>
      </c>
      <c r="B296">
        <v>17</v>
      </c>
      <c r="C296">
        <v>9000</v>
      </c>
      <c r="D296">
        <v>10311</v>
      </c>
      <c r="E296" s="5">
        <f t="shared" si="21"/>
        <v>1311</v>
      </c>
      <c r="F296" s="5">
        <f t="shared" si="22"/>
        <v>1718721</v>
      </c>
      <c r="G296" s="6">
        <f>SQRT(SUM($F$2:F296)/A296)</f>
        <v>1016.6960547757674</v>
      </c>
      <c r="H296" s="5">
        <f t="shared" si="23"/>
        <v>1</v>
      </c>
      <c r="I296" s="5">
        <f t="shared" si="24"/>
        <v>0</v>
      </c>
    </row>
    <row r="297" spans="1:9">
      <c r="A297">
        <f t="shared" si="25"/>
        <v>296</v>
      </c>
      <c r="B297">
        <v>15</v>
      </c>
      <c r="C297">
        <v>9000</v>
      </c>
      <c r="D297">
        <v>9131</v>
      </c>
      <c r="E297" s="5">
        <f t="shared" si="21"/>
        <v>131</v>
      </c>
      <c r="F297" s="5">
        <f t="shared" si="22"/>
        <v>17161</v>
      </c>
      <c r="G297" s="6">
        <f>SQRT(SUM($F$2:F297)/A297)</f>
        <v>1015.0057698544565</v>
      </c>
      <c r="H297" s="5">
        <f t="shared" si="23"/>
        <v>1</v>
      </c>
      <c r="I297" s="5">
        <f t="shared" si="24"/>
        <v>1</v>
      </c>
    </row>
    <row r="298" spans="1:9">
      <c r="A298">
        <f t="shared" si="25"/>
        <v>297</v>
      </c>
      <c r="B298">
        <v>16</v>
      </c>
      <c r="C298">
        <v>9000</v>
      </c>
      <c r="D298">
        <v>9578</v>
      </c>
      <c r="E298" s="5">
        <f t="shared" si="21"/>
        <v>578</v>
      </c>
      <c r="F298" s="5">
        <f t="shared" si="22"/>
        <v>334084</v>
      </c>
      <c r="G298" s="6">
        <f>SQRT(SUM($F$2:F298)/A298)</f>
        <v>1013.8504644718392</v>
      </c>
      <c r="H298" s="5">
        <f t="shared" si="23"/>
        <v>1</v>
      </c>
      <c r="I298" s="5">
        <f t="shared" si="24"/>
        <v>1</v>
      </c>
    </row>
    <row r="299" spans="1:9">
      <c r="A299">
        <f t="shared" si="25"/>
        <v>298</v>
      </c>
      <c r="B299">
        <v>15</v>
      </c>
      <c r="C299">
        <v>9000</v>
      </c>
      <c r="D299">
        <v>8510</v>
      </c>
      <c r="E299" s="5">
        <f t="shared" si="21"/>
        <v>490</v>
      </c>
      <c r="F299" s="5">
        <f t="shared" si="22"/>
        <v>240100</v>
      </c>
      <c r="G299" s="6">
        <f>SQRT(SUM($F$2:F299)/A299)</f>
        <v>1012.5458826292911</v>
      </c>
      <c r="H299" s="5">
        <f t="shared" si="23"/>
        <v>1</v>
      </c>
      <c r="I299" s="5">
        <f t="shared" si="24"/>
        <v>1</v>
      </c>
    </row>
    <row r="300" spans="1:9">
      <c r="A300">
        <f t="shared" si="25"/>
        <v>299</v>
      </c>
      <c r="B300">
        <v>16</v>
      </c>
      <c r="C300">
        <v>9000</v>
      </c>
      <c r="D300">
        <v>9529</v>
      </c>
      <c r="E300" s="5">
        <f t="shared" si="21"/>
        <v>529</v>
      </c>
      <c r="F300" s="5">
        <f t="shared" si="22"/>
        <v>279841</v>
      </c>
      <c r="G300" s="6">
        <f>SQRT(SUM($F$2:F300)/A300)</f>
        <v>1011.3140761084644</v>
      </c>
      <c r="H300" s="5">
        <f t="shared" si="23"/>
        <v>1</v>
      </c>
      <c r="I300" s="5">
        <f t="shared" si="24"/>
        <v>1</v>
      </c>
    </row>
    <row r="301" spans="1:9">
      <c r="A301">
        <f t="shared" si="25"/>
        <v>300</v>
      </c>
      <c r="B301">
        <v>15</v>
      </c>
      <c r="C301">
        <v>9000</v>
      </c>
      <c r="D301">
        <v>8255</v>
      </c>
      <c r="E301" s="5">
        <f t="shared" si="21"/>
        <v>745</v>
      </c>
      <c r="F301" s="5">
        <f t="shared" si="22"/>
        <v>555025</v>
      </c>
      <c r="G301" s="6">
        <f>SQRT(SUM($F$2:F301)/A301)</f>
        <v>1010.5429514210006</v>
      </c>
      <c r="H301" s="5">
        <f t="shared" si="23"/>
        <v>1</v>
      </c>
      <c r="I301" s="5">
        <f t="shared" si="24"/>
        <v>1</v>
      </c>
    </row>
    <row r="302" spans="1:9">
      <c r="A302">
        <f t="shared" si="25"/>
        <v>301</v>
      </c>
      <c r="B302">
        <v>17</v>
      </c>
      <c r="C302">
        <v>5000</v>
      </c>
      <c r="D302">
        <v>10532</v>
      </c>
      <c r="E302" s="5">
        <f t="shared" si="21"/>
        <v>5532</v>
      </c>
      <c r="F302" s="5">
        <f t="shared" si="22"/>
        <v>30603024</v>
      </c>
      <c r="G302" s="6">
        <f>SQRT(SUM($F$2:F302)/A302)</f>
        <v>1058.0527167844789</v>
      </c>
      <c r="H302" s="5">
        <f t="shared" si="23"/>
        <v>0</v>
      </c>
      <c r="I302" s="5">
        <f t="shared" si="24"/>
        <v>0</v>
      </c>
    </row>
    <row r="303" spans="1:9">
      <c r="A303">
        <f t="shared" si="25"/>
        <v>302</v>
      </c>
      <c r="B303">
        <v>9</v>
      </c>
      <c r="C303">
        <v>5000</v>
      </c>
      <c r="D303">
        <v>5336</v>
      </c>
      <c r="E303" s="5">
        <f t="shared" si="21"/>
        <v>336</v>
      </c>
      <c r="F303" s="5">
        <f t="shared" si="22"/>
        <v>112896</v>
      </c>
      <c r="G303" s="6">
        <f>SQRT(SUM($F$2:F303)/A303)</f>
        <v>1056.4764581487448</v>
      </c>
      <c r="H303" s="5">
        <f t="shared" si="23"/>
        <v>1</v>
      </c>
      <c r="I303" s="5">
        <f t="shared" si="24"/>
        <v>1</v>
      </c>
    </row>
    <row r="304" spans="1:9">
      <c r="A304">
        <f t="shared" si="25"/>
        <v>303</v>
      </c>
      <c r="B304">
        <v>14</v>
      </c>
      <c r="C304">
        <v>5000</v>
      </c>
      <c r="D304">
        <v>8690</v>
      </c>
      <c r="E304" s="5">
        <f t="shared" si="21"/>
        <v>3690</v>
      </c>
      <c r="F304" s="5">
        <f t="shared" si="22"/>
        <v>13616100</v>
      </c>
      <c r="G304" s="6">
        <f>SQRT(SUM($F$2:F304)/A304)</f>
        <v>1075.8236341283709</v>
      </c>
      <c r="H304" s="5">
        <f t="shared" si="23"/>
        <v>0</v>
      </c>
      <c r="I304" s="5">
        <f t="shared" si="24"/>
        <v>0</v>
      </c>
    </row>
    <row r="305" spans="1:9">
      <c r="A305">
        <f t="shared" si="25"/>
        <v>304</v>
      </c>
      <c r="B305">
        <v>10</v>
      </c>
      <c r="C305">
        <v>5000</v>
      </c>
      <c r="D305">
        <v>5576</v>
      </c>
      <c r="E305" s="5">
        <f t="shared" si="21"/>
        <v>576</v>
      </c>
      <c r="F305" s="5">
        <f t="shared" si="22"/>
        <v>331776</v>
      </c>
      <c r="G305" s="6">
        <f>SQRT(SUM($F$2:F305)/A305)</f>
        <v>1074.5606706316871</v>
      </c>
      <c r="H305" s="5">
        <f t="shared" si="23"/>
        <v>1</v>
      </c>
      <c r="I305" s="5">
        <f t="shared" si="24"/>
        <v>0</v>
      </c>
    </row>
    <row r="306" spans="1:9">
      <c r="A306">
        <f t="shared" si="25"/>
        <v>305</v>
      </c>
      <c r="B306">
        <v>12</v>
      </c>
      <c r="C306">
        <v>5000</v>
      </c>
      <c r="D306">
        <v>7531</v>
      </c>
      <c r="E306" s="5">
        <f t="shared" si="21"/>
        <v>2531</v>
      </c>
      <c r="F306" s="5">
        <f t="shared" si="22"/>
        <v>6405961</v>
      </c>
      <c r="G306" s="6">
        <f>SQRT(SUM($F$2:F306)/A306)</f>
        <v>1082.5423536938329</v>
      </c>
      <c r="H306" s="5">
        <f t="shared" si="23"/>
        <v>0</v>
      </c>
      <c r="I306" s="5">
        <f t="shared" si="24"/>
        <v>0</v>
      </c>
    </row>
    <row r="307" spans="1:9">
      <c r="A307">
        <f t="shared" si="25"/>
        <v>306</v>
      </c>
      <c r="B307">
        <v>10</v>
      </c>
      <c r="C307">
        <v>5000</v>
      </c>
      <c r="D307">
        <v>6329</v>
      </c>
      <c r="E307" s="5">
        <f t="shared" si="21"/>
        <v>1329</v>
      </c>
      <c r="F307" s="5">
        <f t="shared" si="22"/>
        <v>1766241</v>
      </c>
      <c r="G307" s="6">
        <f>SQRT(SUM($F$2:F307)/A307)</f>
        <v>1083.4390823198319</v>
      </c>
      <c r="H307" s="5">
        <f t="shared" si="23"/>
        <v>0</v>
      </c>
      <c r="I307" s="5">
        <f t="shared" si="24"/>
        <v>0</v>
      </c>
    </row>
    <row r="308" spans="1:9">
      <c r="A308">
        <f t="shared" si="25"/>
        <v>307</v>
      </c>
      <c r="B308">
        <v>11</v>
      </c>
      <c r="C308">
        <v>5000</v>
      </c>
      <c r="D308">
        <v>7033</v>
      </c>
      <c r="E308" s="5">
        <f t="shared" si="21"/>
        <v>2033</v>
      </c>
      <c r="F308" s="5">
        <f t="shared" si="22"/>
        <v>4133089</v>
      </c>
      <c r="G308" s="6">
        <f>SQRT(SUM($F$2:F308)/A308)</f>
        <v>1087.8784361575872</v>
      </c>
      <c r="H308" s="5">
        <f t="shared" si="23"/>
        <v>0</v>
      </c>
      <c r="I308" s="5">
        <f t="shared" si="24"/>
        <v>0</v>
      </c>
    </row>
    <row r="309" spans="1:9">
      <c r="A309">
        <f t="shared" si="25"/>
        <v>308</v>
      </c>
      <c r="B309">
        <v>9</v>
      </c>
      <c r="C309">
        <v>5000</v>
      </c>
      <c r="D309">
        <v>5520</v>
      </c>
      <c r="E309" s="5">
        <f t="shared" si="21"/>
        <v>520</v>
      </c>
      <c r="F309" s="5">
        <f t="shared" si="22"/>
        <v>270400</v>
      </c>
      <c r="G309" s="6">
        <f>SQRT(SUM($F$2:F309)/A309)</f>
        <v>1086.5150473196163</v>
      </c>
      <c r="H309" s="5">
        <f t="shared" si="23"/>
        <v>1</v>
      </c>
      <c r="I309" s="5">
        <f t="shared" si="24"/>
        <v>0</v>
      </c>
    </row>
    <row r="310" spans="1:9">
      <c r="A310">
        <f t="shared" si="25"/>
        <v>309</v>
      </c>
      <c r="B310">
        <v>11</v>
      </c>
      <c r="C310">
        <v>5000</v>
      </c>
      <c r="D310">
        <v>7329</v>
      </c>
      <c r="E310" s="5">
        <f t="shared" si="21"/>
        <v>2329</v>
      </c>
      <c r="F310" s="5">
        <f t="shared" si="22"/>
        <v>5424241</v>
      </c>
      <c r="G310" s="6">
        <f>SQRT(SUM($F$2:F310)/A310)</f>
        <v>1092.8168599177029</v>
      </c>
      <c r="H310" s="5">
        <f t="shared" si="23"/>
        <v>0</v>
      </c>
      <c r="I310" s="5">
        <f t="shared" si="24"/>
        <v>0</v>
      </c>
    </row>
    <row r="311" spans="1:9">
      <c r="A311">
        <f t="shared" si="25"/>
        <v>310</v>
      </c>
      <c r="B311">
        <v>8</v>
      </c>
      <c r="C311">
        <v>5000</v>
      </c>
      <c r="D311">
        <v>4410</v>
      </c>
      <c r="E311" s="5">
        <f t="shared" si="21"/>
        <v>590</v>
      </c>
      <c r="F311" s="5">
        <f t="shared" si="22"/>
        <v>348100</v>
      </c>
      <c r="G311" s="6">
        <f>SQRT(SUM($F$2:F311)/A311)</f>
        <v>1091.5673032018478</v>
      </c>
      <c r="H311" s="5">
        <f t="shared" si="23"/>
        <v>1</v>
      </c>
      <c r="I311" s="5">
        <f t="shared" si="24"/>
        <v>0</v>
      </c>
    </row>
    <row r="312" spans="1:9">
      <c r="A312">
        <f t="shared" si="25"/>
        <v>311</v>
      </c>
      <c r="B312">
        <v>11</v>
      </c>
      <c r="C312">
        <v>5000</v>
      </c>
      <c r="D312">
        <v>6703</v>
      </c>
      <c r="E312" s="5">
        <f t="shared" si="21"/>
        <v>1703</v>
      </c>
      <c r="F312" s="5">
        <f t="shared" si="22"/>
        <v>2900209</v>
      </c>
      <c r="G312" s="6">
        <f>SQRT(SUM($F$2:F312)/A312)</f>
        <v>1094.0810559155036</v>
      </c>
      <c r="H312" s="5">
        <f t="shared" si="23"/>
        <v>0</v>
      </c>
      <c r="I312" s="5">
        <f t="shared" si="24"/>
        <v>0</v>
      </c>
    </row>
    <row r="313" spans="1:9">
      <c r="A313">
        <f t="shared" si="25"/>
        <v>312</v>
      </c>
      <c r="B313">
        <v>9</v>
      </c>
      <c r="C313">
        <v>5000</v>
      </c>
      <c r="D313">
        <v>5358</v>
      </c>
      <c r="E313" s="5">
        <f t="shared" si="21"/>
        <v>358</v>
      </c>
      <c r="F313" s="5">
        <f t="shared" si="22"/>
        <v>128164</v>
      </c>
      <c r="G313" s="6">
        <f>SQRT(SUM($F$2:F313)/A313)</f>
        <v>1092.514328369339</v>
      </c>
      <c r="H313" s="5">
        <f t="shared" si="23"/>
        <v>1</v>
      </c>
      <c r="I313" s="5">
        <f t="shared" si="24"/>
        <v>1</v>
      </c>
    </row>
    <row r="314" spans="1:9">
      <c r="A314">
        <f t="shared" si="25"/>
        <v>313</v>
      </c>
      <c r="B314">
        <v>10</v>
      </c>
      <c r="C314">
        <v>5000</v>
      </c>
      <c r="D314">
        <v>6339</v>
      </c>
      <c r="E314" s="5">
        <f t="shared" si="21"/>
        <v>1339</v>
      </c>
      <c r="F314" s="5">
        <f t="shared" si="22"/>
        <v>1792921</v>
      </c>
      <c r="G314" s="6">
        <f>SQRT(SUM($F$2:F314)/A314)</f>
        <v>1093.3903058937208</v>
      </c>
      <c r="H314" s="5">
        <f t="shared" si="23"/>
        <v>0</v>
      </c>
      <c r="I314" s="5">
        <f t="shared" si="24"/>
        <v>0</v>
      </c>
    </row>
    <row r="315" spans="1:9">
      <c r="A315">
        <f t="shared" si="25"/>
        <v>314</v>
      </c>
      <c r="B315">
        <v>8</v>
      </c>
      <c r="C315">
        <v>5000</v>
      </c>
      <c r="D315">
        <v>6089</v>
      </c>
      <c r="E315" s="5">
        <f t="shared" si="21"/>
        <v>1089</v>
      </c>
      <c r="F315" s="5">
        <f t="shared" si="22"/>
        <v>1185921</v>
      </c>
      <c r="G315" s="6">
        <f>SQRT(SUM($F$2:F315)/A315)</f>
        <v>1093.3763520095713</v>
      </c>
      <c r="H315" s="5">
        <f t="shared" si="23"/>
        <v>0</v>
      </c>
      <c r="I315" s="5">
        <f t="shared" si="24"/>
        <v>0</v>
      </c>
    </row>
    <row r="316" spans="1:9">
      <c r="A316">
        <f t="shared" si="25"/>
        <v>315</v>
      </c>
      <c r="B316">
        <v>8</v>
      </c>
      <c r="C316">
        <v>5000</v>
      </c>
      <c r="D316">
        <v>5468</v>
      </c>
      <c r="E316" s="5">
        <f t="shared" si="21"/>
        <v>468</v>
      </c>
      <c r="F316" s="5">
        <f t="shared" si="22"/>
        <v>219024</v>
      </c>
      <c r="G316" s="6">
        <f>SQRT(SUM($F$2:F316)/A316)</f>
        <v>1091.9578804598705</v>
      </c>
      <c r="H316" s="5">
        <f t="shared" si="23"/>
        <v>1</v>
      </c>
      <c r="I316" s="5">
        <f t="shared" si="24"/>
        <v>1</v>
      </c>
    </row>
    <row r="317" spans="1:9">
      <c r="A317">
        <f t="shared" si="25"/>
        <v>316</v>
      </c>
      <c r="B317">
        <v>9</v>
      </c>
      <c r="C317">
        <v>5000</v>
      </c>
      <c r="D317">
        <v>5369</v>
      </c>
      <c r="E317" s="5">
        <f t="shared" si="21"/>
        <v>369</v>
      </c>
      <c r="F317" s="5">
        <f t="shared" si="22"/>
        <v>136161</v>
      </c>
      <c r="G317" s="6">
        <f>SQRT(SUM($F$2:F317)/A317)</f>
        <v>1090.4263261609242</v>
      </c>
      <c r="H317" s="5">
        <f t="shared" si="23"/>
        <v>1</v>
      </c>
      <c r="I317" s="5">
        <f t="shared" si="24"/>
        <v>1</v>
      </c>
    </row>
    <row r="318" spans="1:9">
      <c r="A318">
        <f t="shared" si="25"/>
        <v>317</v>
      </c>
      <c r="B318">
        <v>9</v>
      </c>
      <c r="C318">
        <v>5000</v>
      </c>
      <c r="D318">
        <v>5490</v>
      </c>
      <c r="E318" s="5">
        <f t="shared" si="21"/>
        <v>490</v>
      </c>
      <c r="F318" s="5">
        <f t="shared" si="22"/>
        <v>240100</v>
      </c>
      <c r="G318" s="6">
        <f>SQRT(SUM($F$2:F318)/A318)</f>
        <v>1089.0528472489048</v>
      </c>
      <c r="H318" s="5">
        <f t="shared" si="23"/>
        <v>1</v>
      </c>
      <c r="I318" s="5">
        <f t="shared" si="24"/>
        <v>1</v>
      </c>
    </row>
    <row r="319" spans="1:9">
      <c r="A319">
        <f t="shared" si="25"/>
        <v>318</v>
      </c>
      <c r="B319">
        <v>9</v>
      </c>
      <c r="C319">
        <v>5000</v>
      </c>
      <c r="D319">
        <v>5309</v>
      </c>
      <c r="E319" s="5">
        <f t="shared" si="21"/>
        <v>309</v>
      </c>
      <c r="F319" s="5">
        <f t="shared" si="22"/>
        <v>95481</v>
      </c>
      <c r="G319" s="6">
        <f>SQRT(SUM($F$2:F319)/A319)</f>
        <v>1087.4772115012761</v>
      </c>
      <c r="H319" s="5">
        <f t="shared" si="23"/>
        <v>1</v>
      </c>
      <c r="I319" s="5">
        <f t="shared" si="24"/>
        <v>1</v>
      </c>
    </row>
    <row r="320" spans="1:9">
      <c r="A320">
        <f t="shared" si="25"/>
        <v>319</v>
      </c>
      <c r="B320">
        <v>9</v>
      </c>
      <c r="C320">
        <v>5000</v>
      </c>
      <c r="D320">
        <v>5758</v>
      </c>
      <c r="E320" s="5">
        <f t="shared" si="21"/>
        <v>758</v>
      </c>
      <c r="F320" s="5">
        <f t="shared" si="22"/>
        <v>574564</v>
      </c>
      <c r="G320" s="6">
        <f>SQRT(SUM($F$2:F320)/A320)</f>
        <v>1086.6004765373909</v>
      </c>
      <c r="H320" s="5">
        <f t="shared" si="23"/>
        <v>1</v>
      </c>
      <c r="I320" s="5">
        <f t="shared" si="24"/>
        <v>0</v>
      </c>
    </row>
    <row r="321" spans="1:9">
      <c r="A321">
        <f t="shared" si="25"/>
        <v>320</v>
      </c>
      <c r="B321">
        <v>8</v>
      </c>
      <c r="C321">
        <v>5000</v>
      </c>
      <c r="D321">
        <v>5463</v>
      </c>
      <c r="E321" s="5">
        <f t="shared" si="21"/>
        <v>463</v>
      </c>
      <c r="F321" s="5">
        <f t="shared" si="22"/>
        <v>214369</v>
      </c>
      <c r="G321" s="6">
        <f>SQRT(SUM($F$2:F321)/A321)</f>
        <v>1085.2100300748239</v>
      </c>
      <c r="H321" s="5">
        <f t="shared" si="23"/>
        <v>1</v>
      </c>
      <c r="I321" s="5">
        <f t="shared" si="24"/>
        <v>1</v>
      </c>
    </row>
    <row r="322" spans="1:9">
      <c r="A322">
        <f t="shared" si="25"/>
        <v>321</v>
      </c>
      <c r="B322">
        <v>8</v>
      </c>
      <c r="C322">
        <v>5000</v>
      </c>
      <c r="D322">
        <v>5721</v>
      </c>
      <c r="E322" s="5">
        <f t="shared" si="21"/>
        <v>721</v>
      </c>
      <c r="F322" s="5">
        <f t="shared" si="22"/>
        <v>519841</v>
      </c>
      <c r="G322" s="6">
        <f>SQRT(SUM($F$2:F322)/A322)</f>
        <v>1084.2654030146193</v>
      </c>
      <c r="H322" s="5">
        <f t="shared" si="23"/>
        <v>1</v>
      </c>
      <c r="I322" s="5">
        <f t="shared" si="24"/>
        <v>0</v>
      </c>
    </row>
    <row r="323" spans="1:9">
      <c r="A323">
        <f t="shared" si="25"/>
        <v>322</v>
      </c>
      <c r="B323">
        <v>8</v>
      </c>
      <c r="C323">
        <v>5000</v>
      </c>
      <c r="D323">
        <v>6275</v>
      </c>
      <c r="E323" s="5">
        <f t="shared" ref="E323:E386" si="26">ABS(C323-D323)</f>
        <v>1275</v>
      </c>
      <c r="F323" s="5">
        <f t="shared" ref="F323:F386" si="27">POWER(E323,2)</f>
        <v>1625625</v>
      </c>
      <c r="G323" s="6">
        <f>SQRT(SUM($F$2:F323)/A323)</f>
        <v>1084.9096550530505</v>
      </c>
      <c r="H323" s="5">
        <f t="shared" ref="H323:H386" si="28">IF(ABS(E323)/C323&gt;0.2,0,1)</f>
        <v>0</v>
      </c>
      <c r="I323" s="5">
        <f t="shared" ref="I323:I386" si="29">IF(ABS(E323)/C323&gt;0.1,0,1)</f>
        <v>0</v>
      </c>
    </row>
    <row r="324" spans="1:9">
      <c r="A324">
        <f t="shared" ref="A324:A387" si="30">A323+1</f>
        <v>323</v>
      </c>
      <c r="B324">
        <v>7</v>
      </c>
      <c r="C324">
        <v>5000</v>
      </c>
      <c r="D324">
        <v>5169</v>
      </c>
      <c r="E324" s="5">
        <f t="shared" si="26"/>
        <v>169</v>
      </c>
      <c r="F324" s="5">
        <f t="shared" si="27"/>
        <v>28561</v>
      </c>
      <c r="G324" s="6">
        <f>SQRT(SUM($F$2:F324)/A324)</f>
        <v>1083.2697407706678</v>
      </c>
      <c r="H324" s="5">
        <f t="shared" si="28"/>
        <v>1</v>
      </c>
      <c r="I324" s="5">
        <f t="shared" si="29"/>
        <v>1</v>
      </c>
    </row>
    <row r="325" spans="1:9">
      <c r="A325">
        <f t="shared" si="30"/>
        <v>324</v>
      </c>
      <c r="B325">
        <v>8</v>
      </c>
      <c r="C325">
        <v>5000</v>
      </c>
      <c r="D325">
        <v>5327</v>
      </c>
      <c r="E325" s="5">
        <f t="shared" si="26"/>
        <v>327</v>
      </c>
      <c r="F325" s="5">
        <f t="shared" si="27"/>
        <v>106929</v>
      </c>
      <c r="G325" s="6">
        <f>SQRT(SUM($F$2:F325)/A325)</f>
        <v>1081.7492906296625</v>
      </c>
      <c r="H325" s="5">
        <f t="shared" si="28"/>
        <v>1</v>
      </c>
      <c r="I325" s="5">
        <f t="shared" si="29"/>
        <v>1</v>
      </c>
    </row>
    <row r="326" spans="1:9">
      <c r="A326">
        <f t="shared" si="30"/>
        <v>325</v>
      </c>
      <c r="B326">
        <v>8</v>
      </c>
      <c r="C326">
        <v>5000</v>
      </c>
      <c r="D326">
        <v>5303</v>
      </c>
      <c r="E326" s="5">
        <f t="shared" si="26"/>
        <v>303</v>
      </c>
      <c r="F326" s="5">
        <f t="shared" si="27"/>
        <v>91809</v>
      </c>
      <c r="G326" s="6">
        <f>SQRT(SUM($F$2:F326)/A326)</f>
        <v>1080.2145427930225</v>
      </c>
      <c r="H326" s="5">
        <f t="shared" si="28"/>
        <v>1</v>
      </c>
      <c r="I326" s="5">
        <f t="shared" si="29"/>
        <v>1</v>
      </c>
    </row>
    <row r="327" spans="1:9">
      <c r="A327">
        <f t="shared" si="30"/>
        <v>326</v>
      </c>
      <c r="B327">
        <v>8</v>
      </c>
      <c r="C327">
        <v>5000</v>
      </c>
      <c r="D327">
        <v>5470</v>
      </c>
      <c r="E327" s="5">
        <f t="shared" si="26"/>
        <v>470</v>
      </c>
      <c r="F327" s="5">
        <f t="shared" si="27"/>
        <v>220900</v>
      </c>
      <c r="G327" s="6">
        <f>SQRT(SUM($F$2:F327)/A327)</f>
        <v>1078.8705807747979</v>
      </c>
      <c r="H327" s="5">
        <f t="shared" si="28"/>
        <v>1</v>
      </c>
      <c r="I327" s="5">
        <f t="shared" si="29"/>
        <v>1</v>
      </c>
    </row>
    <row r="328" spans="1:9">
      <c r="A328">
        <f t="shared" si="30"/>
        <v>327</v>
      </c>
      <c r="B328">
        <v>7</v>
      </c>
      <c r="C328">
        <v>5000</v>
      </c>
      <c r="D328">
        <v>4617</v>
      </c>
      <c r="E328" s="5">
        <f t="shared" si="26"/>
        <v>383</v>
      </c>
      <c r="F328" s="5">
        <f t="shared" si="27"/>
        <v>146689</v>
      </c>
      <c r="G328" s="6">
        <f>SQRT(SUM($F$2:F328)/A328)</f>
        <v>1077.42786500134</v>
      </c>
      <c r="H328" s="5">
        <f t="shared" si="28"/>
        <v>1</v>
      </c>
      <c r="I328" s="5">
        <f t="shared" si="29"/>
        <v>1</v>
      </c>
    </row>
    <row r="329" spans="1:9">
      <c r="A329">
        <f t="shared" si="30"/>
        <v>328</v>
      </c>
      <c r="B329">
        <v>8</v>
      </c>
      <c r="C329">
        <v>5000</v>
      </c>
      <c r="D329">
        <v>6000</v>
      </c>
      <c r="E329" s="5">
        <f t="shared" si="26"/>
        <v>1000</v>
      </c>
      <c r="F329" s="5">
        <f t="shared" si="27"/>
        <v>1000000</v>
      </c>
      <c r="G329" s="6">
        <f>SQRT(SUM($F$2:F329)/A329)</f>
        <v>1077.2002624803824</v>
      </c>
      <c r="H329" s="5">
        <f t="shared" si="28"/>
        <v>1</v>
      </c>
      <c r="I329" s="5">
        <f t="shared" si="29"/>
        <v>0</v>
      </c>
    </row>
    <row r="330" spans="1:9">
      <c r="A330">
        <f t="shared" si="30"/>
        <v>329</v>
      </c>
      <c r="B330">
        <v>7</v>
      </c>
      <c r="C330">
        <v>5000</v>
      </c>
      <c r="D330">
        <v>5469</v>
      </c>
      <c r="E330" s="5">
        <f t="shared" si="26"/>
        <v>469</v>
      </c>
      <c r="F330" s="5">
        <f t="shared" si="27"/>
        <v>219961</v>
      </c>
      <c r="G330" s="6">
        <f>SQRT(SUM($F$2:F330)/A330)</f>
        <v>1075.8726916472128</v>
      </c>
      <c r="H330" s="5">
        <f t="shared" si="28"/>
        <v>1</v>
      </c>
      <c r="I330" s="5">
        <f t="shared" si="29"/>
        <v>1</v>
      </c>
    </row>
    <row r="331" spans="1:9">
      <c r="A331">
        <f t="shared" si="30"/>
        <v>330</v>
      </c>
      <c r="B331">
        <v>7</v>
      </c>
      <c r="C331">
        <v>5000</v>
      </c>
      <c r="D331">
        <v>5505</v>
      </c>
      <c r="E331" s="5">
        <f t="shared" si="26"/>
        <v>505</v>
      </c>
      <c r="F331" s="5">
        <f t="shared" si="27"/>
        <v>255025</v>
      </c>
      <c r="G331" s="6">
        <f>SQRT(SUM($F$2:F331)/A331)</f>
        <v>1074.60098161921</v>
      </c>
      <c r="H331" s="5">
        <f t="shared" si="28"/>
        <v>1</v>
      </c>
      <c r="I331" s="5">
        <f t="shared" si="29"/>
        <v>0</v>
      </c>
    </row>
    <row r="332" spans="1:9">
      <c r="A332">
        <f t="shared" si="30"/>
        <v>331</v>
      </c>
      <c r="B332">
        <v>7</v>
      </c>
      <c r="C332">
        <v>5000</v>
      </c>
      <c r="D332">
        <v>5462</v>
      </c>
      <c r="E332" s="5">
        <f t="shared" si="26"/>
        <v>462</v>
      </c>
      <c r="F332" s="5">
        <f t="shared" si="27"/>
        <v>213444</v>
      </c>
      <c r="G332" s="6">
        <f>SQRT(SUM($F$2:F332)/A332)</f>
        <v>1073.2769413106967</v>
      </c>
      <c r="H332" s="5">
        <f t="shared" si="28"/>
        <v>1</v>
      </c>
      <c r="I332" s="5">
        <f t="shared" si="29"/>
        <v>1</v>
      </c>
    </row>
    <row r="333" spans="1:9">
      <c r="A333">
        <f t="shared" si="30"/>
        <v>332</v>
      </c>
      <c r="B333">
        <v>7</v>
      </c>
      <c r="C333">
        <v>5000</v>
      </c>
      <c r="D333">
        <v>5867</v>
      </c>
      <c r="E333" s="5">
        <f t="shared" si="26"/>
        <v>867</v>
      </c>
      <c r="F333" s="5">
        <f t="shared" si="27"/>
        <v>751689</v>
      </c>
      <c r="G333" s="6">
        <f>SQRT(SUM($F$2:F333)/A333)</f>
        <v>1072.7151846925071</v>
      </c>
      <c r="H333" s="5">
        <f t="shared" si="28"/>
        <v>1</v>
      </c>
      <c r="I333" s="5">
        <f t="shared" si="29"/>
        <v>0</v>
      </c>
    </row>
    <row r="334" spans="1:9">
      <c r="A334">
        <f t="shared" si="30"/>
        <v>333</v>
      </c>
      <c r="B334">
        <v>6</v>
      </c>
      <c r="C334">
        <v>5000</v>
      </c>
      <c r="D334">
        <v>4522</v>
      </c>
      <c r="E334" s="5">
        <f t="shared" si="26"/>
        <v>478</v>
      </c>
      <c r="F334" s="5">
        <f t="shared" si="27"/>
        <v>228484</v>
      </c>
      <c r="G334" s="6">
        <f>SQRT(SUM($F$2:F334)/A334)</f>
        <v>1071.4235373541112</v>
      </c>
      <c r="H334" s="5">
        <f t="shared" si="28"/>
        <v>1</v>
      </c>
      <c r="I334" s="5">
        <f t="shared" si="29"/>
        <v>1</v>
      </c>
    </row>
    <row r="335" spans="1:9">
      <c r="A335">
        <f t="shared" si="30"/>
        <v>334</v>
      </c>
      <c r="B335">
        <v>8</v>
      </c>
      <c r="C335">
        <v>5000</v>
      </c>
      <c r="D335">
        <v>6364</v>
      </c>
      <c r="E335" s="5">
        <f t="shared" si="26"/>
        <v>1364</v>
      </c>
      <c r="F335" s="5">
        <f t="shared" si="27"/>
        <v>1860496</v>
      </c>
      <c r="G335" s="6">
        <f>SQRT(SUM($F$2:F335)/A335)</f>
        <v>1072.4186554023991</v>
      </c>
      <c r="H335" s="5">
        <f t="shared" si="28"/>
        <v>0</v>
      </c>
      <c r="I335" s="5">
        <f t="shared" si="29"/>
        <v>0</v>
      </c>
    </row>
    <row r="336" spans="1:9">
      <c r="A336">
        <f t="shared" si="30"/>
        <v>335</v>
      </c>
      <c r="B336">
        <v>5</v>
      </c>
      <c r="C336">
        <v>5000</v>
      </c>
      <c r="D336">
        <v>4776</v>
      </c>
      <c r="E336" s="5">
        <f t="shared" si="26"/>
        <v>224</v>
      </c>
      <c r="F336" s="5">
        <f t="shared" si="27"/>
        <v>50176</v>
      </c>
      <c r="G336" s="6">
        <f>SQRT(SUM($F$2:F336)/A336)</f>
        <v>1070.886768823759</v>
      </c>
      <c r="H336" s="5">
        <f t="shared" si="28"/>
        <v>1</v>
      </c>
      <c r="I336" s="5">
        <f t="shared" si="29"/>
        <v>1</v>
      </c>
    </row>
    <row r="337" spans="1:9">
      <c r="A337">
        <f t="shared" si="30"/>
        <v>336</v>
      </c>
      <c r="B337">
        <v>7</v>
      </c>
      <c r="C337">
        <v>5000</v>
      </c>
      <c r="D337">
        <v>5945</v>
      </c>
      <c r="E337" s="5">
        <f t="shared" si="26"/>
        <v>945</v>
      </c>
      <c r="F337" s="5">
        <f t="shared" si="27"/>
        <v>893025</v>
      </c>
      <c r="G337" s="6">
        <f>SQRT(SUM($F$2:F337)/A337)</f>
        <v>1070.5340692628054</v>
      </c>
      <c r="H337" s="5">
        <f t="shared" si="28"/>
        <v>1</v>
      </c>
      <c r="I337" s="5">
        <f t="shared" si="29"/>
        <v>0</v>
      </c>
    </row>
    <row r="338" spans="1:9">
      <c r="A338">
        <f t="shared" si="30"/>
        <v>337</v>
      </c>
      <c r="B338">
        <v>6</v>
      </c>
      <c r="C338">
        <v>5000</v>
      </c>
      <c r="D338">
        <v>5486</v>
      </c>
      <c r="E338" s="5">
        <f t="shared" si="26"/>
        <v>486</v>
      </c>
      <c r="F338" s="5">
        <f t="shared" si="27"/>
        <v>236196</v>
      </c>
      <c r="G338" s="6">
        <f>SQRT(SUM($F$2:F338)/A338)</f>
        <v>1069.2723461066259</v>
      </c>
      <c r="H338" s="5">
        <f t="shared" si="28"/>
        <v>1</v>
      </c>
      <c r="I338" s="5">
        <f t="shared" si="29"/>
        <v>1</v>
      </c>
    </row>
    <row r="339" spans="1:9">
      <c r="A339">
        <f t="shared" si="30"/>
        <v>338</v>
      </c>
      <c r="B339">
        <v>6</v>
      </c>
      <c r="C339">
        <v>5000</v>
      </c>
      <c r="D339">
        <v>4768</v>
      </c>
      <c r="E339" s="5">
        <f t="shared" si="26"/>
        <v>232</v>
      </c>
      <c r="F339" s="5">
        <f t="shared" si="27"/>
        <v>53824</v>
      </c>
      <c r="G339" s="6">
        <f>SQRT(SUM($F$2:F339)/A339)</f>
        <v>1067.763981467039</v>
      </c>
      <c r="H339" s="5">
        <f t="shared" si="28"/>
        <v>1</v>
      </c>
      <c r="I339" s="5">
        <f t="shared" si="29"/>
        <v>1</v>
      </c>
    </row>
    <row r="340" spans="1:9">
      <c r="A340">
        <f t="shared" si="30"/>
        <v>339</v>
      </c>
      <c r="B340">
        <v>7</v>
      </c>
      <c r="C340">
        <v>5000</v>
      </c>
      <c r="D340">
        <v>4894</v>
      </c>
      <c r="E340" s="5">
        <f t="shared" si="26"/>
        <v>106</v>
      </c>
      <c r="F340" s="5">
        <f t="shared" si="27"/>
        <v>11236</v>
      </c>
      <c r="G340" s="6">
        <f>SQRT(SUM($F$2:F340)/A340)</f>
        <v>1066.2034885780702</v>
      </c>
      <c r="H340" s="5">
        <f t="shared" si="28"/>
        <v>1</v>
      </c>
      <c r="I340" s="5">
        <f t="shared" si="29"/>
        <v>1</v>
      </c>
    </row>
    <row r="341" spans="1:9">
      <c r="A341">
        <f t="shared" si="30"/>
        <v>340</v>
      </c>
      <c r="B341">
        <v>7</v>
      </c>
      <c r="C341">
        <v>5000</v>
      </c>
      <c r="D341">
        <v>5098</v>
      </c>
      <c r="E341" s="5">
        <f t="shared" si="26"/>
        <v>98</v>
      </c>
      <c r="F341" s="5">
        <f t="shared" si="27"/>
        <v>9604</v>
      </c>
      <c r="G341" s="6">
        <f>SQRT(SUM($F$2:F341)/A341)</f>
        <v>1064.6476536726075</v>
      </c>
      <c r="H341" s="5">
        <f t="shared" si="28"/>
        <v>1</v>
      </c>
      <c r="I341" s="5">
        <f t="shared" si="29"/>
        <v>1</v>
      </c>
    </row>
    <row r="342" spans="1:9">
      <c r="A342">
        <f t="shared" si="30"/>
        <v>341</v>
      </c>
      <c r="B342">
        <v>6</v>
      </c>
      <c r="C342">
        <v>5000</v>
      </c>
      <c r="D342">
        <v>4487</v>
      </c>
      <c r="E342" s="5">
        <f t="shared" si="26"/>
        <v>513</v>
      </c>
      <c r="F342" s="5">
        <f t="shared" si="27"/>
        <v>263169</v>
      </c>
      <c r="G342" s="6">
        <f>SQRT(SUM($F$2:F342)/A342)</f>
        <v>1063.4483581994873</v>
      </c>
      <c r="H342" s="5">
        <f t="shared" si="28"/>
        <v>1</v>
      </c>
      <c r="I342" s="5">
        <f t="shared" si="29"/>
        <v>0</v>
      </c>
    </row>
    <row r="343" spans="1:9">
      <c r="A343">
        <f t="shared" si="30"/>
        <v>342</v>
      </c>
      <c r="B343">
        <v>7</v>
      </c>
      <c r="C343">
        <v>5000</v>
      </c>
      <c r="D343">
        <v>5312</v>
      </c>
      <c r="E343" s="5">
        <f t="shared" si="26"/>
        <v>312</v>
      </c>
      <c r="F343" s="5">
        <f t="shared" si="27"/>
        <v>97344</v>
      </c>
      <c r="G343" s="6">
        <f>SQRT(SUM($F$2:F343)/A343)</f>
        <v>1062.0264834089535</v>
      </c>
      <c r="H343" s="5">
        <f t="shared" si="28"/>
        <v>1</v>
      </c>
      <c r="I343" s="5">
        <f t="shared" si="29"/>
        <v>1</v>
      </c>
    </row>
    <row r="344" spans="1:9">
      <c r="A344">
        <f t="shared" si="30"/>
        <v>343</v>
      </c>
      <c r="B344">
        <v>6</v>
      </c>
      <c r="C344">
        <v>5000</v>
      </c>
      <c r="D344">
        <v>5236</v>
      </c>
      <c r="E344" s="5">
        <f t="shared" si="26"/>
        <v>236</v>
      </c>
      <c r="F344" s="5">
        <f t="shared" si="27"/>
        <v>55696</v>
      </c>
      <c r="G344" s="6">
        <f>SQRT(SUM($F$2:F344)/A344)</f>
        <v>1060.553766456557</v>
      </c>
      <c r="H344" s="5">
        <f t="shared" si="28"/>
        <v>1</v>
      </c>
      <c r="I344" s="5">
        <f t="shared" si="29"/>
        <v>1</v>
      </c>
    </row>
    <row r="345" spans="1:9">
      <c r="A345">
        <f t="shared" si="30"/>
        <v>344</v>
      </c>
      <c r="B345">
        <v>6</v>
      </c>
      <c r="C345">
        <v>5000</v>
      </c>
      <c r="D345">
        <v>3526</v>
      </c>
      <c r="E345" s="5">
        <f t="shared" si="26"/>
        <v>1474</v>
      </c>
      <c r="F345" s="5">
        <f t="shared" si="27"/>
        <v>2172676</v>
      </c>
      <c r="G345" s="6">
        <f>SQRT(SUM($F$2:F345)/A345)</f>
        <v>1061.9889441241187</v>
      </c>
      <c r="H345" s="5">
        <f t="shared" si="28"/>
        <v>0</v>
      </c>
      <c r="I345" s="5">
        <f t="shared" si="29"/>
        <v>0</v>
      </c>
    </row>
    <row r="346" spans="1:9">
      <c r="A346">
        <f t="shared" si="30"/>
        <v>345</v>
      </c>
      <c r="B346">
        <v>8</v>
      </c>
      <c r="C346">
        <v>5000</v>
      </c>
      <c r="D346">
        <v>2267</v>
      </c>
      <c r="E346" s="5">
        <f t="shared" si="26"/>
        <v>2733</v>
      </c>
      <c r="F346" s="5">
        <f t="shared" si="27"/>
        <v>7469289</v>
      </c>
      <c r="G346" s="6">
        <f>SQRT(SUM($F$2:F346)/A346)</f>
        <v>1070.6080447611284</v>
      </c>
      <c r="H346" s="5">
        <f t="shared" si="28"/>
        <v>0</v>
      </c>
      <c r="I346" s="5">
        <f t="shared" si="29"/>
        <v>0</v>
      </c>
    </row>
    <row r="347" spans="1:9">
      <c r="A347">
        <f t="shared" si="30"/>
        <v>346</v>
      </c>
      <c r="B347">
        <v>10</v>
      </c>
      <c r="C347">
        <v>5000</v>
      </c>
      <c r="D347">
        <v>3069</v>
      </c>
      <c r="E347" s="5">
        <f t="shared" si="26"/>
        <v>1931</v>
      </c>
      <c r="F347" s="5">
        <f t="shared" si="27"/>
        <v>3728761</v>
      </c>
      <c r="G347" s="6">
        <f>SQRT(SUM($F$2:F347)/A347)</f>
        <v>1074.0882785217439</v>
      </c>
      <c r="H347" s="5">
        <f t="shared" si="28"/>
        <v>0</v>
      </c>
      <c r="I347" s="5">
        <f t="shared" si="29"/>
        <v>0</v>
      </c>
    </row>
    <row r="348" spans="1:9">
      <c r="A348">
        <f t="shared" si="30"/>
        <v>347</v>
      </c>
      <c r="B348">
        <v>10</v>
      </c>
      <c r="C348">
        <v>5000</v>
      </c>
      <c r="D348">
        <v>5951</v>
      </c>
      <c r="E348" s="5">
        <f t="shared" si="26"/>
        <v>951</v>
      </c>
      <c r="F348" s="5">
        <f t="shared" si="27"/>
        <v>904401</v>
      </c>
      <c r="G348" s="6">
        <f>SQRT(SUM($F$2:F348)/A348)</f>
        <v>1073.7538303468064</v>
      </c>
      <c r="H348" s="5">
        <f t="shared" si="28"/>
        <v>1</v>
      </c>
      <c r="I348" s="5">
        <f t="shared" si="29"/>
        <v>0</v>
      </c>
    </row>
    <row r="349" spans="1:9">
      <c r="A349">
        <f t="shared" si="30"/>
        <v>348</v>
      </c>
      <c r="B349">
        <v>7</v>
      </c>
      <c r="C349">
        <v>5000</v>
      </c>
      <c r="D349">
        <v>4057</v>
      </c>
      <c r="E349" s="5">
        <f t="shared" si="26"/>
        <v>943</v>
      </c>
      <c r="F349" s="5">
        <f t="shared" si="27"/>
        <v>889249</v>
      </c>
      <c r="G349" s="6">
        <f>SQRT(SUM($F$2:F349)/A349)</f>
        <v>1073.4009197325847</v>
      </c>
      <c r="H349" s="5">
        <f t="shared" si="28"/>
        <v>1</v>
      </c>
      <c r="I349" s="5">
        <f t="shared" si="29"/>
        <v>0</v>
      </c>
    </row>
    <row r="350" spans="1:9">
      <c r="A350">
        <f t="shared" si="30"/>
        <v>349</v>
      </c>
      <c r="B350">
        <v>9</v>
      </c>
      <c r="C350">
        <v>5000</v>
      </c>
      <c r="D350">
        <v>5113</v>
      </c>
      <c r="E350" s="5">
        <f t="shared" si="26"/>
        <v>113</v>
      </c>
      <c r="F350" s="5">
        <f t="shared" si="27"/>
        <v>12769</v>
      </c>
      <c r="G350" s="6">
        <f>SQRT(SUM($F$2:F350)/A350)</f>
        <v>1071.879059967918</v>
      </c>
      <c r="H350" s="5">
        <f t="shared" si="28"/>
        <v>1</v>
      </c>
      <c r="I350" s="5">
        <f t="shared" si="29"/>
        <v>1</v>
      </c>
    </row>
    <row r="351" spans="1:9">
      <c r="A351">
        <f t="shared" si="30"/>
        <v>350</v>
      </c>
      <c r="B351">
        <v>8</v>
      </c>
      <c r="C351">
        <v>5000</v>
      </c>
      <c r="D351">
        <v>4434</v>
      </c>
      <c r="E351" s="5">
        <f t="shared" si="26"/>
        <v>566</v>
      </c>
      <c r="F351" s="5">
        <f t="shared" si="27"/>
        <v>320356</v>
      </c>
      <c r="G351" s="6">
        <f>SQRT(SUM($F$2:F351)/A351)</f>
        <v>1070.7741965512616</v>
      </c>
      <c r="H351" s="5">
        <f t="shared" si="28"/>
        <v>1</v>
      </c>
      <c r="I351" s="5">
        <f t="shared" si="29"/>
        <v>0</v>
      </c>
    </row>
    <row r="352" spans="1:9">
      <c r="A352">
        <f t="shared" si="30"/>
        <v>351</v>
      </c>
      <c r="B352">
        <v>9</v>
      </c>
      <c r="C352">
        <v>5000</v>
      </c>
      <c r="D352">
        <v>5147</v>
      </c>
      <c r="E352" s="5">
        <f t="shared" si="26"/>
        <v>147</v>
      </c>
      <c r="F352" s="5">
        <f t="shared" si="27"/>
        <v>21609</v>
      </c>
      <c r="G352" s="6">
        <f>SQRT(SUM($F$2:F352)/A352)</f>
        <v>1069.2765773458236</v>
      </c>
      <c r="H352" s="5">
        <f t="shared" si="28"/>
        <v>1</v>
      </c>
      <c r="I352" s="5">
        <f t="shared" si="29"/>
        <v>1</v>
      </c>
    </row>
    <row r="353" spans="1:9">
      <c r="A353">
        <f t="shared" si="30"/>
        <v>352</v>
      </c>
      <c r="B353">
        <v>8</v>
      </c>
      <c r="C353">
        <v>5000</v>
      </c>
      <c r="D353">
        <v>5067</v>
      </c>
      <c r="E353" s="5">
        <f t="shared" si="26"/>
        <v>67</v>
      </c>
      <c r="F353" s="5">
        <f t="shared" si="27"/>
        <v>4489</v>
      </c>
      <c r="G353" s="6">
        <f>SQRT(SUM($F$2:F353)/A353)</f>
        <v>1067.7626100764498</v>
      </c>
      <c r="H353" s="5">
        <f t="shared" si="28"/>
        <v>1</v>
      </c>
      <c r="I353" s="5">
        <f t="shared" si="29"/>
        <v>1</v>
      </c>
    </row>
    <row r="354" spans="1:9">
      <c r="A354">
        <f t="shared" si="30"/>
        <v>353</v>
      </c>
      <c r="B354">
        <v>8</v>
      </c>
      <c r="C354">
        <v>5000</v>
      </c>
      <c r="D354">
        <v>4874</v>
      </c>
      <c r="E354" s="5">
        <f t="shared" si="26"/>
        <v>126</v>
      </c>
      <c r="F354" s="5">
        <f t="shared" si="27"/>
        <v>15876</v>
      </c>
      <c r="G354" s="6">
        <f>SQRT(SUM($F$2:F354)/A354)</f>
        <v>1066.2702156604266</v>
      </c>
      <c r="H354" s="5">
        <f t="shared" si="28"/>
        <v>1</v>
      </c>
      <c r="I354" s="5">
        <f t="shared" si="29"/>
        <v>1</v>
      </c>
    </row>
    <row r="355" spans="1:9">
      <c r="A355">
        <f t="shared" si="30"/>
        <v>354</v>
      </c>
      <c r="B355">
        <v>8</v>
      </c>
      <c r="C355">
        <v>5000</v>
      </c>
      <c r="D355">
        <v>5701</v>
      </c>
      <c r="E355" s="5">
        <f t="shared" si="26"/>
        <v>701</v>
      </c>
      <c r="F355" s="5">
        <f t="shared" si="27"/>
        <v>491401</v>
      </c>
      <c r="G355" s="6">
        <f>SQRT(SUM($F$2:F355)/A355)</f>
        <v>1065.4147729490517</v>
      </c>
      <c r="H355" s="5">
        <f t="shared" si="28"/>
        <v>1</v>
      </c>
      <c r="I355" s="5">
        <f t="shared" si="29"/>
        <v>0</v>
      </c>
    </row>
    <row r="356" spans="1:9">
      <c r="A356">
        <f t="shared" si="30"/>
        <v>355</v>
      </c>
      <c r="B356">
        <v>7</v>
      </c>
      <c r="C356">
        <v>5000</v>
      </c>
      <c r="D356">
        <v>5237</v>
      </c>
      <c r="E356" s="5">
        <f t="shared" si="26"/>
        <v>237</v>
      </c>
      <c r="F356" s="5">
        <f t="shared" si="27"/>
        <v>56169</v>
      </c>
      <c r="G356" s="6">
        <f>SQRT(SUM($F$2:F356)/A356)</f>
        <v>1063.9874866890991</v>
      </c>
      <c r="H356" s="5">
        <f t="shared" si="28"/>
        <v>1</v>
      </c>
      <c r="I356" s="5">
        <f t="shared" si="29"/>
        <v>1</v>
      </c>
    </row>
    <row r="357" spans="1:9">
      <c r="A357">
        <f t="shared" si="30"/>
        <v>356</v>
      </c>
      <c r="B357">
        <v>8</v>
      </c>
      <c r="C357">
        <v>5000</v>
      </c>
      <c r="D357">
        <v>5852</v>
      </c>
      <c r="E357" s="5">
        <f t="shared" si="26"/>
        <v>852</v>
      </c>
      <c r="F357" s="5">
        <f t="shared" si="27"/>
        <v>725904</v>
      </c>
      <c r="G357" s="6">
        <f>SQRT(SUM($F$2:F357)/A357)</f>
        <v>1063.4512014498684</v>
      </c>
      <c r="H357" s="5">
        <f t="shared" si="28"/>
        <v>1</v>
      </c>
      <c r="I357" s="5">
        <f t="shared" si="29"/>
        <v>0</v>
      </c>
    </row>
    <row r="358" spans="1:9">
      <c r="A358">
        <f t="shared" si="30"/>
        <v>357</v>
      </c>
      <c r="B358">
        <v>7</v>
      </c>
      <c r="C358">
        <v>5000</v>
      </c>
      <c r="D358">
        <v>5668</v>
      </c>
      <c r="E358" s="5">
        <f t="shared" si="26"/>
        <v>668</v>
      </c>
      <c r="F358" s="5">
        <f t="shared" si="27"/>
        <v>446224</v>
      </c>
      <c r="G358" s="6">
        <f>SQRT(SUM($F$2:F358)/A358)</f>
        <v>1062.5490662587224</v>
      </c>
      <c r="H358" s="5">
        <f t="shared" si="28"/>
        <v>1</v>
      </c>
      <c r="I358" s="5">
        <f t="shared" si="29"/>
        <v>0</v>
      </c>
    </row>
    <row r="359" spans="1:9">
      <c r="A359">
        <f t="shared" si="30"/>
        <v>358</v>
      </c>
      <c r="B359">
        <v>7</v>
      </c>
      <c r="C359">
        <v>5000</v>
      </c>
      <c r="D359">
        <v>4992</v>
      </c>
      <c r="E359" s="5">
        <f t="shared" si="26"/>
        <v>8</v>
      </c>
      <c r="F359" s="5">
        <f t="shared" si="27"/>
        <v>64</v>
      </c>
      <c r="G359" s="6">
        <f>SQRT(SUM($F$2:F359)/A359)</f>
        <v>1061.0641056566042</v>
      </c>
      <c r="H359" s="5">
        <f t="shared" si="28"/>
        <v>1</v>
      </c>
      <c r="I359" s="5">
        <f t="shared" si="29"/>
        <v>1</v>
      </c>
    </row>
    <row r="360" spans="1:9">
      <c r="A360">
        <f t="shared" si="30"/>
        <v>359</v>
      </c>
      <c r="B360">
        <v>8</v>
      </c>
      <c r="C360">
        <v>5000</v>
      </c>
      <c r="D360">
        <v>5850</v>
      </c>
      <c r="E360" s="5">
        <f t="shared" si="26"/>
        <v>850</v>
      </c>
      <c r="F360" s="5">
        <f t="shared" si="27"/>
        <v>722500</v>
      </c>
      <c r="G360" s="6">
        <f>SQRT(SUM($F$2:F360)/A360)</f>
        <v>1060.534525184652</v>
      </c>
      <c r="H360" s="5">
        <f t="shared" si="28"/>
        <v>1</v>
      </c>
      <c r="I360" s="5">
        <f t="shared" si="29"/>
        <v>0</v>
      </c>
    </row>
    <row r="361" spans="1:9">
      <c r="A361">
        <f t="shared" si="30"/>
        <v>360</v>
      </c>
      <c r="B361">
        <v>6</v>
      </c>
      <c r="C361">
        <v>5000</v>
      </c>
      <c r="D361">
        <v>4936</v>
      </c>
      <c r="E361" s="5">
        <f t="shared" si="26"/>
        <v>64</v>
      </c>
      <c r="F361" s="5">
        <f t="shared" si="27"/>
        <v>4096</v>
      </c>
      <c r="G361" s="6">
        <f>SQRT(SUM($F$2:F361)/A361)</f>
        <v>1059.0659078745866</v>
      </c>
      <c r="H361" s="5">
        <f t="shared" si="28"/>
        <v>1</v>
      </c>
      <c r="I361" s="5">
        <f t="shared" si="29"/>
        <v>1</v>
      </c>
    </row>
    <row r="362" spans="1:9">
      <c r="A362">
        <f t="shared" si="30"/>
        <v>361</v>
      </c>
      <c r="B362">
        <v>7</v>
      </c>
      <c r="C362">
        <v>5000</v>
      </c>
      <c r="D362">
        <v>5040</v>
      </c>
      <c r="E362" s="5">
        <f t="shared" si="26"/>
        <v>40</v>
      </c>
      <c r="F362" s="5">
        <f t="shared" si="27"/>
        <v>1600</v>
      </c>
      <c r="G362" s="6">
        <f>SQRT(SUM($F$2:F362)/A362)</f>
        <v>1057.6001357277773</v>
      </c>
      <c r="H362" s="5">
        <f t="shared" si="28"/>
        <v>1</v>
      </c>
      <c r="I362" s="5">
        <f t="shared" si="29"/>
        <v>1</v>
      </c>
    </row>
    <row r="363" spans="1:9">
      <c r="A363">
        <f t="shared" si="30"/>
        <v>362</v>
      </c>
      <c r="B363">
        <v>7</v>
      </c>
      <c r="C363">
        <v>5000</v>
      </c>
      <c r="D363">
        <v>5352</v>
      </c>
      <c r="E363" s="5">
        <f t="shared" si="26"/>
        <v>352</v>
      </c>
      <c r="F363" s="5">
        <f t="shared" si="27"/>
        <v>123904</v>
      </c>
      <c r="G363" s="6">
        <f>SQRT(SUM($F$2:F363)/A363)</f>
        <v>1056.3003807985388</v>
      </c>
      <c r="H363" s="5">
        <f t="shared" si="28"/>
        <v>1</v>
      </c>
      <c r="I363" s="5">
        <f t="shared" si="29"/>
        <v>1</v>
      </c>
    </row>
    <row r="364" spans="1:9">
      <c r="A364">
        <f t="shared" si="30"/>
        <v>363</v>
      </c>
      <c r="B364">
        <v>7</v>
      </c>
      <c r="C364">
        <v>5000</v>
      </c>
      <c r="D364">
        <v>5710</v>
      </c>
      <c r="E364" s="5">
        <f t="shared" si="26"/>
        <v>710</v>
      </c>
      <c r="F364" s="5">
        <f t="shared" si="27"/>
        <v>504100</v>
      </c>
      <c r="G364" s="6">
        <f>SQRT(SUM($F$2:F364)/A364)</f>
        <v>1055.5024641329046</v>
      </c>
      <c r="H364" s="5">
        <f t="shared" si="28"/>
        <v>1</v>
      </c>
      <c r="I364" s="5">
        <f t="shared" si="29"/>
        <v>0</v>
      </c>
    </row>
    <row r="365" spans="1:9">
      <c r="A365">
        <f t="shared" si="30"/>
        <v>364</v>
      </c>
      <c r="B365">
        <v>6</v>
      </c>
      <c r="C365">
        <v>5000</v>
      </c>
      <c r="D365">
        <v>4503</v>
      </c>
      <c r="E365" s="5">
        <f t="shared" si="26"/>
        <v>497</v>
      </c>
      <c r="F365" s="5">
        <f t="shared" si="27"/>
        <v>247009</v>
      </c>
      <c r="G365" s="6">
        <f>SQRT(SUM($F$2:F365)/A365)</f>
        <v>1054.3734507404736</v>
      </c>
      <c r="H365" s="5">
        <f t="shared" si="28"/>
        <v>1</v>
      </c>
      <c r="I365" s="5">
        <f t="shared" si="29"/>
        <v>1</v>
      </c>
    </row>
    <row r="366" spans="1:9">
      <c r="A366">
        <f t="shared" si="30"/>
        <v>365</v>
      </c>
      <c r="B366">
        <v>8</v>
      </c>
      <c r="C366">
        <v>5000</v>
      </c>
      <c r="D366">
        <v>5536</v>
      </c>
      <c r="E366" s="5">
        <f t="shared" si="26"/>
        <v>536</v>
      </c>
      <c r="F366" s="5">
        <f t="shared" si="27"/>
        <v>287296</v>
      </c>
      <c r="G366" s="6">
        <f>SQRT(SUM($F$2:F366)/A366)</f>
        <v>1053.3018196545904</v>
      </c>
      <c r="H366" s="5">
        <f t="shared" si="28"/>
        <v>1</v>
      </c>
      <c r="I366" s="5">
        <f t="shared" si="29"/>
        <v>0</v>
      </c>
    </row>
    <row r="367" spans="1:9">
      <c r="A367">
        <f t="shared" si="30"/>
        <v>366</v>
      </c>
      <c r="B367">
        <v>6</v>
      </c>
      <c r="C367">
        <v>5000</v>
      </c>
      <c r="D367">
        <v>4756</v>
      </c>
      <c r="E367" s="5">
        <f t="shared" si="26"/>
        <v>244</v>
      </c>
      <c r="F367" s="5">
        <f t="shared" si="27"/>
        <v>59536</v>
      </c>
      <c r="G367" s="6">
        <f>SQRT(SUM($F$2:F367)/A367)</f>
        <v>1051.9392188803397</v>
      </c>
      <c r="H367" s="5">
        <f t="shared" si="28"/>
        <v>1</v>
      </c>
      <c r="I367" s="5">
        <f t="shared" si="29"/>
        <v>1</v>
      </c>
    </row>
    <row r="368" spans="1:9">
      <c r="A368">
        <f t="shared" si="30"/>
        <v>367</v>
      </c>
      <c r="B368">
        <v>7</v>
      </c>
      <c r="C368">
        <v>5000</v>
      </c>
      <c r="D368">
        <v>5293</v>
      </c>
      <c r="E368" s="5">
        <f t="shared" si="26"/>
        <v>293</v>
      </c>
      <c r="F368" s="5">
        <f t="shared" si="27"/>
        <v>85849</v>
      </c>
      <c r="G368" s="6">
        <f>SQRT(SUM($F$2:F368)/A368)</f>
        <v>1050.6164130697009</v>
      </c>
      <c r="H368" s="5">
        <f t="shared" si="28"/>
        <v>1</v>
      </c>
      <c r="I368" s="5">
        <f t="shared" si="29"/>
        <v>1</v>
      </c>
    </row>
    <row r="369" spans="1:9">
      <c r="A369">
        <f t="shared" si="30"/>
        <v>368</v>
      </c>
      <c r="B369">
        <v>7</v>
      </c>
      <c r="C369">
        <v>5000</v>
      </c>
      <c r="D369">
        <v>4913</v>
      </c>
      <c r="E369" s="5">
        <f t="shared" si="26"/>
        <v>87</v>
      </c>
      <c r="F369" s="5">
        <f t="shared" si="27"/>
        <v>7569</v>
      </c>
      <c r="G369" s="6">
        <f>SQRT(SUM($F$2:F369)/A369)</f>
        <v>1049.1977758392775</v>
      </c>
      <c r="H369" s="5">
        <f t="shared" si="28"/>
        <v>1</v>
      </c>
      <c r="I369" s="5">
        <f t="shared" si="29"/>
        <v>1</v>
      </c>
    </row>
    <row r="370" spans="1:9">
      <c r="A370">
        <f t="shared" si="30"/>
        <v>369</v>
      </c>
      <c r="B370">
        <v>7</v>
      </c>
      <c r="C370">
        <v>5000</v>
      </c>
      <c r="D370">
        <v>5573</v>
      </c>
      <c r="E370" s="5">
        <f t="shared" si="26"/>
        <v>573</v>
      </c>
      <c r="F370" s="5">
        <f t="shared" si="27"/>
        <v>328329</v>
      </c>
      <c r="G370" s="6">
        <f>SQRT(SUM($F$2:F370)/A370)</f>
        <v>1048.1996528310444</v>
      </c>
      <c r="H370" s="5">
        <f t="shared" si="28"/>
        <v>1</v>
      </c>
      <c r="I370" s="5">
        <f t="shared" si="29"/>
        <v>0</v>
      </c>
    </row>
    <row r="371" spans="1:9">
      <c r="A371">
        <f t="shared" si="30"/>
        <v>370</v>
      </c>
      <c r="B371">
        <v>6</v>
      </c>
      <c r="C371">
        <v>5000</v>
      </c>
      <c r="D371">
        <v>5076</v>
      </c>
      <c r="E371" s="5">
        <f t="shared" si="26"/>
        <v>76</v>
      </c>
      <c r="F371" s="5">
        <f t="shared" si="27"/>
        <v>5776</v>
      </c>
      <c r="G371" s="6">
        <f>SQRT(SUM($F$2:F371)/A371)</f>
        <v>1046.7896649770205</v>
      </c>
      <c r="H371" s="5">
        <f t="shared" si="28"/>
        <v>1</v>
      </c>
      <c r="I371" s="5">
        <f t="shared" si="29"/>
        <v>1</v>
      </c>
    </row>
    <row r="372" spans="1:9">
      <c r="A372">
        <f t="shared" si="30"/>
        <v>371</v>
      </c>
      <c r="B372">
        <v>7</v>
      </c>
      <c r="C372">
        <v>5000</v>
      </c>
      <c r="D372">
        <v>5293</v>
      </c>
      <c r="E372" s="5">
        <f t="shared" si="26"/>
        <v>293</v>
      </c>
      <c r="F372" s="5">
        <f t="shared" si="27"/>
        <v>85849</v>
      </c>
      <c r="G372" s="6">
        <f>SQRT(SUM($F$2:F372)/A372)</f>
        <v>1045.4886165996038</v>
      </c>
      <c r="H372" s="5">
        <f t="shared" si="28"/>
        <v>1</v>
      </c>
      <c r="I372" s="5">
        <f t="shared" si="29"/>
        <v>1</v>
      </c>
    </row>
    <row r="373" spans="1:9">
      <c r="A373">
        <f t="shared" si="30"/>
        <v>372</v>
      </c>
      <c r="B373">
        <v>6</v>
      </c>
      <c r="C373">
        <v>5000</v>
      </c>
      <c r="D373">
        <v>5164</v>
      </c>
      <c r="E373" s="5">
        <f t="shared" si="26"/>
        <v>164</v>
      </c>
      <c r="F373" s="5">
        <f t="shared" si="27"/>
        <v>26896</v>
      </c>
      <c r="G373" s="6">
        <f>SQRT(SUM($F$2:F373)/A373)</f>
        <v>1044.1170679635993</v>
      </c>
      <c r="H373" s="5">
        <f t="shared" si="28"/>
        <v>1</v>
      </c>
      <c r="I373" s="5">
        <f t="shared" si="29"/>
        <v>1</v>
      </c>
    </row>
    <row r="374" spans="1:9">
      <c r="A374">
        <f t="shared" si="30"/>
        <v>373</v>
      </c>
      <c r="B374">
        <v>7</v>
      </c>
      <c r="C374">
        <v>5000</v>
      </c>
      <c r="D374">
        <v>5209</v>
      </c>
      <c r="E374" s="5">
        <f t="shared" si="26"/>
        <v>209</v>
      </c>
      <c r="F374" s="5">
        <f t="shared" si="27"/>
        <v>43681</v>
      </c>
      <c r="G374" s="6">
        <f>SQRT(SUM($F$2:F374)/A374)</f>
        <v>1042.7726612528256</v>
      </c>
      <c r="H374" s="5">
        <f t="shared" si="28"/>
        <v>1</v>
      </c>
      <c r="I374" s="5">
        <f t="shared" si="29"/>
        <v>1</v>
      </c>
    </row>
    <row r="375" spans="1:9">
      <c r="A375">
        <f t="shared" si="30"/>
        <v>374</v>
      </c>
      <c r="B375">
        <v>6</v>
      </c>
      <c r="C375">
        <v>5000</v>
      </c>
      <c r="D375">
        <v>4765</v>
      </c>
      <c r="E375" s="5">
        <f t="shared" si="26"/>
        <v>235</v>
      </c>
      <c r="F375" s="5">
        <f t="shared" si="27"/>
        <v>55225</v>
      </c>
      <c r="G375" s="6">
        <f>SQRT(SUM($F$2:F375)/A375)</f>
        <v>1041.4485412977076</v>
      </c>
      <c r="H375" s="5">
        <f t="shared" si="28"/>
        <v>1</v>
      </c>
      <c r="I375" s="5">
        <f t="shared" si="29"/>
        <v>1</v>
      </c>
    </row>
    <row r="376" spans="1:9">
      <c r="A376">
        <f t="shared" si="30"/>
        <v>375</v>
      </c>
      <c r="B376">
        <v>7</v>
      </c>
      <c r="C376">
        <v>5000</v>
      </c>
      <c r="D376">
        <v>5640</v>
      </c>
      <c r="E376" s="5">
        <f t="shared" si="26"/>
        <v>640</v>
      </c>
      <c r="F376" s="5">
        <f t="shared" si="27"/>
        <v>409600</v>
      </c>
      <c r="G376" s="6">
        <f>SQRT(SUM($F$2:F376)/A376)</f>
        <v>1040.5839821946136</v>
      </c>
      <c r="H376" s="5">
        <f t="shared" si="28"/>
        <v>1</v>
      </c>
      <c r="I376" s="5">
        <f t="shared" si="29"/>
        <v>0</v>
      </c>
    </row>
    <row r="377" spans="1:9">
      <c r="A377">
        <f t="shared" si="30"/>
        <v>376</v>
      </c>
      <c r="B377">
        <v>6</v>
      </c>
      <c r="C377">
        <v>5000</v>
      </c>
      <c r="D377">
        <v>5399</v>
      </c>
      <c r="E377" s="5">
        <f t="shared" si="26"/>
        <v>399</v>
      </c>
      <c r="F377" s="5">
        <f t="shared" si="27"/>
        <v>159201</v>
      </c>
      <c r="G377" s="6">
        <f>SQRT(SUM($F$2:F377)/A377)</f>
        <v>1039.4030035185604</v>
      </c>
      <c r="H377" s="5">
        <f t="shared" si="28"/>
        <v>1</v>
      </c>
      <c r="I377" s="5">
        <f t="shared" si="29"/>
        <v>1</v>
      </c>
    </row>
    <row r="378" spans="1:9">
      <c r="A378">
        <f t="shared" si="30"/>
        <v>377</v>
      </c>
      <c r="B378">
        <v>6</v>
      </c>
      <c r="C378">
        <v>5000</v>
      </c>
      <c r="D378">
        <v>4851</v>
      </c>
      <c r="E378" s="5">
        <f t="shared" si="26"/>
        <v>149</v>
      </c>
      <c r="F378" s="5">
        <f t="shared" si="27"/>
        <v>22201</v>
      </c>
      <c r="G378" s="6">
        <f>SQRT(SUM($F$2:F378)/A378)</f>
        <v>1038.0519349380586</v>
      </c>
      <c r="H378" s="5">
        <f t="shared" si="28"/>
        <v>1</v>
      </c>
      <c r="I378" s="5">
        <f t="shared" si="29"/>
        <v>1</v>
      </c>
    </row>
    <row r="379" spans="1:9">
      <c r="A379">
        <f t="shared" si="30"/>
        <v>378</v>
      </c>
      <c r="B379">
        <v>7</v>
      </c>
      <c r="C379">
        <v>5000</v>
      </c>
      <c r="D379">
        <v>4675</v>
      </c>
      <c r="E379" s="5">
        <f t="shared" si="26"/>
        <v>325</v>
      </c>
      <c r="F379" s="5">
        <f t="shared" si="27"/>
        <v>105625</v>
      </c>
      <c r="G379" s="6">
        <f>SQRT(SUM($F$2:F379)/A379)</f>
        <v>1036.8127047138671</v>
      </c>
      <c r="H379" s="5">
        <f t="shared" si="28"/>
        <v>1</v>
      </c>
      <c r="I379" s="5">
        <f t="shared" si="29"/>
        <v>1</v>
      </c>
    </row>
    <row r="380" spans="1:9">
      <c r="A380">
        <f t="shared" si="30"/>
        <v>379</v>
      </c>
      <c r="B380">
        <v>7</v>
      </c>
      <c r="C380">
        <v>5000</v>
      </c>
      <c r="D380">
        <v>5151</v>
      </c>
      <c r="E380" s="5">
        <f t="shared" si="26"/>
        <v>151</v>
      </c>
      <c r="F380" s="5">
        <f t="shared" si="27"/>
        <v>22801</v>
      </c>
      <c r="G380" s="6">
        <f>SQRT(SUM($F$2:F380)/A380)</f>
        <v>1035.4730248655801</v>
      </c>
      <c r="H380" s="5">
        <f t="shared" si="28"/>
        <v>1</v>
      </c>
      <c r="I380" s="5">
        <f t="shared" si="29"/>
        <v>1</v>
      </c>
    </row>
    <row r="381" spans="1:9">
      <c r="A381">
        <f t="shared" si="30"/>
        <v>380</v>
      </c>
      <c r="B381">
        <v>6</v>
      </c>
      <c r="C381">
        <v>5000</v>
      </c>
      <c r="D381">
        <v>5019</v>
      </c>
      <c r="E381" s="5">
        <f t="shared" si="26"/>
        <v>19</v>
      </c>
      <c r="F381" s="5">
        <f t="shared" si="27"/>
        <v>361</v>
      </c>
      <c r="G381" s="6">
        <f>SQRT(SUM($F$2:F381)/A381)</f>
        <v>1034.1101221518152</v>
      </c>
      <c r="H381" s="5">
        <f t="shared" si="28"/>
        <v>1</v>
      </c>
      <c r="I381" s="5">
        <f t="shared" si="29"/>
        <v>1</v>
      </c>
    </row>
    <row r="382" spans="1:9">
      <c r="A382">
        <f t="shared" si="30"/>
        <v>381</v>
      </c>
      <c r="B382">
        <v>7</v>
      </c>
      <c r="C382">
        <v>5000</v>
      </c>
      <c r="D382">
        <v>5097</v>
      </c>
      <c r="E382" s="5">
        <f t="shared" si="26"/>
        <v>97</v>
      </c>
      <c r="F382" s="5">
        <f t="shared" si="27"/>
        <v>9409</v>
      </c>
      <c r="G382" s="6">
        <f>SQRT(SUM($F$2:F382)/A382)</f>
        <v>1032.7640867074392</v>
      </c>
      <c r="H382" s="5">
        <f t="shared" si="28"/>
        <v>1</v>
      </c>
      <c r="I382" s="5">
        <f t="shared" si="29"/>
        <v>1</v>
      </c>
    </row>
    <row r="383" spans="1:9">
      <c r="A383">
        <f t="shared" si="30"/>
        <v>382</v>
      </c>
      <c r="B383">
        <v>6</v>
      </c>
      <c r="C383">
        <v>5000</v>
      </c>
      <c r="D383">
        <v>4666</v>
      </c>
      <c r="E383" s="5">
        <f t="shared" si="26"/>
        <v>334</v>
      </c>
      <c r="F383" s="5">
        <f t="shared" si="27"/>
        <v>111556</v>
      </c>
      <c r="G383" s="6">
        <f>SQRT(SUM($F$2:F383)/A383)</f>
        <v>1031.5529745325809</v>
      </c>
      <c r="H383" s="5">
        <f t="shared" si="28"/>
        <v>1</v>
      </c>
      <c r="I383" s="5">
        <f t="shared" si="29"/>
        <v>1</v>
      </c>
    </row>
    <row r="384" spans="1:9">
      <c r="A384">
        <f t="shared" si="30"/>
        <v>383</v>
      </c>
      <c r="B384">
        <v>7</v>
      </c>
      <c r="C384">
        <v>5000</v>
      </c>
      <c r="D384">
        <v>5310</v>
      </c>
      <c r="E384" s="5">
        <f t="shared" si="26"/>
        <v>310</v>
      </c>
      <c r="F384" s="5">
        <f t="shared" si="27"/>
        <v>96100</v>
      </c>
      <c r="G384" s="6">
        <f>SQRT(SUM($F$2:F384)/A384)</f>
        <v>1030.3271908012709</v>
      </c>
      <c r="H384" s="5">
        <f t="shared" si="28"/>
        <v>1</v>
      </c>
      <c r="I384" s="5">
        <f t="shared" si="29"/>
        <v>1</v>
      </c>
    </row>
    <row r="385" spans="1:9">
      <c r="A385">
        <f t="shared" si="30"/>
        <v>384</v>
      </c>
      <c r="B385">
        <v>6</v>
      </c>
      <c r="C385">
        <v>5000</v>
      </c>
      <c r="D385">
        <v>5143</v>
      </c>
      <c r="E385" s="5">
        <f t="shared" si="26"/>
        <v>143</v>
      </c>
      <c r="F385" s="5">
        <f t="shared" si="27"/>
        <v>20449</v>
      </c>
      <c r="G385" s="6">
        <f>SQRT(SUM($F$2:F385)/A385)</f>
        <v>1029.0106203391845</v>
      </c>
      <c r="H385" s="5">
        <f t="shared" si="28"/>
        <v>1</v>
      </c>
      <c r="I385" s="5">
        <f t="shared" si="29"/>
        <v>1</v>
      </c>
    </row>
    <row r="386" spans="1:9">
      <c r="A386">
        <f t="shared" si="30"/>
        <v>385</v>
      </c>
      <c r="B386">
        <v>6</v>
      </c>
      <c r="C386">
        <v>5000</v>
      </c>
      <c r="D386">
        <v>4486</v>
      </c>
      <c r="E386" s="5">
        <f t="shared" si="26"/>
        <v>514</v>
      </c>
      <c r="F386" s="5">
        <f t="shared" si="27"/>
        <v>264196</v>
      </c>
      <c r="G386" s="6">
        <f>SQRT(SUM($F$2:F386)/A386)</f>
        <v>1028.0071921017804</v>
      </c>
      <c r="H386" s="5">
        <f t="shared" si="28"/>
        <v>1</v>
      </c>
      <c r="I386" s="5">
        <f t="shared" si="29"/>
        <v>0</v>
      </c>
    </row>
    <row r="387" spans="1:9">
      <c r="A387">
        <f t="shared" si="30"/>
        <v>386</v>
      </c>
      <c r="B387">
        <v>7</v>
      </c>
      <c r="C387">
        <v>5000</v>
      </c>
      <c r="D387">
        <v>5894</v>
      </c>
      <c r="E387" s="5">
        <f t="shared" ref="E387:E450" si="31">ABS(C387-D387)</f>
        <v>894</v>
      </c>
      <c r="F387" s="5">
        <f t="shared" ref="F387:F450" si="32">POWER(E387,2)</f>
        <v>799236</v>
      </c>
      <c r="G387" s="6">
        <f>SQRT(SUM($F$2:F387)/A387)</f>
        <v>1027.6825997878605</v>
      </c>
      <c r="H387" s="5">
        <f t="shared" ref="H387:H450" si="33">IF(ABS(E387)/C387&gt;0.2,0,1)</f>
        <v>1</v>
      </c>
      <c r="I387" s="5">
        <f t="shared" ref="I387:I450" si="34">IF(ABS(E387)/C387&gt;0.1,0,1)</f>
        <v>0</v>
      </c>
    </row>
    <row r="388" spans="1:9">
      <c r="A388">
        <f t="shared" ref="A388:A451" si="35">A387+1</f>
        <v>387</v>
      </c>
      <c r="B388">
        <v>5</v>
      </c>
      <c r="C388">
        <v>5000</v>
      </c>
      <c r="D388">
        <v>4382</v>
      </c>
      <c r="E388" s="5">
        <f t="shared" si="31"/>
        <v>618</v>
      </c>
      <c r="F388" s="5">
        <f t="shared" si="32"/>
        <v>381924</v>
      </c>
      <c r="G388" s="6">
        <f>SQRT(SUM($F$2:F388)/A388)</f>
        <v>1026.8346447198298</v>
      </c>
      <c r="H388" s="5">
        <f t="shared" si="33"/>
        <v>1</v>
      </c>
      <c r="I388" s="5">
        <f t="shared" si="34"/>
        <v>0</v>
      </c>
    </row>
    <row r="389" spans="1:9">
      <c r="A389">
        <f t="shared" si="35"/>
        <v>388</v>
      </c>
      <c r="B389">
        <v>7</v>
      </c>
      <c r="C389">
        <v>5000</v>
      </c>
      <c r="D389">
        <v>5464</v>
      </c>
      <c r="E389" s="5">
        <f t="shared" si="31"/>
        <v>464</v>
      </c>
      <c r="F389" s="5">
        <f t="shared" si="32"/>
        <v>215296</v>
      </c>
      <c r="G389" s="6">
        <f>SQRT(SUM($F$2:F389)/A389)</f>
        <v>1025.7810564507397</v>
      </c>
      <c r="H389" s="5">
        <f t="shared" si="33"/>
        <v>1</v>
      </c>
      <c r="I389" s="5">
        <f t="shared" si="34"/>
        <v>1</v>
      </c>
    </row>
    <row r="390" spans="1:9">
      <c r="A390">
        <f t="shared" si="35"/>
        <v>389</v>
      </c>
      <c r="B390">
        <v>6</v>
      </c>
      <c r="C390">
        <v>5000</v>
      </c>
      <c r="D390">
        <v>4678</v>
      </c>
      <c r="E390" s="5">
        <f t="shared" si="31"/>
        <v>322</v>
      </c>
      <c r="F390" s="5">
        <f t="shared" si="32"/>
        <v>103684</v>
      </c>
      <c r="G390" s="6">
        <f>SQRT(SUM($F$2:F390)/A390)</f>
        <v>1024.591802850221</v>
      </c>
      <c r="H390" s="5">
        <f t="shared" si="33"/>
        <v>1</v>
      </c>
      <c r="I390" s="5">
        <f t="shared" si="34"/>
        <v>1</v>
      </c>
    </row>
    <row r="391" spans="1:9">
      <c r="A391">
        <f t="shared" si="35"/>
        <v>390</v>
      </c>
      <c r="B391">
        <v>7</v>
      </c>
      <c r="C391">
        <v>5000</v>
      </c>
      <c r="D391">
        <v>5788</v>
      </c>
      <c r="E391" s="5">
        <f t="shared" si="31"/>
        <v>788</v>
      </c>
      <c r="F391" s="5">
        <f t="shared" si="32"/>
        <v>620944</v>
      </c>
      <c r="G391" s="6">
        <f>SQRT(SUM($F$2:F391)/A391)</f>
        <v>1024.0550578647915</v>
      </c>
      <c r="H391" s="5">
        <f t="shared" si="33"/>
        <v>1</v>
      </c>
      <c r="I391" s="5">
        <f t="shared" si="34"/>
        <v>0</v>
      </c>
    </row>
    <row r="392" spans="1:9">
      <c r="A392">
        <f t="shared" si="35"/>
        <v>391</v>
      </c>
      <c r="B392">
        <v>5</v>
      </c>
      <c r="C392">
        <v>5000</v>
      </c>
      <c r="D392">
        <v>3864</v>
      </c>
      <c r="E392" s="5">
        <f t="shared" si="31"/>
        <v>1136</v>
      </c>
      <c r="F392" s="5">
        <f t="shared" si="32"/>
        <v>1290496</v>
      </c>
      <c r="G392" s="6">
        <f>SQRT(SUM($F$2:F392)/A392)</f>
        <v>1024.3569662834345</v>
      </c>
      <c r="H392" s="5">
        <f t="shared" si="33"/>
        <v>0</v>
      </c>
      <c r="I392" s="5">
        <f t="shared" si="34"/>
        <v>0</v>
      </c>
    </row>
    <row r="393" spans="1:9">
      <c r="A393">
        <f t="shared" si="35"/>
        <v>392</v>
      </c>
      <c r="B393">
        <v>8</v>
      </c>
      <c r="C393">
        <v>5000</v>
      </c>
      <c r="D393">
        <v>6057</v>
      </c>
      <c r="E393" s="5">
        <f t="shared" si="31"/>
        <v>1057</v>
      </c>
      <c r="F393" s="5">
        <f t="shared" si="32"/>
        <v>1117249</v>
      </c>
      <c r="G393" s="6">
        <f>SQRT(SUM($F$2:F393)/A393)</f>
        <v>1024.4415626604195</v>
      </c>
      <c r="H393" s="5">
        <f t="shared" si="33"/>
        <v>0</v>
      </c>
      <c r="I393" s="5">
        <f t="shared" si="34"/>
        <v>0</v>
      </c>
    </row>
    <row r="394" spans="1:9">
      <c r="A394">
        <f t="shared" si="35"/>
        <v>393</v>
      </c>
      <c r="B394">
        <v>5</v>
      </c>
      <c r="C394">
        <v>5000</v>
      </c>
      <c r="D394">
        <v>3841</v>
      </c>
      <c r="E394" s="5">
        <f t="shared" si="31"/>
        <v>1159</v>
      </c>
      <c r="F394" s="5">
        <f t="shared" si="32"/>
        <v>1343281</v>
      </c>
      <c r="G394" s="6">
        <f>SQRT(SUM($F$2:F394)/A394)</f>
        <v>1024.8063715827695</v>
      </c>
      <c r="H394" s="5">
        <f t="shared" si="33"/>
        <v>0</v>
      </c>
      <c r="I394" s="5">
        <f t="shared" si="34"/>
        <v>0</v>
      </c>
    </row>
    <row r="395" spans="1:9">
      <c r="A395">
        <f t="shared" si="35"/>
        <v>394</v>
      </c>
      <c r="B395">
        <v>8</v>
      </c>
      <c r="C395">
        <v>5000</v>
      </c>
      <c r="D395">
        <v>6039</v>
      </c>
      <c r="E395" s="5">
        <f t="shared" si="31"/>
        <v>1039</v>
      </c>
      <c r="F395" s="5">
        <f t="shared" si="32"/>
        <v>1079521</v>
      </c>
      <c r="G395" s="6">
        <f>SQRT(SUM($F$2:F395)/A395)</f>
        <v>1024.8426448487141</v>
      </c>
      <c r="H395" s="5">
        <f t="shared" si="33"/>
        <v>0</v>
      </c>
      <c r="I395" s="5">
        <f t="shared" si="34"/>
        <v>0</v>
      </c>
    </row>
    <row r="396" spans="1:9">
      <c r="A396">
        <f t="shared" si="35"/>
        <v>395</v>
      </c>
      <c r="B396">
        <v>5</v>
      </c>
      <c r="C396">
        <v>5000</v>
      </c>
      <c r="D396">
        <v>4549</v>
      </c>
      <c r="E396" s="5">
        <f t="shared" si="31"/>
        <v>451</v>
      </c>
      <c r="F396" s="5">
        <f t="shared" si="32"/>
        <v>203401</v>
      </c>
      <c r="G396" s="6">
        <f>SQRT(SUM($F$2:F396)/A396)</f>
        <v>1023.7960697351125</v>
      </c>
      <c r="H396" s="5">
        <f t="shared" si="33"/>
        <v>1</v>
      </c>
      <c r="I396" s="5">
        <f t="shared" si="34"/>
        <v>1</v>
      </c>
    </row>
    <row r="397" spans="1:9">
      <c r="A397">
        <f t="shared" si="35"/>
        <v>396</v>
      </c>
      <c r="B397">
        <v>7</v>
      </c>
      <c r="C397">
        <v>5000</v>
      </c>
      <c r="D397">
        <v>5443</v>
      </c>
      <c r="E397" s="5">
        <f t="shared" si="31"/>
        <v>443</v>
      </c>
      <c r="F397" s="5">
        <f t="shared" si="32"/>
        <v>196249</v>
      </c>
      <c r="G397" s="6">
        <f>SQRT(SUM($F$2:F397)/A397)</f>
        <v>1022.744888063786</v>
      </c>
      <c r="H397" s="5">
        <f t="shared" si="33"/>
        <v>1</v>
      </c>
      <c r="I397" s="5">
        <f t="shared" si="34"/>
        <v>1</v>
      </c>
    </row>
    <row r="398" spans="1:9">
      <c r="A398">
        <f t="shared" si="35"/>
        <v>397</v>
      </c>
      <c r="B398">
        <v>6</v>
      </c>
      <c r="C398">
        <v>5000</v>
      </c>
      <c r="D398">
        <v>5178</v>
      </c>
      <c r="E398" s="5">
        <f t="shared" si="31"/>
        <v>178</v>
      </c>
      <c r="F398" s="5">
        <f t="shared" si="32"/>
        <v>31684</v>
      </c>
      <c r="G398" s="6">
        <f>SQRT(SUM($F$2:F398)/A398)</f>
        <v>1021.4950494349697</v>
      </c>
      <c r="H398" s="5">
        <f t="shared" si="33"/>
        <v>1</v>
      </c>
      <c r="I398" s="5">
        <f t="shared" si="34"/>
        <v>1</v>
      </c>
    </row>
    <row r="399" spans="1:9">
      <c r="A399">
        <f t="shared" si="35"/>
        <v>398</v>
      </c>
      <c r="B399">
        <v>6</v>
      </c>
      <c r="C399">
        <v>5000</v>
      </c>
      <c r="D399">
        <v>4819</v>
      </c>
      <c r="E399" s="5">
        <f t="shared" si="31"/>
        <v>181</v>
      </c>
      <c r="F399" s="5">
        <f t="shared" si="32"/>
        <v>32761</v>
      </c>
      <c r="G399" s="6">
        <f>SQRT(SUM($F$2:F399)/A399)</f>
        <v>1020.2512979924487</v>
      </c>
      <c r="H399" s="5">
        <f t="shared" si="33"/>
        <v>1</v>
      </c>
      <c r="I399" s="5">
        <f t="shared" si="34"/>
        <v>1</v>
      </c>
    </row>
    <row r="400" spans="1:9">
      <c r="A400">
        <f t="shared" si="35"/>
        <v>399</v>
      </c>
      <c r="B400">
        <v>6</v>
      </c>
      <c r="C400">
        <v>5000</v>
      </c>
      <c r="D400">
        <v>3706</v>
      </c>
      <c r="E400" s="5">
        <f t="shared" si="31"/>
        <v>1294</v>
      </c>
      <c r="F400" s="5">
        <f t="shared" si="32"/>
        <v>1674436</v>
      </c>
      <c r="G400" s="6">
        <f>SQRT(SUM($F$2:F400)/A400)</f>
        <v>1021.0291321611761</v>
      </c>
      <c r="H400" s="5">
        <f t="shared" si="33"/>
        <v>0</v>
      </c>
      <c r="I400" s="5">
        <f t="shared" si="34"/>
        <v>0</v>
      </c>
    </row>
    <row r="401" spans="1:9">
      <c r="A401">
        <f t="shared" si="35"/>
        <v>400</v>
      </c>
      <c r="B401">
        <v>8</v>
      </c>
      <c r="C401">
        <v>5000</v>
      </c>
      <c r="D401">
        <v>5602</v>
      </c>
      <c r="E401" s="5">
        <f t="shared" si="31"/>
        <v>602</v>
      </c>
      <c r="F401" s="5">
        <f t="shared" si="32"/>
        <v>362404</v>
      </c>
      <c r="G401" s="6">
        <f>SQRT(SUM($F$2:F401)/A401)</f>
        <v>1020.1961808887544</v>
      </c>
      <c r="H401" s="5">
        <f t="shared" si="33"/>
        <v>1</v>
      </c>
      <c r="I401" s="5">
        <f t="shared" si="34"/>
        <v>0</v>
      </c>
    </row>
    <row r="402" spans="1:9">
      <c r="A402">
        <f t="shared" si="35"/>
        <v>401</v>
      </c>
      <c r="B402">
        <v>6</v>
      </c>
      <c r="C402">
        <v>6000</v>
      </c>
      <c r="D402">
        <v>4432</v>
      </c>
      <c r="E402" s="5">
        <f t="shared" si="31"/>
        <v>1568</v>
      </c>
      <c r="F402" s="5">
        <f t="shared" si="32"/>
        <v>2458624</v>
      </c>
      <c r="G402" s="6">
        <f>SQRT(SUM($F$2:F402)/A402)</f>
        <v>1021.9275745281792</v>
      </c>
      <c r="H402" s="5">
        <f t="shared" si="33"/>
        <v>0</v>
      </c>
      <c r="I402" s="5">
        <f t="shared" si="34"/>
        <v>0</v>
      </c>
    </row>
    <row r="403" spans="1:9">
      <c r="A403">
        <f t="shared" si="35"/>
        <v>402</v>
      </c>
      <c r="B403">
        <v>8</v>
      </c>
      <c r="C403">
        <v>6000</v>
      </c>
      <c r="D403">
        <v>5172</v>
      </c>
      <c r="E403" s="5">
        <f t="shared" si="31"/>
        <v>828</v>
      </c>
      <c r="F403" s="5">
        <f t="shared" si="32"/>
        <v>685584</v>
      </c>
      <c r="G403" s="6">
        <f>SQRT(SUM($F$2:F403)/A403)</f>
        <v>1021.4908466311599</v>
      </c>
      <c r="H403" s="5">
        <f t="shared" si="33"/>
        <v>1</v>
      </c>
      <c r="I403" s="5">
        <f t="shared" si="34"/>
        <v>0</v>
      </c>
    </row>
    <row r="404" spans="1:9">
      <c r="A404">
        <f t="shared" si="35"/>
        <v>403</v>
      </c>
      <c r="B404">
        <v>8</v>
      </c>
      <c r="C404">
        <v>6000</v>
      </c>
      <c r="D404">
        <v>5340</v>
      </c>
      <c r="E404" s="5">
        <f t="shared" si="31"/>
        <v>660</v>
      </c>
      <c r="F404" s="5">
        <f t="shared" si="32"/>
        <v>435600</v>
      </c>
      <c r="G404" s="6">
        <f>SQRT(SUM($F$2:F404)/A404)</f>
        <v>1020.7522976225608</v>
      </c>
      <c r="H404" s="5">
        <f t="shared" si="33"/>
        <v>1</v>
      </c>
      <c r="I404" s="5">
        <f t="shared" si="34"/>
        <v>0</v>
      </c>
    </row>
    <row r="405" spans="1:9">
      <c r="A405">
        <f t="shared" si="35"/>
        <v>404</v>
      </c>
      <c r="B405">
        <v>8</v>
      </c>
      <c r="C405">
        <v>6000</v>
      </c>
      <c r="D405">
        <v>4207</v>
      </c>
      <c r="E405" s="5">
        <f t="shared" si="31"/>
        <v>1793</v>
      </c>
      <c r="F405" s="5">
        <f t="shared" si="32"/>
        <v>3214849</v>
      </c>
      <c r="G405" s="6">
        <f>SQRT(SUM($F$2:F405)/A405)</f>
        <v>1023.3834826081802</v>
      </c>
      <c r="H405" s="5">
        <f t="shared" si="33"/>
        <v>0</v>
      </c>
      <c r="I405" s="5">
        <f t="shared" si="34"/>
        <v>0</v>
      </c>
    </row>
    <row r="406" spans="1:9">
      <c r="A406">
        <f t="shared" si="35"/>
        <v>405</v>
      </c>
      <c r="B406">
        <v>10</v>
      </c>
      <c r="C406">
        <v>6000</v>
      </c>
      <c r="D406">
        <v>5379</v>
      </c>
      <c r="E406" s="5">
        <f t="shared" si="31"/>
        <v>621</v>
      </c>
      <c r="F406" s="5">
        <f t="shared" si="32"/>
        <v>385641</v>
      </c>
      <c r="G406" s="6">
        <f>SQRT(SUM($F$2:F406)/A406)</f>
        <v>1022.5849561736143</v>
      </c>
      <c r="H406" s="5">
        <f t="shared" si="33"/>
        <v>1</v>
      </c>
      <c r="I406" s="5">
        <f t="shared" si="34"/>
        <v>0</v>
      </c>
    </row>
    <row r="407" spans="1:9">
      <c r="A407">
        <f t="shared" si="35"/>
        <v>406</v>
      </c>
      <c r="B407">
        <v>9</v>
      </c>
      <c r="C407">
        <v>6000</v>
      </c>
      <c r="D407">
        <v>3356</v>
      </c>
      <c r="E407" s="5">
        <f t="shared" si="31"/>
        <v>2644</v>
      </c>
      <c r="F407" s="5">
        <f t="shared" si="32"/>
        <v>6990736</v>
      </c>
      <c r="G407" s="6">
        <f>SQRT(SUM($F$2:F407)/A407)</f>
        <v>1029.7198588376982</v>
      </c>
      <c r="H407" s="5">
        <f t="shared" si="33"/>
        <v>0</v>
      </c>
      <c r="I407" s="5">
        <f t="shared" si="34"/>
        <v>0</v>
      </c>
    </row>
    <row r="408" spans="1:9">
      <c r="A408">
        <f t="shared" si="35"/>
        <v>407</v>
      </c>
      <c r="B408">
        <v>11</v>
      </c>
      <c r="C408">
        <v>6000</v>
      </c>
      <c r="D408">
        <v>6543</v>
      </c>
      <c r="E408" s="5">
        <f t="shared" si="31"/>
        <v>543</v>
      </c>
      <c r="F408" s="5">
        <f t="shared" si="32"/>
        <v>294849</v>
      </c>
      <c r="G408" s="6">
        <f>SQRT(SUM($F$2:F408)/A408)</f>
        <v>1028.8062092620828</v>
      </c>
      <c r="H408" s="5">
        <f t="shared" si="33"/>
        <v>1</v>
      </c>
      <c r="I408" s="5">
        <f t="shared" si="34"/>
        <v>1</v>
      </c>
    </row>
    <row r="409" spans="1:9">
      <c r="A409">
        <f t="shared" si="35"/>
        <v>408</v>
      </c>
      <c r="B409">
        <v>8</v>
      </c>
      <c r="C409">
        <v>6000</v>
      </c>
      <c r="D409">
        <v>4657</v>
      </c>
      <c r="E409" s="5">
        <f t="shared" si="31"/>
        <v>1343</v>
      </c>
      <c r="F409" s="5">
        <f t="shared" si="32"/>
        <v>1803649</v>
      </c>
      <c r="G409" s="6">
        <f>SQRT(SUM($F$2:F409)/A409)</f>
        <v>1029.6934997519274</v>
      </c>
      <c r="H409" s="5">
        <f t="shared" si="33"/>
        <v>0</v>
      </c>
      <c r="I409" s="5">
        <f t="shared" si="34"/>
        <v>0</v>
      </c>
    </row>
    <row r="410" spans="1:9">
      <c r="A410">
        <f t="shared" si="35"/>
        <v>409</v>
      </c>
      <c r="B410">
        <v>10</v>
      </c>
      <c r="C410">
        <v>6000</v>
      </c>
      <c r="D410">
        <v>6759</v>
      </c>
      <c r="E410" s="5">
        <f t="shared" si="31"/>
        <v>759</v>
      </c>
      <c r="F410" s="5">
        <f t="shared" si="32"/>
        <v>576081</v>
      </c>
      <c r="G410" s="6">
        <f>SQRT(SUM($F$2:F410)/A410)</f>
        <v>1029.1184919219206</v>
      </c>
      <c r="H410" s="5">
        <f t="shared" si="33"/>
        <v>1</v>
      </c>
      <c r="I410" s="5">
        <f t="shared" si="34"/>
        <v>0</v>
      </c>
    </row>
    <row r="411" spans="1:9">
      <c r="A411">
        <f t="shared" si="35"/>
        <v>410</v>
      </c>
      <c r="B411">
        <v>8</v>
      </c>
      <c r="C411">
        <v>6000</v>
      </c>
      <c r="D411">
        <v>5518</v>
      </c>
      <c r="E411" s="5">
        <f t="shared" si="31"/>
        <v>482</v>
      </c>
      <c r="F411" s="5">
        <f t="shared" si="32"/>
        <v>232324</v>
      </c>
      <c r="G411" s="6">
        <f>SQRT(SUM($F$2:F411)/A411)</f>
        <v>1028.138308053836</v>
      </c>
      <c r="H411" s="5">
        <f t="shared" si="33"/>
        <v>1</v>
      </c>
      <c r="I411" s="5">
        <f t="shared" si="34"/>
        <v>1</v>
      </c>
    </row>
    <row r="412" spans="1:9">
      <c r="A412">
        <f t="shared" si="35"/>
        <v>411</v>
      </c>
      <c r="B412">
        <v>9</v>
      </c>
      <c r="C412">
        <v>6000</v>
      </c>
      <c r="D412">
        <v>5954</v>
      </c>
      <c r="E412" s="5">
        <f t="shared" si="31"/>
        <v>46</v>
      </c>
      <c r="F412" s="5">
        <f t="shared" si="32"/>
        <v>2116</v>
      </c>
      <c r="G412" s="6">
        <f>SQRT(SUM($F$2:F412)/A412)</f>
        <v>1026.8892765895921</v>
      </c>
      <c r="H412" s="5">
        <f t="shared" si="33"/>
        <v>1</v>
      </c>
      <c r="I412" s="5">
        <f t="shared" si="34"/>
        <v>1</v>
      </c>
    </row>
    <row r="413" spans="1:9">
      <c r="A413">
        <f t="shared" si="35"/>
        <v>412</v>
      </c>
      <c r="B413">
        <v>9</v>
      </c>
      <c r="C413">
        <v>6000</v>
      </c>
      <c r="D413">
        <v>6400</v>
      </c>
      <c r="E413" s="5">
        <f t="shared" si="31"/>
        <v>400</v>
      </c>
      <c r="F413" s="5">
        <f t="shared" si="32"/>
        <v>160000</v>
      </c>
      <c r="G413" s="6">
        <f>SQRT(SUM($F$2:F413)/A413)</f>
        <v>1025.8315973001697</v>
      </c>
      <c r="H413" s="5">
        <f t="shared" si="33"/>
        <v>1</v>
      </c>
      <c r="I413" s="5">
        <f t="shared" si="34"/>
        <v>1</v>
      </c>
    </row>
    <row r="414" spans="1:9">
      <c r="A414">
        <f t="shared" si="35"/>
        <v>413</v>
      </c>
      <c r="B414">
        <v>8</v>
      </c>
      <c r="C414">
        <v>6000</v>
      </c>
      <c r="D414">
        <v>6405</v>
      </c>
      <c r="E414" s="5">
        <f t="shared" si="31"/>
        <v>405</v>
      </c>
      <c r="F414" s="5">
        <f t="shared" si="32"/>
        <v>164025</v>
      </c>
      <c r="G414" s="6">
        <f>SQRT(SUM($F$2:F414)/A414)</f>
        <v>1024.7827112743835</v>
      </c>
      <c r="H414" s="5">
        <f t="shared" si="33"/>
        <v>1</v>
      </c>
      <c r="I414" s="5">
        <f t="shared" si="34"/>
        <v>1</v>
      </c>
    </row>
    <row r="415" spans="1:9">
      <c r="A415">
        <f t="shared" si="35"/>
        <v>414</v>
      </c>
      <c r="B415">
        <v>8</v>
      </c>
      <c r="C415">
        <v>6000</v>
      </c>
      <c r="D415">
        <v>5201</v>
      </c>
      <c r="E415" s="5">
        <f t="shared" si="31"/>
        <v>799</v>
      </c>
      <c r="F415" s="5">
        <f t="shared" si="32"/>
        <v>638401</v>
      </c>
      <c r="G415" s="6">
        <f>SQRT(SUM($F$2:F415)/A415)</f>
        <v>1024.297305968581</v>
      </c>
      <c r="H415" s="5">
        <f t="shared" si="33"/>
        <v>1</v>
      </c>
      <c r="I415" s="5">
        <f t="shared" si="34"/>
        <v>0</v>
      </c>
    </row>
    <row r="416" spans="1:9">
      <c r="A416">
        <f t="shared" si="35"/>
        <v>415</v>
      </c>
      <c r="B416">
        <v>10</v>
      </c>
      <c r="C416">
        <v>6000</v>
      </c>
      <c r="D416">
        <v>6617</v>
      </c>
      <c r="E416" s="5">
        <f t="shared" si="31"/>
        <v>617</v>
      </c>
      <c r="F416" s="5">
        <f t="shared" si="32"/>
        <v>380689</v>
      </c>
      <c r="G416" s="6">
        <f>SQRT(SUM($F$2:F416)/A416)</f>
        <v>1023.5106923473725</v>
      </c>
      <c r="H416" s="5">
        <f t="shared" si="33"/>
        <v>1</v>
      </c>
      <c r="I416" s="5">
        <f t="shared" si="34"/>
        <v>0</v>
      </c>
    </row>
    <row r="417" spans="1:9">
      <c r="A417">
        <f t="shared" si="35"/>
        <v>416</v>
      </c>
      <c r="B417">
        <v>8</v>
      </c>
      <c r="C417">
        <v>6000</v>
      </c>
      <c r="D417">
        <v>7055</v>
      </c>
      <c r="E417" s="5">
        <f t="shared" si="31"/>
        <v>1055</v>
      </c>
      <c r="F417" s="5">
        <f t="shared" si="32"/>
        <v>1113025</v>
      </c>
      <c r="G417" s="6">
        <f>SQRT(SUM($F$2:F417)/A417)</f>
        <v>1023.5875493351051</v>
      </c>
      <c r="H417" s="5">
        <f t="shared" si="33"/>
        <v>1</v>
      </c>
      <c r="I417" s="5">
        <f t="shared" si="34"/>
        <v>0</v>
      </c>
    </row>
    <row r="418" spans="1:9">
      <c r="A418">
        <f t="shared" si="35"/>
        <v>417</v>
      </c>
      <c r="B418">
        <v>7</v>
      </c>
      <c r="C418">
        <v>6000</v>
      </c>
      <c r="D418">
        <v>10063</v>
      </c>
      <c r="E418" s="5">
        <f t="shared" si="31"/>
        <v>4063</v>
      </c>
      <c r="F418" s="5">
        <f t="shared" si="32"/>
        <v>16507969</v>
      </c>
      <c r="G418" s="6">
        <f>SQRT(SUM($F$2:F418)/A418)</f>
        <v>1041.5403887007762</v>
      </c>
      <c r="H418" s="5">
        <f t="shared" si="33"/>
        <v>0</v>
      </c>
      <c r="I418" s="5">
        <f t="shared" si="34"/>
        <v>0</v>
      </c>
    </row>
    <row r="419" spans="1:9">
      <c r="A419">
        <f t="shared" si="35"/>
        <v>418</v>
      </c>
      <c r="B419">
        <v>3</v>
      </c>
      <c r="C419">
        <v>6000</v>
      </c>
      <c r="D419">
        <v>4109</v>
      </c>
      <c r="E419" s="5">
        <f t="shared" si="31"/>
        <v>1891</v>
      </c>
      <c r="F419" s="5">
        <f t="shared" si="32"/>
        <v>3575881</v>
      </c>
      <c r="G419" s="6">
        <f>SQRT(SUM($F$2:F419)/A419)</f>
        <v>1044.3973812453539</v>
      </c>
      <c r="H419" s="5">
        <f t="shared" si="33"/>
        <v>0</v>
      </c>
      <c r="I419" s="5">
        <f t="shared" si="34"/>
        <v>0</v>
      </c>
    </row>
    <row r="420" spans="1:9">
      <c r="A420">
        <f t="shared" si="35"/>
        <v>419</v>
      </c>
      <c r="B420">
        <v>10</v>
      </c>
      <c r="C420">
        <v>6000</v>
      </c>
      <c r="D420">
        <v>5754</v>
      </c>
      <c r="E420" s="5">
        <f t="shared" si="31"/>
        <v>246</v>
      </c>
      <c r="F420" s="5">
        <f t="shared" si="32"/>
        <v>60516</v>
      </c>
      <c r="G420" s="6">
        <f>SQRT(SUM($F$2:F420)/A420)</f>
        <v>1043.2195644570088</v>
      </c>
      <c r="H420" s="5">
        <f t="shared" si="33"/>
        <v>1</v>
      </c>
      <c r="I420" s="5">
        <f t="shared" si="34"/>
        <v>1</v>
      </c>
    </row>
    <row r="421" spans="1:9">
      <c r="A421">
        <f t="shared" si="35"/>
        <v>420</v>
      </c>
      <c r="B421">
        <v>8</v>
      </c>
      <c r="C421">
        <v>6000</v>
      </c>
      <c r="D421">
        <v>4441</v>
      </c>
      <c r="E421" s="5">
        <f t="shared" si="31"/>
        <v>1559</v>
      </c>
      <c r="F421" s="5">
        <f t="shared" si="32"/>
        <v>2430481</v>
      </c>
      <c r="G421" s="6">
        <f>SQRT(SUM($F$2:F421)/A421)</f>
        <v>1044.7500715026354</v>
      </c>
      <c r="H421" s="5">
        <f t="shared" si="33"/>
        <v>0</v>
      </c>
      <c r="I421" s="5">
        <f t="shared" si="34"/>
        <v>0</v>
      </c>
    </row>
    <row r="422" spans="1:9">
      <c r="A422">
        <f t="shared" si="35"/>
        <v>421</v>
      </c>
      <c r="B422">
        <v>10</v>
      </c>
      <c r="C422">
        <v>6000</v>
      </c>
      <c r="D422">
        <v>5984</v>
      </c>
      <c r="E422" s="5">
        <f t="shared" si="31"/>
        <v>16</v>
      </c>
      <c r="F422" s="5">
        <f t="shared" si="32"/>
        <v>256</v>
      </c>
      <c r="G422" s="6">
        <f>SQRT(SUM($F$2:F422)/A422)</f>
        <v>1043.5088293635181</v>
      </c>
      <c r="H422" s="5">
        <f t="shared" si="33"/>
        <v>1</v>
      </c>
      <c r="I422" s="5">
        <f t="shared" si="34"/>
        <v>1</v>
      </c>
    </row>
    <row r="423" spans="1:9">
      <c r="A423">
        <f t="shared" si="35"/>
        <v>422</v>
      </c>
      <c r="B423">
        <v>8</v>
      </c>
      <c r="C423">
        <v>6000</v>
      </c>
      <c r="D423">
        <v>4722</v>
      </c>
      <c r="E423" s="5">
        <f t="shared" si="31"/>
        <v>1278</v>
      </c>
      <c r="F423" s="5">
        <f t="shared" si="32"/>
        <v>1633284</v>
      </c>
      <c r="G423" s="6">
        <f>SQRT(SUM($F$2:F423)/A423)</f>
        <v>1044.1267457245985</v>
      </c>
      <c r="H423" s="5">
        <f t="shared" si="33"/>
        <v>0</v>
      </c>
      <c r="I423" s="5">
        <f t="shared" si="34"/>
        <v>0</v>
      </c>
    </row>
    <row r="424" spans="1:9">
      <c r="A424">
        <f t="shared" si="35"/>
        <v>423</v>
      </c>
      <c r="B424">
        <v>10</v>
      </c>
      <c r="C424">
        <v>6000</v>
      </c>
      <c r="D424">
        <v>6246</v>
      </c>
      <c r="E424" s="5">
        <f t="shared" si="31"/>
        <v>246</v>
      </c>
      <c r="F424" s="5">
        <f t="shared" si="32"/>
        <v>60516</v>
      </c>
      <c r="G424" s="6">
        <f>SQRT(SUM($F$2:F424)/A424)</f>
        <v>1042.9604107729672</v>
      </c>
      <c r="H424" s="5">
        <f t="shared" si="33"/>
        <v>1</v>
      </c>
      <c r="I424" s="5">
        <f t="shared" si="34"/>
        <v>1</v>
      </c>
    </row>
    <row r="425" spans="1:9">
      <c r="A425">
        <f t="shared" si="35"/>
        <v>424</v>
      </c>
      <c r="B425">
        <v>8</v>
      </c>
      <c r="C425">
        <v>6000</v>
      </c>
      <c r="D425">
        <v>4853</v>
      </c>
      <c r="E425" s="5">
        <f t="shared" si="31"/>
        <v>1147</v>
      </c>
      <c r="F425" s="5">
        <f t="shared" si="32"/>
        <v>1315609</v>
      </c>
      <c r="G425" s="6">
        <f>SQRT(SUM($F$2:F425)/A425)</f>
        <v>1043.2179940064627</v>
      </c>
      <c r="H425" s="5">
        <f t="shared" si="33"/>
        <v>1</v>
      </c>
      <c r="I425" s="5">
        <f t="shared" si="34"/>
        <v>0</v>
      </c>
    </row>
    <row r="426" spans="1:9">
      <c r="A426">
        <f t="shared" si="35"/>
        <v>425</v>
      </c>
      <c r="B426">
        <v>10</v>
      </c>
      <c r="C426">
        <v>6000</v>
      </c>
      <c r="D426">
        <v>6477</v>
      </c>
      <c r="E426" s="5">
        <f t="shared" si="31"/>
        <v>477</v>
      </c>
      <c r="F426" s="5">
        <f t="shared" si="32"/>
        <v>227529</v>
      </c>
      <c r="G426" s="6">
        <f>SQRT(SUM($F$2:F426)/A426)</f>
        <v>1042.2468184591571</v>
      </c>
      <c r="H426" s="5">
        <f t="shared" si="33"/>
        <v>1</v>
      </c>
      <c r="I426" s="5">
        <f t="shared" si="34"/>
        <v>1</v>
      </c>
    </row>
    <row r="427" spans="1:9">
      <c r="A427">
        <f t="shared" si="35"/>
        <v>426</v>
      </c>
      <c r="B427">
        <v>8</v>
      </c>
      <c r="C427">
        <v>6000</v>
      </c>
      <c r="D427">
        <v>6056</v>
      </c>
      <c r="E427" s="5">
        <f t="shared" si="31"/>
        <v>56</v>
      </c>
      <c r="F427" s="5">
        <f t="shared" si="32"/>
        <v>3136</v>
      </c>
      <c r="G427" s="6">
        <f>SQRT(SUM($F$2:F427)/A427)</f>
        <v>1041.026341032255</v>
      </c>
      <c r="H427" s="5">
        <f t="shared" si="33"/>
        <v>1</v>
      </c>
      <c r="I427" s="5">
        <f t="shared" si="34"/>
        <v>1</v>
      </c>
    </row>
    <row r="428" spans="1:9">
      <c r="A428">
        <f t="shared" si="35"/>
        <v>427</v>
      </c>
      <c r="B428">
        <v>9</v>
      </c>
      <c r="C428">
        <v>6000</v>
      </c>
      <c r="D428">
        <v>6705</v>
      </c>
      <c r="E428" s="5">
        <f t="shared" si="31"/>
        <v>705</v>
      </c>
      <c r="F428" s="5">
        <f t="shared" si="32"/>
        <v>497025</v>
      </c>
      <c r="G428" s="6">
        <f>SQRT(SUM($F$2:F428)/A428)</f>
        <v>1040.3661916106125</v>
      </c>
      <c r="H428" s="5">
        <f t="shared" si="33"/>
        <v>1</v>
      </c>
      <c r="I428" s="5">
        <f t="shared" si="34"/>
        <v>0</v>
      </c>
    </row>
    <row r="429" spans="1:9">
      <c r="A429">
        <f t="shared" si="35"/>
        <v>428</v>
      </c>
      <c r="B429">
        <v>8</v>
      </c>
      <c r="C429">
        <v>6000</v>
      </c>
      <c r="D429">
        <v>5977</v>
      </c>
      <c r="E429" s="5">
        <f t="shared" si="31"/>
        <v>23</v>
      </c>
      <c r="F429" s="5">
        <f t="shared" si="32"/>
        <v>529</v>
      </c>
      <c r="G429" s="6">
        <f>SQRT(SUM($F$2:F429)/A429)</f>
        <v>1039.1506945038582</v>
      </c>
      <c r="H429" s="5">
        <f t="shared" si="33"/>
        <v>1</v>
      </c>
      <c r="I429" s="5">
        <f t="shared" si="34"/>
        <v>1</v>
      </c>
    </row>
    <row r="430" spans="1:9">
      <c r="A430">
        <f t="shared" si="35"/>
        <v>429</v>
      </c>
      <c r="B430">
        <v>9</v>
      </c>
      <c r="C430">
        <v>6000</v>
      </c>
      <c r="D430">
        <v>5846</v>
      </c>
      <c r="E430" s="5">
        <f t="shared" si="31"/>
        <v>154</v>
      </c>
      <c r="F430" s="5">
        <f t="shared" si="32"/>
        <v>23716</v>
      </c>
      <c r="G430" s="6">
        <f>SQRT(SUM($F$2:F430)/A430)</f>
        <v>1037.9654868931586</v>
      </c>
      <c r="H430" s="5">
        <f t="shared" si="33"/>
        <v>1</v>
      </c>
      <c r="I430" s="5">
        <f t="shared" si="34"/>
        <v>1</v>
      </c>
    </row>
    <row r="431" spans="1:9">
      <c r="A431">
        <f t="shared" si="35"/>
        <v>430</v>
      </c>
      <c r="B431">
        <v>9</v>
      </c>
      <c r="C431">
        <v>6000</v>
      </c>
      <c r="D431">
        <v>5994</v>
      </c>
      <c r="E431" s="5">
        <f t="shared" si="31"/>
        <v>6</v>
      </c>
      <c r="F431" s="5">
        <f t="shared" si="32"/>
        <v>36</v>
      </c>
      <c r="G431" s="6">
        <f>SQRT(SUM($F$2:F431)/A431)</f>
        <v>1036.7578881323504</v>
      </c>
      <c r="H431" s="5">
        <f t="shared" si="33"/>
        <v>1</v>
      </c>
      <c r="I431" s="5">
        <f t="shared" si="34"/>
        <v>1</v>
      </c>
    </row>
    <row r="432" spans="1:9">
      <c r="A432">
        <f t="shared" si="35"/>
        <v>431</v>
      </c>
      <c r="B432">
        <v>9</v>
      </c>
      <c r="C432">
        <v>6000</v>
      </c>
      <c r="D432">
        <v>5796</v>
      </c>
      <c r="E432" s="5">
        <f t="shared" si="31"/>
        <v>204</v>
      </c>
      <c r="F432" s="5">
        <f t="shared" si="32"/>
        <v>41616</v>
      </c>
      <c r="G432" s="6">
        <f>SQRT(SUM($F$2:F432)/A432)</f>
        <v>1035.6010741046839</v>
      </c>
      <c r="H432" s="5">
        <f t="shared" si="33"/>
        <v>1</v>
      </c>
      <c r="I432" s="5">
        <f t="shared" si="34"/>
        <v>1</v>
      </c>
    </row>
    <row r="433" spans="1:9">
      <c r="A433">
        <f t="shared" si="35"/>
        <v>432</v>
      </c>
      <c r="B433">
        <v>9</v>
      </c>
      <c r="C433">
        <v>6000</v>
      </c>
      <c r="D433">
        <v>5806</v>
      </c>
      <c r="E433" s="5">
        <f t="shared" si="31"/>
        <v>194</v>
      </c>
      <c r="F433" s="5">
        <f t="shared" si="32"/>
        <v>37636</v>
      </c>
      <c r="G433" s="6">
        <f>SQRT(SUM($F$2:F433)/A433)</f>
        <v>1034.4438779238214</v>
      </c>
      <c r="H433" s="5">
        <f t="shared" si="33"/>
        <v>1</v>
      </c>
      <c r="I433" s="5">
        <f t="shared" si="34"/>
        <v>1</v>
      </c>
    </row>
    <row r="434" spans="1:9">
      <c r="A434">
        <f t="shared" si="35"/>
        <v>433</v>
      </c>
      <c r="B434">
        <v>9</v>
      </c>
      <c r="C434">
        <v>6000</v>
      </c>
      <c r="D434">
        <v>5970</v>
      </c>
      <c r="E434" s="5">
        <f t="shared" si="31"/>
        <v>30</v>
      </c>
      <c r="F434" s="5">
        <f t="shared" si="32"/>
        <v>900</v>
      </c>
      <c r="G434" s="6">
        <f>SQRT(SUM($F$2:F434)/A434)</f>
        <v>1033.2496853327295</v>
      </c>
      <c r="H434" s="5">
        <f t="shared" si="33"/>
        <v>1</v>
      </c>
      <c r="I434" s="5">
        <f t="shared" si="34"/>
        <v>1</v>
      </c>
    </row>
    <row r="435" spans="1:9">
      <c r="A435">
        <f t="shared" si="35"/>
        <v>434</v>
      </c>
      <c r="B435">
        <v>9</v>
      </c>
      <c r="C435">
        <v>6000</v>
      </c>
      <c r="D435">
        <v>6085</v>
      </c>
      <c r="E435" s="5">
        <f t="shared" si="31"/>
        <v>85</v>
      </c>
      <c r="F435" s="5">
        <f t="shared" si="32"/>
        <v>7225</v>
      </c>
      <c r="G435" s="6">
        <f>SQRT(SUM($F$2:F435)/A435)</f>
        <v>1032.0666841599896</v>
      </c>
      <c r="H435" s="5">
        <f t="shared" si="33"/>
        <v>1</v>
      </c>
      <c r="I435" s="5">
        <f t="shared" si="34"/>
        <v>1</v>
      </c>
    </row>
    <row r="436" spans="1:9">
      <c r="A436">
        <f t="shared" si="35"/>
        <v>435</v>
      </c>
      <c r="B436">
        <v>9</v>
      </c>
      <c r="C436">
        <v>6000</v>
      </c>
      <c r="D436">
        <v>6076</v>
      </c>
      <c r="E436" s="5">
        <f t="shared" si="31"/>
        <v>76</v>
      </c>
      <c r="F436" s="5">
        <f t="shared" si="32"/>
        <v>5776</v>
      </c>
      <c r="G436" s="6">
        <f>SQRT(SUM($F$2:F436)/A436)</f>
        <v>1030.8861582465679</v>
      </c>
      <c r="H436" s="5">
        <f t="shared" si="33"/>
        <v>1</v>
      </c>
      <c r="I436" s="5">
        <f t="shared" si="34"/>
        <v>1</v>
      </c>
    </row>
    <row r="437" spans="1:9">
      <c r="A437">
        <f t="shared" si="35"/>
        <v>436</v>
      </c>
      <c r="B437">
        <v>9</v>
      </c>
      <c r="C437">
        <v>6000</v>
      </c>
      <c r="D437">
        <v>6695</v>
      </c>
      <c r="E437" s="5">
        <f t="shared" si="31"/>
        <v>695</v>
      </c>
      <c r="F437" s="5">
        <f t="shared" si="32"/>
        <v>483025</v>
      </c>
      <c r="G437" s="6">
        <f>SQRT(SUM($F$2:F437)/A437)</f>
        <v>1030.2410791618922</v>
      </c>
      <c r="H437" s="5">
        <f t="shared" si="33"/>
        <v>1</v>
      </c>
      <c r="I437" s="5">
        <f t="shared" si="34"/>
        <v>0</v>
      </c>
    </row>
    <row r="438" spans="1:9">
      <c r="A438">
        <f t="shared" si="35"/>
        <v>437</v>
      </c>
      <c r="B438">
        <v>8</v>
      </c>
      <c r="C438">
        <v>6000</v>
      </c>
      <c r="D438">
        <v>6126</v>
      </c>
      <c r="E438" s="5">
        <f t="shared" si="31"/>
        <v>126</v>
      </c>
      <c r="F438" s="5">
        <f t="shared" si="32"/>
        <v>15876</v>
      </c>
      <c r="G438" s="6">
        <f>SQRT(SUM($F$2:F438)/A438)</f>
        <v>1029.0792901203924</v>
      </c>
      <c r="H438" s="5">
        <f t="shared" si="33"/>
        <v>1</v>
      </c>
      <c r="I438" s="5">
        <f t="shared" si="34"/>
        <v>1</v>
      </c>
    </row>
    <row r="439" spans="1:9">
      <c r="A439">
        <f t="shared" si="35"/>
        <v>438</v>
      </c>
      <c r="B439">
        <v>8</v>
      </c>
      <c r="C439">
        <v>6000</v>
      </c>
      <c r="D439">
        <v>5471</v>
      </c>
      <c r="E439" s="5">
        <f t="shared" si="31"/>
        <v>529</v>
      </c>
      <c r="F439" s="5">
        <f t="shared" si="32"/>
        <v>279841</v>
      </c>
      <c r="G439" s="6">
        <f>SQRT(SUM($F$2:F439)/A439)</f>
        <v>1028.2146050181366</v>
      </c>
      <c r="H439" s="5">
        <f t="shared" si="33"/>
        <v>1</v>
      </c>
      <c r="I439" s="5">
        <f t="shared" si="34"/>
        <v>1</v>
      </c>
    </row>
    <row r="440" spans="1:9">
      <c r="A440">
        <f t="shared" si="35"/>
        <v>439</v>
      </c>
      <c r="B440">
        <v>9</v>
      </c>
      <c r="C440">
        <v>6000</v>
      </c>
      <c r="D440">
        <v>6083</v>
      </c>
      <c r="E440" s="5">
        <f t="shared" si="31"/>
        <v>83</v>
      </c>
      <c r="F440" s="5">
        <f t="shared" si="32"/>
        <v>6889</v>
      </c>
      <c r="G440" s="6">
        <f>SQRT(SUM($F$2:F440)/A440)</f>
        <v>1027.0504897171541</v>
      </c>
      <c r="H440" s="5">
        <f t="shared" si="33"/>
        <v>1</v>
      </c>
      <c r="I440" s="5">
        <f t="shared" si="34"/>
        <v>1</v>
      </c>
    </row>
    <row r="441" spans="1:9">
      <c r="A441">
        <f t="shared" si="35"/>
        <v>440</v>
      </c>
      <c r="B441">
        <v>9</v>
      </c>
      <c r="C441">
        <v>6000</v>
      </c>
      <c r="D441">
        <v>5870</v>
      </c>
      <c r="E441" s="5">
        <f t="shared" si="31"/>
        <v>130</v>
      </c>
      <c r="F441" s="5">
        <f t="shared" si="32"/>
        <v>16900</v>
      </c>
      <c r="G441" s="6">
        <f>SQRT(SUM($F$2:F441)/A441)</f>
        <v>1025.9014428562548</v>
      </c>
      <c r="H441" s="5">
        <f t="shared" si="33"/>
        <v>1</v>
      </c>
      <c r="I441" s="5">
        <f t="shared" si="34"/>
        <v>1</v>
      </c>
    </row>
    <row r="442" spans="1:9">
      <c r="A442">
        <f t="shared" si="35"/>
        <v>441</v>
      </c>
      <c r="B442">
        <v>9</v>
      </c>
      <c r="C442">
        <v>6000</v>
      </c>
      <c r="D442">
        <v>6211</v>
      </c>
      <c r="E442" s="5">
        <f t="shared" si="31"/>
        <v>211</v>
      </c>
      <c r="F442" s="5">
        <f t="shared" si="32"/>
        <v>44521</v>
      </c>
      <c r="G442" s="6">
        <f>SQRT(SUM($F$2:F442)/A442)</f>
        <v>1024.7868867551467</v>
      </c>
      <c r="H442" s="5">
        <f t="shared" si="33"/>
        <v>1</v>
      </c>
      <c r="I442" s="5">
        <f t="shared" si="34"/>
        <v>1</v>
      </c>
    </row>
    <row r="443" spans="1:9">
      <c r="A443">
        <f t="shared" si="35"/>
        <v>442</v>
      </c>
      <c r="B443">
        <v>8</v>
      </c>
      <c r="C443">
        <v>6000</v>
      </c>
      <c r="D443">
        <v>5137</v>
      </c>
      <c r="E443" s="5">
        <f t="shared" si="31"/>
        <v>863</v>
      </c>
      <c r="F443" s="5">
        <f t="shared" si="32"/>
        <v>744769</v>
      </c>
      <c r="G443" s="6">
        <f>SQRT(SUM($F$2:F443)/A443)</f>
        <v>1024.4496911431315</v>
      </c>
      <c r="H443" s="5">
        <f t="shared" si="33"/>
        <v>1</v>
      </c>
      <c r="I443" s="5">
        <f t="shared" si="34"/>
        <v>0</v>
      </c>
    </row>
    <row r="444" spans="1:9">
      <c r="A444">
        <f t="shared" si="35"/>
        <v>443</v>
      </c>
      <c r="B444">
        <v>10</v>
      </c>
      <c r="C444">
        <v>6000</v>
      </c>
      <c r="D444">
        <v>7418</v>
      </c>
      <c r="E444" s="5">
        <f t="shared" si="31"/>
        <v>1418</v>
      </c>
      <c r="F444" s="5">
        <f t="shared" si="32"/>
        <v>2010724</v>
      </c>
      <c r="G444" s="6">
        <f>SQRT(SUM($F$2:F444)/A444)</f>
        <v>1025.5081579106572</v>
      </c>
      <c r="H444" s="5">
        <f t="shared" si="33"/>
        <v>0</v>
      </c>
      <c r="I444" s="5">
        <f t="shared" si="34"/>
        <v>0</v>
      </c>
    </row>
    <row r="445" spans="1:9">
      <c r="A445">
        <f t="shared" si="35"/>
        <v>444</v>
      </c>
      <c r="B445">
        <v>7</v>
      </c>
      <c r="C445">
        <v>6000</v>
      </c>
      <c r="D445">
        <v>6093</v>
      </c>
      <c r="E445" s="5">
        <f t="shared" si="31"/>
        <v>93</v>
      </c>
      <c r="F445" s="5">
        <f t="shared" si="32"/>
        <v>8649</v>
      </c>
      <c r="G445" s="6">
        <f>SQRT(SUM($F$2:F445)/A445)</f>
        <v>1024.3621636620235</v>
      </c>
      <c r="H445" s="5">
        <f t="shared" si="33"/>
        <v>1</v>
      </c>
      <c r="I445" s="5">
        <f t="shared" si="34"/>
        <v>1</v>
      </c>
    </row>
    <row r="446" spans="1:9">
      <c r="A446">
        <f t="shared" si="35"/>
        <v>445</v>
      </c>
      <c r="B446">
        <v>8</v>
      </c>
      <c r="C446">
        <v>6000</v>
      </c>
      <c r="D446">
        <v>5469</v>
      </c>
      <c r="E446" s="5">
        <f t="shared" si="31"/>
        <v>531</v>
      </c>
      <c r="F446" s="5">
        <f t="shared" si="32"/>
        <v>281961</v>
      </c>
      <c r="G446" s="6">
        <f>SQRT(SUM($F$2:F446)/A446)</f>
        <v>1023.520124347255</v>
      </c>
      <c r="H446" s="5">
        <f t="shared" si="33"/>
        <v>1</v>
      </c>
      <c r="I446" s="5">
        <f t="shared" si="34"/>
        <v>1</v>
      </c>
    </row>
    <row r="447" spans="1:9">
      <c r="A447">
        <f t="shared" si="35"/>
        <v>446</v>
      </c>
      <c r="B447">
        <v>9</v>
      </c>
      <c r="C447">
        <v>6000</v>
      </c>
      <c r="D447">
        <v>5742</v>
      </c>
      <c r="E447" s="5">
        <f t="shared" si="31"/>
        <v>258</v>
      </c>
      <c r="F447" s="5">
        <f t="shared" si="32"/>
        <v>66564</v>
      </c>
      <c r="G447" s="6">
        <f>SQRT(SUM($F$2:F447)/A447)</f>
        <v>1022.4450241231849</v>
      </c>
      <c r="H447" s="5">
        <f t="shared" si="33"/>
        <v>1</v>
      </c>
      <c r="I447" s="5">
        <f t="shared" si="34"/>
        <v>1</v>
      </c>
    </row>
    <row r="448" spans="1:9">
      <c r="A448">
        <f t="shared" si="35"/>
        <v>447</v>
      </c>
      <c r="B448">
        <v>9</v>
      </c>
      <c r="C448">
        <v>6000</v>
      </c>
      <c r="D448">
        <v>6401</v>
      </c>
      <c r="E448" s="5">
        <f t="shared" si="31"/>
        <v>401</v>
      </c>
      <c r="F448" s="5">
        <f t="shared" si="32"/>
        <v>160801</v>
      </c>
      <c r="G448" s="6">
        <f>SQRT(SUM($F$2:F448)/A448)</f>
        <v>1021.4768095670216</v>
      </c>
      <c r="H448" s="5">
        <f t="shared" si="33"/>
        <v>1</v>
      </c>
      <c r="I448" s="5">
        <f t="shared" si="34"/>
        <v>1</v>
      </c>
    </row>
    <row r="449" spans="1:9">
      <c r="A449">
        <f t="shared" si="35"/>
        <v>448</v>
      </c>
      <c r="B449">
        <v>8</v>
      </c>
      <c r="C449">
        <v>6000</v>
      </c>
      <c r="D449">
        <v>5445</v>
      </c>
      <c r="E449" s="5">
        <f t="shared" si="31"/>
        <v>555</v>
      </c>
      <c r="F449" s="5">
        <f t="shared" si="32"/>
        <v>308025</v>
      </c>
      <c r="G449" s="6">
        <f>SQRT(SUM($F$2:F449)/A449)</f>
        <v>1020.6730021079928</v>
      </c>
      <c r="H449" s="5">
        <f t="shared" si="33"/>
        <v>1</v>
      </c>
      <c r="I449" s="5">
        <f t="shared" si="34"/>
        <v>1</v>
      </c>
    </row>
    <row r="450" spans="1:9">
      <c r="A450">
        <f t="shared" si="35"/>
        <v>449</v>
      </c>
      <c r="B450">
        <v>9</v>
      </c>
      <c r="C450">
        <v>6000</v>
      </c>
      <c r="D450">
        <v>6224</v>
      </c>
      <c r="E450" s="5">
        <f t="shared" si="31"/>
        <v>224</v>
      </c>
      <c r="F450" s="5">
        <f t="shared" si="32"/>
        <v>50176</v>
      </c>
      <c r="G450" s="6">
        <f>SQRT(SUM($F$2:F450)/A450)</f>
        <v>1019.5905647963923</v>
      </c>
      <c r="H450" s="5">
        <f t="shared" si="33"/>
        <v>1</v>
      </c>
      <c r="I450" s="5">
        <f t="shared" si="34"/>
        <v>1</v>
      </c>
    </row>
    <row r="451" spans="1:9">
      <c r="A451">
        <f t="shared" si="35"/>
        <v>450</v>
      </c>
      <c r="B451">
        <v>8</v>
      </c>
      <c r="C451">
        <v>6000</v>
      </c>
      <c r="D451">
        <v>5819</v>
      </c>
      <c r="E451" s="5">
        <f t="shared" ref="E451:E514" si="36">ABS(C451-D451)</f>
        <v>181</v>
      </c>
      <c r="F451" s="5">
        <f t="shared" ref="F451:F514" si="37">POWER(E451,2)</f>
        <v>32761</v>
      </c>
      <c r="G451" s="6">
        <f>SQRT(SUM($F$2:F451)/A451)</f>
        <v>1018.4927971162966</v>
      </c>
      <c r="H451" s="5">
        <f t="shared" ref="H451:H514" si="38">IF(ABS(E451)/C451&gt;0.2,0,1)</f>
        <v>1</v>
      </c>
      <c r="I451" s="5">
        <f t="shared" ref="I451:I514" si="39">IF(ABS(E451)/C451&gt;0.1,0,1)</f>
        <v>1</v>
      </c>
    </row>
    <row r="452" spans="1:9">
      <c r="A452">
        <f t="shared" ref="A452:A515" si="40">A451+1</f>
        <v>451</v>
      </c>
      <c r="B452">
        <v>9</v>
      </c>
      <c r="C452">
        <v>6000</v>
      </c>
      <c r="D452">
        <v>6160</v>
      </c>
      <c r="E452" s="5">
        <f t="shared" si="36"/>
        <v>160</v>
      </c>
      <c r="F452" s="5">
        <f t="shared" si="37"/>
        <v>25600</v>
      </c>
      <c r="G452" s="6">
        <f>SQRT(SUM($F$2:F452)/A452)</f>
        <v>1017.3909176806904</v>
      </c>
      <c r="H452" s="5">
        <f t="shared" si="38"/>
        <v>1</v>
      </c>
      <c r="I452" s="5">
        <f t="shared" si="39"/>
        <v>1</v>
      </c>
    </row>
    <row r="453" spans="1:9">
      <c r="A453">
        <f t="shared" si="40"/>
        <v>452</v>
      </c>
      <c r="B453">
        <v>9</v>
      </c>
      <c r="C453">
        <v>6000</v>
      </c>
      <c r="D453">
        <v>6562</v>
      </c>
      <c r="E453" s="5">
        <f t="shared" si="36"/>
        <v>562</v>
      </c>
      <c r="F453" s="5">
        <f t="shared" si="37"/>
        <v>315844</v>
      </c>
      <c r="G453" s="6">
        <f>SQRT(SUM($F$2:F453)/A453)</f>
        <v>1016.6085971616652</v>
      </c>
      <c r="H453" s="5">
        <f t="shared" si="38"/>
        <v>1</v>
      </c>
      <c r="I453" s="5">
        <f t="shared" si="39"/>
        <v>1</v>
      </c>
    </row>
    <row r="454" spans="1:9">
      <c r="A454">
        <f t="shared" si="40"/>
        <v>453</v>
      </c>
      <c r="B454">
        <v>8</v>
      </c>
      <c r="C454">
        <v>6000</v>
      </c>
      <c r="D454">
        <v>5937</v>
      </c>
      <c r="E454" s="5">
        <f t="shared" si="36"/>
        <v>63</v>
      </c>
      <c r="F454" s="5">
        <f t="shared" si="37"/>
        <v>3969</v>
      </c>
      <c r="G454" s="6">
        <f>SQRT(SUM($F$2:F454)/A454)</f>
        <v>1015.4902066605072</v>
      </c>
      <c r="H454" s="5">
        <f t="shared" si="38"/>
        <v>1</v>
      </c>
      <c r="I454" s="5">
        <f t="shared" si="39"/>
        <v>1</v>
      </c>
    </row>
    <row r="455" spans="1:9">
      <c r="A455">
        <f t="shared" si="40"/>
        <v>454</v>
      </c>
      <c r="B455">
        <v>9</v>
      </c>
      <c r="C455">
        <v>6000</v>
      </c>
      <c r="D455">
        <v>6363</v>
      </c>
      <c r="E455" s="5">
        <f t="shared" si="36"/>
        <v>363</v>
      </c>
      <c r="F455" s="5">
        <f t="shared" si="37"/>
        <v>131769</v>
      </c>
      <c r="G455" s="6">
        <f>SQRT(SUM($F$2:F455)/A455)</f>
        <v>1014.5142628013234</v>
      </c>
      <c r="H455" s="5">
        <f t="shared" si="38"/>
        <v>1</v>
      </c>
      <c r="I455" s="5">
        <f t="shared" si="39"/>
        <v>1</v>
      </c>
    </row>
    <row r="456" spans="1:9">
      <c r="A456">
        <f t="shared" si="40"/>
        <v>455</v>
      </c>
      <c r="B456">
        <v>8</v>
      </c>
      <c r="C456">
        <v>6000</v>
      </c>
      <c r="D456">
        <v>6095</v>
      </c>
      <c r="E456" s="5">
        <f t="shared" si="36"/>
        <v>95</v>
      </c>
      <c r="F456" s="5">
        <f t="shared" si="37"/>
        <v>9025</v>
      </c>
      <c r="G456" s="6">
        <f>SQRT(SUM($F$2:F456)/A456)</f>
        <v>1013.4085851420248</v>
      </c>
      <c r="H456" s="5">
        <f t="shared" si="38"/>
        <v>1</v>
      </c>
      <c r="I456" s="5">
        <f t="shared" si="39"/>
        <v>1</v>
      </c>
    </row>
    <row r="457" spans="1:9">
      <c r="A457">
        <f t="shared" si="40"/>
        <v>456</v>
      </c>
      <c r="B457">
        <v>8</v>
      </c>
      <c r="C457">
        <v>6000</v>
      </c>
      <c r="D457">
        <v>6492</v>
      </c>
      <c r="E457" s="5">
        <f t="shared" si="36"/>
        <v>492</v>
      </c>
      <c r="F457" s="5">
        <f t="shared" si="37"/>
        <v>242064</v>
      </c>
      <c r="G457" s="6">
        <f>SQRT(SUM($F$2:F457)/A457)</f>
        <v>1012.5589445696829</v>
      </c>
      <c r="H457" s="5">
        <f t="shared" si="38"/>
        <v>1</v>
      </c>
      <c r="I457" s="5">
        <f t="shared" si="39"/>
        <v>1</v>
      </c>
    </row>
    <row r="458" spans="1:9">
      <c r="A458">
        <f t="shared" si="40"/>
        <v>457</v>
      </c>
      <c r="B458">
        <v>8</v>
      </c>
      <c r="C458">
        <v>6000</v>
      </c>
      <c r="D458">
        <v>6054</v>
      </c>
      <c r="E458" s="5">
        <f t="shared" si="36"/>
        <v>54</v>
      </c>
      <c r="F458" s="5">
        <f t="shared" si="37"/>
        <v>2916</v>
      </c>
      <c r="G458" s="6">
        <f>SQRT(SUM($F$2:F458)/A458)</f>
        <v>1011.4536595763839</v>
      </c>
      <c r="H458" s="5">
        <f t="shared" si="38"/>
        <v>1</v>
      </c>
      <c r="I458" s="5">
        <f t="shared" si="39"/>
        <v>1</v>
      </c>
    </row>
    <row r="459" spans="1:9">
      <c r="A459">
        <f t="shared" si="40"/>
        <v>458</v>
      </c>
      <c r="B459">
        <v>8</v>
      </c>
      <c r="C459">
        <v>6000</v>
      </c>
      <c r="D459">
        <v>5642</v>
      </c>
      <c r="E459" s="5">
        <f t="shared" si="36"/>
        <v>358</v>
      </c>
      <c r="F459" s="5">
        <f t="shared" si="37"/>
        <v>128164</v>
      </c>
      <c r="G459" s="6">
        <f>SQRT(SUM($F$2:F459)/A459)</f>
        <v>1010.4873235248263</v>
      </c>
      <c r="H459" s="5">
        <f t="shared" si="38"/>
        <v>1</v>
      </c>
      <c r="I459" s="5">
        <f t="shared" si="39"/>
        <v>1</v>
      </c>
    </row>
    <row r="460" spans="1:9">
      <c r="A460">
        <f t="shared" si="40"/>
        <v>459</v>
      </c>
      <c r="B460">
        <v>9</v>
      </c>
      <c r="C460">
        <v>6000</v>
      </c>
      <c r="D460">
        <v>6104</v>
      </c>
      <c r="E460" s="5">
        <f t="shared" si="36"/>
        <v>104</v>
      </c>
      <c r="F460" s="5">
        <f t="shared" si="37"/>
        <v>10816</v>
      </c>
      <c r="G460" s="6">
        <f>SQRT(SUM($F$2:F460)/A460)</f>
        <v>1009.3976471251489</v>
      </c>
      <c r="H460" s="5">
        <f t="shared" si="38"/>
        <v>1</v>
      </c>
      <c r="I460" s="5">
        <f t="shared" si="39"/>
        <v>1</v>
      </c>
    </row>
    <row r="461" spans="1:9">
      <c r="A461">
        <f t="shared" si="40"/>
        <v>460</v>
      </c>
      <c r="B461">
        <v>8</v>
      </c>
      <c r="C461">
        <v>6000</v>
      </c>
      <c r="D461">
        <v>5126</v>
      </c>
      <c r="E461" s="5">
        <f t="shared" si="36"/>
        <v>874</v>
      </c>
      <c r="F461" s="5">
        <f t="shared" si="37"/>
        <v>763876</v>
      </c>
      <c r="G461" s="6">
        <f>SQRT(SUM($F$2:F461)/A461)</f>
        <v>1009.1230081868979</v>
      </c>
      <c r="H461" s="5">
        <f t="shared" si="38"/>
        <v>1</v>
      </c>
      <c r="I461" s="5">
        <f t="shared" si="39"/>
        <v>0</v>
      </c>
    </row>
    <row r="462" spans="1:9">
      <c r="A462">
        <f t="shared" si="40"/>
        <v>461</v>
      </c>
      <c r="B462">
        <v>9</v>
      </c>
      <c r="C462">
        <v>6000</v>
      </c>
      <c r="D462">
        <v>5900</v>
      </c>
      <c r="E462" s="5">
        <f t="shared" si="36"/>
        <v>100</v>
      </c>
      <c r="F462" s="5">
        <f t="shared" si="37"/>
        <v>10000</v>
      </c>
      <c r="G462" s="6">
        <f>SQRT(SUM($F$2:F462)/A462)</f>
        <v>1008.0386800501375</v>
      </c>
      <c r="H462" s="5">
        <f t="shared" si="38"/>
        <v>1</v>
      </c>
      <c r="I462" s="5">
        <f t="shared" si="39"/>
        <v>1</v>
      </c>
    </row>
    <row r="463" spans="1:9">
      <c r="A463">
        <f t="shared" si="40"/>
        <v>462</v>
      </c>
      <c r="B463">
        <v>9</v>
      </c>
      <c r="C463">
        <v>6000</v>
      </c>
      <c r="D463">
        <v>5258</v>
      </c>
      <c r="E463" s="5">
        <f t="shared" si="36"/>
        <v>742</v>
      </c>
      <c r="F463" s="5">
        <f t="shared" si="37"/>
        <v>550564</v>
      </c>
      <c r="G463" s="6">
        <f>SQRT(SUM($F$2:F463)/A463)</f>
        <v>1007.5387019518089</v>
      </c>
      <c r="H463" s="5">
        <f t="shared" si="38"/>
        <v>1</v>
      </c>
      <c r="I463" s="5">
        <f t="shared" si="39"/>
        <v>0</v>
      </c>
    </row>
    <row r="464" spans="1:9">
      <c r="A464">
        <f t="shared" si="40"/>
        <v>463</v>
      </c>
      <c r="B464">
        <v>10</v>
      </c>
      <c r="C464">
        <v>6000</v>
      </c>
      <c r="D464">
        <v>7038</v>
      </c>
      <c r="E464" s="5">
        <f t="shared" si="36"/>
        <v>1038</v>
      </c>
      <c r="F464" s="5">
        <f t="shared" si="37"/>
        <v>1077444</v>
      </c>
      <c r="G464" s="6">
        <f>SQRT(SUM($F$2:F464)/A464)</f>
        <v>1007.6054854231688</v>
      </c>
      <c r="H464" s="5">
        <f t="shared" si="38"/>
        <v>1</v>
      </c>
      <c r="I464" s="5">
        <f t="shared" si="39"/>
        <v>0</v>
      </c>
    </row>
    <row r="465" spans="1:9">
      <c r="A465">
        <f t="shared" si="40"/>
        <v>464</v>
      </c>
      <c r="B465">
        <v>7</v>
      </c>
      <c r="C465">
        <v>6000</v>
      </c>
      <c r="D465">
        <v>4183</v>
      </c>
      <c r="E465" s="5">
        <f t="shared" si="36"/>
        <v>1817</v>
      </c>
      <c r="F465" s="5">
        <f t="shared" si="37"/>
        <v>3301489</v>
      </c>
      <c r="G465" s="6">
        <f>SQRT(SUM($F$2:F465)/A465)</f>
        <v>1010.0475300356089</v>
      </c>
      <c r="H465" s="5">
        <f t="shared" si="38"/>
        <v>0</v>
      </c>
      <c r="I465" s="5">
        <f t="shared" si="39"/>
        <v>0</v>
      </c>
    </row>
    <row r="466" spans="1:9">
      <c r="A466">
        <f t="shared" si="40"/>
        <v>465</v>
      </c>
      <c r="B466">
        <v>11</v>
      </c>
      <c r="C466">
        <v>6000</v>
      </c>
      <c r="D466">
        <v>5330</v>
      </c>
      <c r="E466" s="5">
        <f t="shared" si="36"/>
        <v>670</v>
      </c>
      <c r="F466" s="5">
        <f t="shared" si="37"/>
        <v>448900</v>
      </c>
      <c r="G466" s="6">
        <f>SQRT(SUM($F$2:F466)/A466)</f>
        <v>1009.4391607991234</v>
      </c>
      <c r="H466" s="5">
        <f t="shared" si="38"/>
        <v>1</v>
      </c>
      <c r="I466" s="5">
        <f t="shared" si="39"/>
        <v>0</v>
      </c>
    </row>
    <row r="467" spans="1:9">
      <c r="A467">
        <f t="shared" si="40"/>
        <v>466</v>
      </c>
      <c r="B467">
        <v>10</v>
      </c>
      <c r="C467">
        <v>6000</v>
      </c>
      <c r="D467">
        <v>4260</v>
      </c>
      <c r="E467" s="5">
        <f t="shared" si="36"/>
        <v>1740</v>
      </c>
      <c r="F467" s="5">
        <f t="shared" si="37"/>
        <v>3027600</v>
      </c>
      <c r="G467" s="6">
        <f>SQRT(SUM($F$2:F467)/A467)</f>
        <v>1011.5719399526515</v>
      </c>
      <c r="H467" s="5">
        <f t="shared" si="38"/>
        <v>0</v>
      </c>
      <c r="I467" s="5">
        <f t="shared" si="39"/>
        <v>0</v>
      </c>
    </row>
    <row r="468" spans="1:9">
      <c r="A468">
        <f t="shared" si="40"/>
        <v>467</v>
      </c>
      <c r="B468">
        <v>11</v>
      </c>
      <c r="C468">
        <v>6000</v>
      </c>
      <c r="D468">
        <v>6162</v>
      </c>
      <c r="E468" s="5">
        <f t="shared" si="36"/>
        <v>162</v>
      </c>
      <c r="F468" s="5">
        <f t="shared" si="37"/>
        <v>26244</v>
      </c>
      <c r="G468" s="6">
        <f>SQRT(SUM($F$2:F468)/A468)</f>
        <v>1010.5161125407634</v>
      </c>
      <c r="H468" s="5">
        <f t="shared" si="38"/>
        <v>1</v>
      </c>
      <c r="I468" s="5">
        <f t="shared" si="39"/>
        <v>1</v>
      </c>
    </row>
    <row r="469" spans="1:9">
      <c r="A469">
        <f t="shared" si="40"/>
        <v>468</v>
      </c>
      <c r="B469">
        <v>9</v>
      </c>
      <c r="C469">
        <v>6000</v>
      </c>
      <c r="D469">
        <v>5440</v>
      </c>
      <c r="E469" s="5">
        <f t="shared" si="36"/>
        <v>560</v>
      </c>
      <c r="F469" s="5">
        <f t="shared" si="37"/>
        <v>313600</v>
      </c>
      <c r="G469" s="6">
        <f>SQRT(SUM($F$2:F469)/A469)</f>
        <v>1009.7677802769655</v>
      </c>
      <c r="H469" s="5">
        <f t="shared" si="38"/>
        <v>1</v>
      </c>
      <c r="I469" s="5">
        <f t="shared" si="39"/>
        <v>1</v>
      </c>
    </row>
    <row r="470" spans="1:9">
      <c r="A470">
        <f t="shared" si="40"/>
        <v>469</v>
      </c>
      <c r="B470">
        <v>10</v>
      </c>
      <c r="C470">
        <v>6000</v>
      </c>
      <c r="D470">
        <v>6148</v>
      </c>
      <c r="E470" s="5">
        <f t="shared" si="36"/>
        <v>148</v>
      </c>
      <c r="F470" s="5">
        <f t="shared" si="37"/>
        <v>21904</v>
      </c>
      <c r="G470" s="6">
        <f>SQRT(SUM($F$2:F470)/A470)</f>
        <v>1008.7138446899017</v>
      </c>
      <c r="H470" s="5">
        <f t="shared" si="38"/>
        <v>1</v>
      </c>
      <c r="I470" s="5">
        <f t="shared" si="39"/>
        <v>1</v>
      </c>
    </row>
    <row r="471" spans="1:9">
      <c r="A471">
        <f t="shared" si="40"/>
        <v>470</v>
      </c>
      <c r="B471">
        <v>10</v>
      </c>
      <c r="C471">
        <v>6000</v>
      </c>
      <c r="D471">
        <v>6420</v>
      </c>
      <c r="E471" s="5">
        <f t="shared" si="36"/>
        <v>420</v>
      </c>
      <c r="F471" s="5">
        <f t="shared" si="37"/>
        <v>176400</v>
      </c>
      <c r="G471" s="6">
        <f>SQRT(SUM($F$2:F471)/A471)</f>
        <v>1007.8263929357438</v>
      </c>
      <c r="H471" s="5">
        <f t="shared" si="38"/>
        <v>1</v>
      </c>
      <c r="I471" s="5">
        <f t="shared" si="39"/>
        <v>1</v>
      </c>
    </row>
    <row r="472" spans="1:9">
      <c r="A472">
        <f t="shared" si="40"/>
        <v>471</v>
      </c>
      <c r="B472">
        <v>9</v>
      </c>
      <c r="C472">
        <v>6000</v>
      </c>
      <c r="D472">
        <v>6082</v>
      </c>
      <c r="E472" s="5">
        <f t="shared" si="36"/>
        <v>82</v>
      </c>
      <c r="F472" s="5">
        <f t="shared" si="37"/>
        <v>6724</v>
      </c>
      <c r="G472" s="6">
        <f>SQRT(SUM($F$2:F472)/A472)</f>
        <v>1006.7630351364701</v>
      </c>
      <c r="H472" s="5">
        <f t="shared" si="38"/>
        <v>1</v>
      </c>
      <c r="I472" s="5">
        <f t="shared" si="39"/>
        <v>1</v>
      </c>
    </row>
    <row r="473" spans="1:9">
      <c r="A473">
        <f t="shared" si="40"/>
        <v>472</v>
      </c>
      <c r="B473">
        <v>10</v>
      </c>
      <c r="C473">
        <v>6000</v>
      </c>
      <c r="D473">
        <v>6861</v>
      </c>
      <c r="E473" s="5">
        <f t="shared" si="36"/>
        <v>861</v>
      </c>
      <c r="F473" s="5">
        <f t="shared" si="37"/>
        <v>741321</v>
      </c>
      <c r="G473" s="6">
        <f>SQRT(SUM($F$2:F473)/A473)</f>
        <v>1006.4765304546014</v>
      </c>
      <c r="H473" s="5">
        <f t="shared" si="38"/>
        <v>1</v>
      </c>
      <c r="I473" s="5">
        <f t="shared" si="39"/>
        <v>0</v>
      </c>
    </row>
    <row r="474" spans="1:9">
      <c r="A474">
        <f t="shared" si="40"/>
        <v>473</v>
      </c>
      <c r="B474">
        <v>9</v>
      </c>
      <c r="C474">
        <v>6000</v>
      </c>
      <c r="D474">
        <v>6570</v>
      </c>
      <c r="E474" s="5">
        <f t="shared" si="36"/>
        <v>570</v>
      </c>
      <c r="F474" s="5">
        <f t="shared" si="37"/>
        <v>324900</v>
      </c>
      <c r="G474" s="6">
        <f>SQRT(SUM($F$2:F474)/A474)</f>
        <v>1005.7535781901466</v>
      </c>
      <c r="H474" s="5">
        <f t="shared" si="38"/>
        <v>1</v>
      </c>
      <c r="I474" s="5">
        <f t="shared" si="39"/>
        <v>1</v>
      </c>
    </row>
    <row r="475" spans="1:9">
      <c r="A475">
        <f t="shared" si="40"/>
        <v>474</v>
      </c>
      <c r="B475">
        <v>9</v>
      </c>
      <c r="C475">
        <v>6000</v>
      </c>
      <c r="D475">
        <v>6035</v>
      </c>
      <c r="E475" s="5">
        <f t="shared" si="36"/>
        <v>35</v>
      </c>
      <c r="F475" s="5">
        <f t="shared" si="37"/>
        <v>1225</v>
      </c>
      <c r="G475" s="6">
        <f>SQRT(SUM($F$2:F475)/A475)</f>
        <v>1004.69338270387</v>
      </c>
      <c r="H475" s="5">
        <f t="shared" si="38"/>
        <v>1</v>
      </c>
      <c r="I475" s="5">
        <f t="shared" si="39"/>
        <v>1</v>
      </c>
    </row>
    <row r="476" spans="1:9">
      <c r="A476">
        <f t="shared" si="40"/>
        <v>475</v>
      </c>
      <c r="B476">
        <v>9</v>
      </c>
      <c r="C476">
        <v>6000</v>
      </c>
      <c r="D476">
        <v>5963</v>
      </c>
      <c r="E476" s="5">
        <f t="shared" si="36"/>
        <v>37</v>
      </c>
      <c r="F476" s="5">
        <f t="shared" si="37"/>
        <v>1369</v>
      </c>
      <c r="G476" s="6">
        <f>SQRT(SUM($F$2:F476)/A476)</f>
        <v>1003.6366893505469</v>
      </c>
      <c r="H476" s="5">
        <f t="shared" si="38"/>
        <v>1</v>
      </c>
      <c r="I476" s="5">
        <f t="shared" si="39"/>
        <v>1</v>
      </c>
    </row>
    <row r="477" spans="1:9">
      <c r="A477">
        <f t="shared" si="40"/>
        <v>476</v>
      </c>
      <c r="B477">
        <v>9</v>
      </c>
      <c r="C477">
        <v>6000</v>
      </c>
      <c r="D477">
        <v>7009</v>
      </c>
      <c r="E477" s="5">
        <f t="shared" si="36"/>
        <v>1009</v>
      </c>
      <c r="F477" s="5">
        <f t="shared" si="37"/>
        <v>1018081</v>
      </c>
      <c r="G477" s="6">
        <f>SQRT(SUM($F$2:F477)/A477)</f>
        <v>1003.6479868522654</v>
      </c>
      <c r="H477" s="5">
        <f t="shared" si="38"/>
        <v>1</v>
      </c>
      <c r="I477" s="5">
        <f t="shared" si="39"/>
        <v>0</v>
      </c>
    </row>
    <row r="478" spans="1:9">
      <c r="A478">
        <f t="shared" si="40"/>
        <v>477</v>
      </c>
      <c r="B478">
        <v>8</v>
      </c>
      <c r="C478">
        <v>6000</v>
      </c>
      <c r="D478">
        <v>6033</v>
      </c>
      <c r="E478" s="5">
        <f t="shared" si="36"/>
        <v>33</v>
      </c>
      <c r="F478" s="5">
        <f t="shared" si="37"/>
        <v>1089</v>
      </c>
      <c r="G478" s="6">
        <f>SQRT(SUM($F$2:F478)/A478)</f>
        <v>1002.596531527736</v>
      </c>
      <c r="H478" s="5">
        <f t="shared" si="38"/>
        <v>1</v>
      </c>
      <c r="I478" s="5">
        <f t="shared" si="39"/>
        <v>1</v>
      </c>
    </row>
    <row r="479" spans="1:9">
      <c r="A479">
        <f t="shared" si="40"/>
        <v>478</v>
      </c>
      <c r="B479">
        <v>9</v>
      </c>
      <c r="C479">
        <v>6000</v>
      </c>
      <c r="D479">
        <v>6859</v>
      </c>
      <c r="E479" s="5">
        <f t="shared" si="36"/>
        <v>859</v>
      </c>
      <c r="F479" s="5">
        <f t="shared" si="37"/>
        <v>737881</v>
      </c>
      <c r="G479" s="6">
        <f>SQRT(SUM($F$2:F479)/A479)</f>
        <v>1002.3175947121032</v>
      </c>
      <c r="H479" s="5">
        <f t="shared" si="38"/>
        <v>1</v>
      </c>
      <c r="I479" s="5">
        <f t="shared" si="39"/>
        <v>0</v>
      </c>
    </row>
    <row r="480" spans="1:9">
      <c r="A480">
        <f t="shared" si="40"/>
        <v>479</v>
      </c>
      <c r="B480">
        <v>8</v>
      </c>
      <c r="C480">
        <v>6000</v>
      </c>
      <c r="D480">
        <v>5937</v>
      </c>
      <c r="E480" s="5">
        <f t="shared" si="36"/>
        <v>63</v>
      </c>
      <c r="F480" s="5">
        <f t="shared" si="37"/>
        <v>3969</v>
      </c>
      <c r="G480" s="6">
        <f>SQRT(SUM($F$2:F480)/A480)</f>
        <v>1001.2749252785917</v>
      </c>
      <c r="H480" s="5">
        <f t="shared" si="38"/>
        <v>1</v>
      </c>
      <c r="I480" s="5">
        <f t="shared" si="39"/>
        <v>1</v>
      </c>
    </row>
    <row r="481" spans="1:9">
      <c r="A481">
        <f t="shared" si="40"/>
        <v>480</v>
      </c>
      <c r="B481">
        <v>9</v>
      </c>
      <c r="C481">
        <v>6000</v>
      </c>
      <c r="D481">
        <v>6308</v>
      </c>
      <c r="E481" s="5">
        <f t="shared" si="36"/>
        <v>308</v>
      </c>
      <c r="F481" s="5">
        <f t="shared" si="37"/>
        <v>94864</v>
      </c>
      <c r="G481" s="6">
        <f>SQRT(SUM($F$2:F481)/A481)</f>
        <v>1000.3301757003368</v>
      </c>
      <c r="H481" s="5">
        <f t="shared" si="38"/>
        <v>1</v>
      </c>
      <c r="I481" s="5">
        <f t="shared" si="39"/>
        <v>1</v>
      </c>
    </row>
    <row r="482" spans="1:9">
      <c r="A482">
        <f t="shared" si="40"/>
        <v>481</v>
      </c>
      <c r="B482">
        <v>8</v>
      </c>
      <c r="C482">
        <v>6000</v>
      </c>
      <c r="D482">
        <v>5771</v>
      </c>
      <c r="E482" s="5">
        <f t="shared" si="36"/>
        <v>229</v>
      </c>
      <c r="F482" s="5">
        <f t="shared" si="37"/>
        <v>52441</v>
      </c>
      <c r="G482" s="6">
        <f>SQRT(SUM($F$2:F482)/A482)</f>
        <v>999.34434014863473</v>
      </c>
      <c r="H482" s="5">
        <f t="shared" si="38"/>
        <v>1</v>
      </c>
      <c r="I482" s="5">
        <f t="shared" si="39"/>
        <v>1</v>
      </c>
    </row>
    <row r="483" spans="1:9">
      <c r="A483">
        <f t="shared" si="40"/>
        <v>482</v>
      </c>
      <c r="B483">
        <v>9</v>
      </c>
      <c r="C483">
        <v>6000</v>
      </c>
      <c r="D483">
        <v>6055</v>
      </c>
      <c r="E483" s="5">
        <f t="shared" si="36"/>
        <v>55</v>
      </c>
      <c r="F483" s="5">
        <f t="shared" si="37"/>
        <v>3025</v>
      </c>
      <c r="G483" s="6">
        <f>SQRT(SUM($F$2:F483)/A483)</f>
        <v>998.3102809309579</v>
      </c>
      <c r="H483" s="5">
        <f t="shared" si="38"/>
        <v>1</v>
      </c>
      <c r="I483" s="5">
        <f t="shared" si="39"/>
        <v>1</v>
      </c>
    </row>
    <row r="484" spans="1:9">
      <c r="A484">
        <f t="shared" si="40"/>
        <v>483</v>
      </c>
      <c r="B484">
        <v>9</v>
      </c>
      <c r="C484">
        <v>6000</v>
      </c>
      <c r="D484">
        <v>6553</v>
      </c>
      <c r="E484" s="5">
        <f t="shared" si="36"/>
        <v>553</v>
      </c>
      <c r="F484" s="5">
        <f t="shared" si="37"/>
        <v>305809</v>
      </c>
      <c r="G484" s="6">
        <f>SQRT(SUM($F$2:F484)/A484)</f>
        <v>997.59368453308173</v>
      </c>
      <c r="H484" s="5">
        <f t="shared" si="38"/>
        <v>1</v>
      </c>
      <c r="I484" s="5">
        <f t="shared" si="39"/>
        <v>1</v>
      </c>
    </row>
    <row r="485" spans="1:9">
      <c r="A485">
        <f t="shared" si="40"/>
        <v>484</v>
      </c>
      <c r="B485">
        <v>8</v>
      </c>
      <c r="C485">
        <v>6000</v>
      </c>
      <c r="D485">
        <v>6755</v>
      </c>
      <c r="E485" s="5">
        <f t="shared" si="36"/>
        <v>755</v>
      </c>
      <c r="F485" s="5">
        <f t="shared" si="37"/>
        <v>570025</v>
      </c>
      <c r="G485" s="6">
        <f>SQRT(SUM($F$2:F485)/A485)</f>
        <v>997.15330456751599</v>
      </c>
      <c r="H485" s="5">
        <f t="shared" si="38"/>
        <v>1</v>
      </c>
      <c r="I485" s="5">
        <f t="shared" si="39"/>
        <v>0</v>
      </c>
    </row>
    <row r="486" spans="1:9">
      <c r="A486">
        <f t="shared" si="40"/>
        <v>485</v>
      </c>
      <c r="B486">
        <v>8</v>
      </c>
      <c r="C486">
        <v>6000</v>
      </c>
      <c r="D486">
        <v>5941</v>
      </c>
      <c r="E486" s="5">
        <f t="shared" si="36"/>
        <v>59</v>
      </c>
      <c r="F486" s="5">
        <f t="shared" si="37"/>
        <v>3481</v>
      </c>
      <c r="G486" s="6">
        <f>SQRT(SUM($F$2:F486)/A486)</f>
        <v>996.12838364391109</v>
      </c>
      <c r="H486" s="5">
        <f t="shared" si="38"/>
        <v>1</v>
      </c>
      <c r="I486" s="5">
        <f t="shared" si="39"/>
        <v>1</v>
      </c>
    </row>
    <row r="487" spans="1:9">
      <c r="A487">
        <f t="shared" si="40"/>
        <v>486</v>
      </c>
      <c r="B487">
        <v>8</v>
      </c>
      <c r="C487">
        <v>6000</v>
      </c>
      <c r="D487">
        <v>7428</v>
      </c>
      <c r="E487" s="5">
        <f t="shared" si="36"/>
        <v>1428</v>
      </c>
      <c r="F487" s="5">
        <f t="shared" si="37"/>
        <v>2039184</v>
      </c>
      <c r="G487" s="6">
        <f>SQRT(SUM($F$2:F487)/A487)</f>
        <v>997.20905386951915</v>
      </c>
      <c r="H487" s="5">
        <f t="shared" si="38"/>
        <v>0</v>
      </c>
      <c r="I487" s="5">
        <f t="shared" si="39"/>
        <v>0</v>
      </c>
    </row>
    <row r="488" spans="1:9">
      <c r="A488">
        <f t="shared" si="40"/>
        <v>487</v>
      </c>
      <c r="B488">
        <v>7</v>
      </c>
      <c r="C488">
        <v>6000</v>
      </c>
      <c r="D488">
        <v>4289</v>
      </c>
      <c r="E488" s="5">
        <f t="shared" si="36"/>
        <v>1711</v>
      </c>
      <c r="F488" s="5">
        <f t="shared" si="37"/>
        <v>2927521</v>
      </c>
      <c r="G488" s="6">
        <f>SQRT(SUM($F$2:F488)/A488)</f>
        <v>999.1973236458897</v>
      </c>
      <c r="H488" s="5">
        <f t="shared" si="38"/>
        <v>0</v>
      </c>
      <c r="I488" s="5">
        <f t="shared" si="39"/>
        <v>0</v>
      </c>
    </row>
    <row r="489" spans="1:9">
      <c r="A489">
        <f t="shared" si="40"/>
        <v>488</v>
      </c>
      <c r="B489">
        <v>10</v>
      </c>
      <c r="C489">
        <v>6000</v>
      </c>
      <c r="D489">
        <v>6237</v>
      </c>
      <c r="E489" s="5">
        <f t="shared" si="36"/>
        <v>237</v>
      </c>
      <c r="F489" s="5">
        <f t="shared" si="37"/>
        <v>56169</v>
      </c>
      <c r="G489" s="6">
        <f>SQRT(SUM($F$2:F489)/A489)</f>
        <v>998.2306847617939</v>
      </c>
      <c r="H489" s="5">
        <f t="shared" si="38"/>
        <v>1</v>
      </c>
      <c r="I489" s="5">
        <f t="shared" si="39"/>
        <v>1</v>
      </c>
    </row>
    <row r="490" spans="1:9">
      <c r="A490">
        <f t="shared" si="40"/>
        <v>489</v>
      </c>
      <c r="B490">
        <v>8</v>
      </c>
      <c r="C490">
        <v>6000</v>
      </c>
      <c r="D490">
        <v>5232</v>
      </c>
      <c r="E490" s="5">
        <f t="shared" si="36"/>
        <v>768</v>
      </c>
      <c r="F490" s="5">
        <f t="shared" si="37"/>
        <v>589824</v>
      </c>
      <c r="G490" s="6">
        <f>SQRT(SUM($F$2:F490)/A490)</f>
        <v>997.8140730293286</v>
      </c>
      <c r="H490" s="5">
        <f t="shared" si="38"/>
        <v>1</v>
      </c>
      <c r="I490" s="5">
        <f t="shared" si="39"/>
        <v>0</v>
      </c>
    </row>
    <row r="491" spans="1:9">
      <c r="A491">
        <f t="shared" si="40"/>
        <v>490</v>
      </c>
      <c r="B491">
        <v>9</v>
      </c>
      <c r="C491">
        <v>6000</v>
      </c>
      <c r="D491">
        <v>5625</v>
      </c>
      <c r="E491" s="5">
        <f t="shared" si="36"/>
        <v>375</v>
      </c>
      <c r="F491" s="5">
        <f t="shared" si="37"/>
        <v>140625</v>
      </c>
      <c r="G491" s="6">
        <f>SQRT(SUM($F$2:F491)/A491)</f>
        <v>996.93932122475826</v>
      </c>
      <c r="H491" s="5">
        <f t="shared" si="38"/>
        <v>1</v>
      </c>
      <c r="I491" s="5">
        <f t="shared" si="39"/>
        <v>1</v>
      </c>
    </row>
    <row r="492" spans="1:9">
      <c r="A492">
        <f t="shared" si="40"/>
        <v>491</v>
      </c>
      <c r="B492">
        <v>9</v>
      </c>
      <c r="C492">
        <v>6000</v>
      </c>
      <c r="D492">
        <v>5987</v>
      </c>
      <c r="E492" s="5">
        <f t="shared" si="36"/>
        <v>13</v>
      </c>
      <c r="F492" s="5">
        <f t="shared" si="37"/>
        <v>169</v>
      </c>
      <c r="G492" s="6">
        <f>SQRT(SUM($F$2:F492)/A492)</f>
        <v>995.92376343081173</v>
      </c>
      <c r="H492" s="5">
        <f t="shared" si="38"/>
        <v>1</v>
      </c>
      <c r="I492" s="5">
        <f t="shared" si="39"/>
        <v>1</v>
      </c>
    </row>
    <row r="493" spans="1:9">
      <c r="A493">
        <f t="shared" si="40"/>
        <v>492</v>
      </c>
      <c r="B493">
        <v>9</v>
      </c>
      <c r="C493">
        <v>6000</v>
      </c>
      <c r="D493">
        <v>5922</v>
      </c>
      <c r="E493" s="5">
        <f t="shared" si="36"/>
        <v>78</v>
      </c>
      <c r="F493" s="5">
        <f t="shared" si="37"/>
        <v>6084</v>
      </c>
      <c r="G493" s="6">
        <f>SQRT(SUM($F$2:F493)/A493)</f>
        <v>994.91734550677324</v>
      </c>
      <c r="H493" s="5">
        <f t="shared" si="38"/>
        <v>1</v>
      </c>
      <c r="I493" s="5">
        <f t="shared" si="39"/>
        <v>1</v>
      </c>
    </row>
    <row r="494" spans="1:9">
      <c r="A494">
        <f t="shared" si="40"/>
        <v>493</v>
      </c>
      <c r="B494">
        <v>9</v>
      </c>
      <c r="C494">
        <v>6000</v>
      </c>
      <c r="D494">
        <v>5398</v>
      </c>
      <c r="E494" s="5">
        <f t="shared" si="36"/>
        <v>602</v>
      </c>
      <c r="F494" s="5">
        <f t="shared" si="37"/>
        <v>362404</v>
      </c>
      <c r="G494" s="6">
        <f>SQRT(SUM($F$2:F494)/A494)</f>
        <v>994.27752318125351</v>
      </c>
      <c r="H494" s="5">
        <f t="shared" si="38"/>
        <v>1</v>
      </c>
      <c r="I494" s="5">
        <f t="shared" si="39"/>
        <v>0</v>
      </c>
    </row>
    <row r="495" spans="1:9">
      <c r="A495">
        <f t="shared" si="40"/>
        <v>494</v>
      </c>
      <c r="B495">
        <v>9</v>
      </c>
      <c r="C495">
        <v>6000</v>
      </c>
      <c r="D495">
        <v>5621</v>
      </c>
      <c r="E495" s="5">
        <f t="shared" si="36"/>
        <v>379</v>
      </c>
      <c r="F495" s="5">
        <f t="shared" si="37"/>
        <v>143641</v>
      </c>
      <c r="G495" s="6">
        <f>SQRT(SUM($F$2:F495)/A495)</f>
        <v>993.41701943037356</v>
      </c>
      <c r="H495" s="5">
        <f t="shared" si="38"/>
        <v>1</v>
      </c>
      <c r="I495" s="5">
        <f t="shared" si="39"/>
        <v>1</v>
      </c>
    </row>
    <row r="496" spans="1:9">
      <c r="A496">
        <f t="shared" si="40"/>
        <v>495</v>
      </c>
      <c r="B496">
        <v>9</v>
      </c>
      <c r="C496">
        <v>6000</v>
      </c>
      <c r="D496">
        <v>6685</v>
      </c>
      <c r="E496" s="5">
        <f t="shared" si="36"/>
        <v>685</v>
      </c>
      <c r="F496" s="5">
        <f t="shared" si="37"/>
        <v>469225</v>
      </c>
      <c r="G496" s="6">
        <f>SQRT(SUM($F$2:F496)/A496)</f>
        <v>992.890533805823</v>
      </c>
      <c r="H496" s="5">
        <f t="shared" si="38"/>
        <v>1</v>
      </c>
      <c r="I496" s="5">
        <f t="shared" si="39"/>
        <v>0</v>
      </c>
    </row>
    <row r="497" spans="1:9">
      <c r="A497">
        <f t="shared" si="40"/>
        <v>496</v>
      </c>
      <c r="B497">
        <v>8</v>
      </c>
      <c r="C497">
        <v>6000</v>
      </c>
      <c r="D497">
        <v>6117</v>
      </c>
      <c r="E497" s="5">
        <f t="shared" si="36"/>
        <v>117</v>
      </c>
      <c r="F497" s="5">
        <f t="shared" si="37"/>
        <v>13689</v>
      </c>
      <c r="G497" s="6">
        <f>SQRT(SUM($F$2:F497)/A497)</f>
        <v>991.90304323427665</v>
      </c>
      <c r="H497" s="5">
        <f t="shared" si="38"/>
        <v>1</v>
      </c>
      <c r="I497" s="5">
        <f t="shared" si="39"/>
        <v>1</v>
      </c>
    </row>
    <row r="498" spans="1:9">
      <c r="A498">
        <f t="shared" si="40"/>
        <v>497</v>
      </c>
      <c r="B498">
        <v>9</v>
      </c>
      <c r="C498">
        <v>6000</v>
      </c>
      <c r="D498">
        <v>6407</v>
      </c>
      <c r="E498" s="5">
        <f t="shared" si="36"/>
        <v>407</v>
      </c>
      <c r="F498" s="5">
        <f t="shared" si="37"/>
        <v>165649</v>
      </c>
      <c r="G498" s="6">
        <f>SQRT(SUM($F$2:F498)/A498)</f>
        <v>991.07281465271865</v>
      </c>
      <c r="H498" s="5">
        <f t="shared" si="38"/>
        <v>1</v>
      </c>
      <c r="I498" s="5">
        <f t="shared" si="39"/>
        <v>1</v>
      </c>
    </row>
    <row r="499" spans="1:9">
      <c r="A499">
        <f t="shared" si="40"/>
        <v>498</v>
      </c>
      <c r="B499">
        <v>8</v>
      </c>
      <c r="C499">
        <v>6000</v>
      </c>
      <c r="D499">
        <v>6304</v>
      </c>
      <c r="E499" s="5">
        <f t="shared" si="36"/>
        <v>304</v>
      </c>
      <c r="F499" s="5">
        <f t="shared" si="37"/>
        <v>92416</v>
      </c>
      <c r="G499" s="6">
        <f>SQRT(SUM($F$2:F499)/A499)</f>
        <v>990.17097424279802</v>
      </c>
      <c r="H499" s="5">
        <f t="shared" si="38"/>
        <v>1</v>
      </c>
      <c r="I499" s="5">
        <f t="shared" si="39"/>
        <v>1</v>
      </c>
    </row>
    <row r="500" spans="1:9">
      <c r="A500">
        <f t="shared" si="40"/>
        <v>499</v>
      </c>
      <c r="B500">
        <v>8</v>
      </c>
      <c r="C500">
        <v>6000</v>
      </c>
      <c r="D500">
        <v>5650</v>
      </c>
      <c r="E500" s="5">
        <f t="shared" si="36"/>
        <v>350</v>
      </c>
      <c r="F500" s="5">
        <f t="shared" si="37"/>
        <v>122500</v>
      </c>
      <c r="G500" s="6">
        <f>SQRT(SUM($F$2:F500)/A500)</f>
        <v>989.30240194036219</v>
      </c>
      <c r="H500" s="5">
        <f t="shared" si="38"/>
        <v>1</v>
      </c>
      <c r="I500" s="5">
        <f t="shared" si="39"/>
        <v>1</v>
      </c>
    </row>
    <row r="501" spans="1:9">
      <c r="A501">
        <f t="shared" si="40"/>
        <v>500</v>
      </c>
      <c r="B501">
        <v>9</v>
      </c>
      <c r="C501">
        <v>6000</v>
      </c>
      <c r="D501">
        <v>6732</v>
      </c>
      <c r="E501" s="5">
        <f t="shared" si="36"/>
        <v>732</v>
      </c>
      <c r="F501" s="5">
        <f t="shared" si="37"/>
        <v>535824</v>
      </c>
      <c r="G501" s="6">
        <f>SQRT(SUM($F$2:F501)/A501)</f>
        <v>988.85461621008778</v>
      </c>
      <c r="H501" s="5">
        <f t="shared" si="38"/>
        <v>1</v>
      </c>
      <c r="I501" s="5">
        <f t="shared" si="39"/>
        <v>0</v>
      </c>
    </row>
    <row r="502" spans="1:9">
      <c r="A502">
        <f t="shared" si="40"/>
        <v>501</v>
      </c>
      <c r="B502">
        <v>8</v>
      </c>
      <c r="C502">
        <v>9000</v>
      </c>
      <c r="D502">
        <v>6569</v>
      </c>
      <c r="E502" s="5">
        <f t="shared" si="36"/>
        <v>2431</v>
      </c>
      <c r="F502" s="5">
        <f t="shared" si="37"/>
        <v>5909761</v>
      </c>
      <c r="G502" s="6">
        <f>SQRT(SUM($F$2:F502)/A502)</f>
        <v>993.81971139763323</v>
      </c>
      <c r="H502" s="5">
        <f t="shared" si="38"/>
        <v>0</v>
      </c>
      <c r="I502" s="5">
        <f t="shared" si="39"/>
        <v>0</v>
      </c>
    </row>
    <row r="503" spans="1:9">
      <c r="A503">
        <f t="shared" si="40"/>
        <v>502</v>
      </c>
      <c r="B503">
        <v>11</v>
      </c>
      <c r="C503">
        <v>9000</v>
      </c>
      <c r="D503">
        <v>7595</v>
      </c>
      <c r="E503" s="5">
        <f t="shared" si="36"/>
        <v>1405</v>
      </c>
      <c r="F503" s="5">
        <f t="shared" si="37"/>
        <v>1974025</v>
      </c>
      <c r="G503" s="6">
        <f>SQRT(SUM($F$2:F503)/A503)</f>
        <v>994.80774734783154</v>
      </c>
      <c r="H503" s="5">
        <f t="shared" si="38"/>
        <v>1</v>
      </c>
      <c r="I503" s="5">
        <f t="shared" si="39"/>
        <v>0</v>
      </c>
    </row>
    <row r="504" spans="1:9">
      <c r="A504">
        <f t="shared" si="40"/>
        <v>503</v>
      </c>
      <c r="B504">
        <v>11</v>
      </c>
      <c r="C504">
        <v>9000</v>
      </c>
      <c r="D504">
        <v>7015</v>
      </c>
      <c r="E504" s="5">
        <f t="shared" si="36"/>
        <v>1985</v>
      </c>
      <c r="F504" s="5">
        <f t="shared" si="37"/>
        <v>3940225</v>
      </c>
      <c r="G504" s="6">
        <f>SQRT(SUM($F$2:F504)/A504)</f>
        <v>997.75168426780647</v>
      </c>
      <c r="H504" s="5">
        <f t="shared" si="38"/>
        <v>0</v>
      </c>
      <c r="I504" s="5">
        <f t="shared" si="39"/>
        <v>0</v>
      </c>
    </row>
    <row r="505" spans="1:9">
      <c r="A505">
        <f t="shared" si="40"/>
        <v>504</v>
      </c>
      <c r="B505">
        <v>12</v>
      </c>
      <c r="C505">
        <v>9000</v>
      </c>
      <c r="D505">
        <v>6999</v>
      </c>
      <c r="E505" s="5">
        <f t="shared" si="36"/>
        <v>2001</v>
      </c>
      <c r="F505" s="5">
        <f t="shared" si="37"/>
        <v>4004001</v>
      </c>
      <c r="G505" s="6">
        <f>SQRT(SUM($F$2:F505)/A505)</f>
        <v>1000.7385546494672</v>
      </c>
      <c r="H505" s="5">
        <f t="shared" si="38"/>
        <v>0</v>
      </c>
      <c r="I505" s="5">
        <f t="shared" si="39"/>
        <v>0</v>
      </c>
    </row>
    <row r="506" spans="1:9">
      <c r="A506">
        <f t="shared" si="40"/>
        <v>505</v>
      </c>
      <c r="B506">
        <v>13</v>
      </c>
      <c r="C506">
        <v>9000</v>
      </c>
      <c r="D506">
        <v>8254</v>
      </c>
      <c r="E506" s="5">
        <f t="shared" si="36"/>
        <v>746</v>
      </c>
      <c r="F506" s="5">
        <f t="shared" si="37"/>
        <v>556516</v>
      </c>
      <c r="G506" s="6">
        <f>SQRT(SUM($F$2:F506)/A506)</f>
        <v>1000.2982268175114</v>
      </c>
      <c r="H506" s="5">
        <f t="shared" si="38"/>
        <v>1</v>
      </c>
      <c r="I506" s="5">
        <f t="shared" si="39"/>
        <v>1</v>
      </c>
    </row>
    <row r="507" spans="1:9">
      <c r="A507">
        <f t="shared" si="40"/>
        <v>506</v>
      </c>
      <c r="B507">
        <v>12</v>
      </c>
      <c r="C507">
        <v>9000</v>
      </c>
      <c r="D507">
        <v>7173</v>
      </c>
      <c r="E507" s="5">
        <f t="shared" si="36"/>
        <v>1827</v>
      </c>
      <c r="F507" s="5">
        <f t="shared" si="37"/>
        <v>3337929</v>
      </c>
      <c r="G507" s="6">
        <f>SQRT(SUM($F$2:F507)/A507)</f>
        <v>1002.6044966385508</v>
      </c>
      <c r="H507" s="5">
        <f t="shared" si="38"/>
        <v>0</v>
      </c>
      <c r="I507" s="5">
        <f t="shared" si="39"/>
        <v>0</v>
      </c>
    </row>
    <row r="508" spans="1:9">
      <c r="A508">
        <f t="shared" si="40"/>
        <v>507</v>
      </c>
      <c r="B508">
        <v>13</v>
      </c>
      <c r="C508">
        <v>9000</v>
      </c>
      <c r="D508">
        <v>8134</v>
      </c>
      <c r="E508" s="5">
        <f t="shared" si="36"/>
        <v>866</v>
      </c>
      <c r="F508" s="5">
        <f t="shared" si="37"/>
        <v>749956</v>
      </c>
      <c r="G508" s="6">
        <f>SQRT(SUM($F$2:F508)/A508)</f>
        <v>1002.3533836526523</v>
      </c>
      <c r="H508" s="5">
        <f t="shared" si="38"/>
        <v>1</v>
      </c>
      <c r="I508" s="5">
        <f t="shared" si="39"/>
        <v>1</v>
      </c>
    </row>
    <row r="509" spans="1:9">
      <c r="A509">
        <f t="shared" si="40"/>
        <v>508</v>
      </c>
      <c r="B509">
        <v>12</v>
      </c>
      <c r="C509">
        <v>9000</v>
      </c>
      <c r="D509">
        <v>7549</v>
      </c>
      <c r="E509" s="5">
        <f t="shared" si="36"/>
        <v>1451</v>
      </c>
      <c r="F509" s="5">
        <f t="shared" si="37"/>
        <v>2105401</v>
      </c>
      <c r="G509" s="6">
        <f>SQRT(SUM($F$2:F509)/A509)</f>
        <v>1003.4336130248137</v>
      </c>
      <c r="H509" s="5">
        <f t="shared" si="38"/>
        <v>1</v>
      </c>
      <c r="I509" s="5">
        <f t="shared" si="39"/>
        <v>0</v>
      </c>
    </row>
    <row r="510" spans="1:9">
      <c r="A510">
        <f t="shared" si="40"/>
        <v>509</v>
      </c>
      <c r="B510">
        <v>13</v>
      </c>
      <c r="C510">
        <v>9000</v>
      </c>
      <c r="D510">
        <v>7846</v>
      </c>
      <c r="E510" s="5">
        <f t="shared" si="36"/>
        <v>1154</v>
      </c>
      <c r="F510" s="5">
        <f t="shared" si="37"/>
        <v>1331716</v>
      </c>
      <c r="G510" s="6">
        <f>SQRT(SUM($F$2:F510)/A510)</f>
        <v>1003.7515640623251</v>
      </c>
      <c r="H510" s="5">
        <f t="shared" si="38"/>
        <v>1</v>
      </c>
      <c r="I510" s="5">
        <f t="shared" si="39"/>
        <v>0</v>
      </c>
    </row>
    <row r="511" spans="1:9">
      <c r="A511">
        <f t="shared" si="40"/>
        <v>510</v>
      </c>
      <c r="B511">
        <v>13</v>
      </c>
      <c r="C511">
        <v>9000</v>
      </c>
      <c r="D511">
        <v>7896</v>
      </c>
      <c r="E511" s="5">
        <f t="shared" si="36"/>
        <v>1104</v>
      </c>
      <c r="F511" s="5">
        <f t="shared" si="37"/>
        <v>1218816</v>
      </c>
      <c r="G511" s="6">
        <f>SQRT(SUM($F$2:F511)/A511)</f>
        <v>1003.9579242804402</v>
      </c>
      <c r="H511" s="5">
        <f t="shared" si="38"/>
        <v>1</v>
      </c>
      <c r="I511" s="5">
        <f t="shared" si="39"/>
        <v>0</v>
      </c>
    </row>
    <row r="512" spans="1:9">
      <c r="A512">
        <f t="shared" si="40"/>
        <v>511</v>
      </c>
      <c r="B512">
        <v>14</v>
      </c>
      <c r="C512">
        <v>9000</v>
      </c>
      <c r="D512">
        <v>10189</v>
      </c>
      <c r="E512" s="5">
        <f t="shared" si="36"/>
        <v>1189</v>
      </c>
      <c r="F512" s="5">
        <f t="shared" si="37"/>
        <v>1413721</v>
      </c>
      <c r="G512" s="6">
        <f>SQRT(SUM($F$2:F512)/A512)</f>
        <v>1004.3533353900896</v>
      </c>
      <c r="H512" s="5">
        <f t="shared" si="38"/>
        <v>1</v>
      </c>
      <c r="I512" s="5">
        <f t="shared" si="39"/>
        <v>0</v>
      </c>
    </row>
    <row r="513" spans="1:9">
      <c r="A513">
        <f t="shared" si="40"/>
        <v>512</v>
      </c>
      <c r="B513">
        <v>11</v>
      </c>
      <c r="C513">
        <v>9000</v>
      </c>
      <c r="D513">
        <v>6457</v>
      </c>
      <c r="E513" s="5">
        <f t="shared" si="36"/>
        <v>2543</v>
      </c>
      <c r="F513" s="5">
        <f t="shared" si="37"/>
        <v>6466849</v>
      </c>
      <c r="G513" s="6">
        <f>SQRT(SUM($F$2:F513)/A513)</f>
        <v>1009.6464824537596</v>
      </c>
      <c r="H513" s="5">
        <f t="shared" si="38"/>
        <v>0</v>
      </c>
      <c r="I513" s="5">
        <f t="shared" si="39"/>
        <v>0</v>
      </c>
    </row>
    <row r="514" spans="1:9">
      <c r="A514">
        <f t="shared" si="40"/>
        <v>513</v>
      </c>
      <c r="B514">
        <v>15</v>
      </c>
      <c r="C514">
        <v>9000</v>
      </c>
      <c r="D514">
        <v>9661</v>
      </c>
      <c r="E514" s="5">
        <f t="shared" si="36"/>
        <v>661</v>
      </c>
      <c r="F514" s="5">
        <f t="shared" si="37"/>
        <v>436921</v>
      </c>
      <c r="G514" s="6">
        <f>SQRT(SUM($F$2:F514)/A514)</f>
        <v>1009.0840451302618</v>
      </c>
      <c r="H514" s="5">
        <f t="shared" si="38"/>
        <v>1</v>
      </c>
      <c r="I514" s="5">
        <f t="shared" si="39"/>
        <v>1</v>
      </c>
    </row>
    <row r="515" spans="1:9">
      <c r="A515">
        <f t="shared" si="40"/>
        <v>514</v>
      </c>
      <c r="B515">
        <v>12</v>
      </c>
      <c r="C515">
        <v>9000</v>
      </c>
      <c r="D515">
        <v>8220</v>
      </c>
      <c r="E515" s="5">
        <f t="shared" ref="E515:E578" si="41">ABS(C515-D515)</f>
        <v>780</v>
      </c>
      <c r="F515" s="5">
        <f t="shared" ref="F515:F578" si="42">POWER(E515,2)</f>
        <v>608400</v>
      </c>
      <c r="G515" s="6">
        <f>SQRT(SUM($F$2:F515)/A515)</f>
        <v>1008.6888694778784</v>
      </c>
      <c r="H515" s="5">
        <f t="shared" ref="H515:H578" si="43">IF(ABS(E515)/C515&gt;0.2,0,1)</f>
        <v>1</v>
      </c>
      <c r="I515" s="5">
        <f t="shared" ref="I515:I578" si="44">IF(ABS(E515)/C515&gt;0.1,0,1)</f>
        <v>1</v>
      </c>
    </row>
    <row r="516" spans="1:9">
      <c r="A516">
        <f t="shared" ref="A516:A579" si="45">A515+1</f>
        <v>515</v>
      </c>
      <c r="B516">
        <v>14</v>
      </c>
      <c r="C516">
        <v>9000</v>
      </c>
      <c r="D516">
        <v>7777</v>
      </c>
      <c r="E516" s="5">
        <f t="shared" si="41"/>
        <v>1223</v>
      </c>
      <c r="F516" s="5">
        <f t="shared" si="42"/>
        <v>1495729</v>
      </c>
      <c r="G516" s="6">
        <f>SQRT(SUM($F$2:F516)/A516)</f>
        <v>1009.149109999901</v>
      </c>
      <c r="H516" s="5">
        <f t="shared" si="43"/>
        <v>1</v>
      </c>
      <c r="I516" s="5">
        <f t="shared" si="44"/>
        <v>0</v>
      </c>
    </row>
    <row r="517" spans="1:9">
      <c r="A517">
        <f t="shared" si="45"/>
        <v>516</v>
      </c>
      <c r="B517">
        <v>15</v>
      </c>
      <c r="C517">
        <v>9000</v>
      </c>
      <c r="D517">
        <v>8839</v>
      </c>
      <c r="E517" s="5">
        <f t="shared" si="41"/>
        <v>161</v>
      </c>
      <c r="F517" s="5">
        <f t="shared" si="42"/>
        <v>25921</v>
      </c>
      <c r="G517" s="6">
        <f>SQRT(SUM($F$2:F517)/A517)</f>
        <v>1008.1956914833456</v>
      </c>
      <c r="H517" s="5">
        <f t="shared" si="43"/>
        <v>1</v>
      </c>
      <c r="I517" s="5">
        <f t="shared" si="44"/>
        <v>1</v>
      </c>
    </row>
    <row r="518" spans="1:9">
      <c r="A518">
        <f t="shared" si="45"/>
        <v>517</v>
      </c>
      <c r="B518">
        <v>14</v>
      </c>
      <c r="C518">
        <v>9000</v>
      </c>
      <c r="D518">
        <v>8368</v>
      </c>
      <c r="E518" s="5">
        <f t="shared" si="41"/>
        <v>632</v>
      </c>
      <c r="F518" s="5">
        <f t="shared" si="42"/>
        <v>399424</v>
      </c>
      <c r="G518" s="6">
        <f>SQRT(SUM($F$2:F518)/A518)</f>
        <v>1007.6036234033456</v>
      </c>
      <c r="H518" s="5">
        <f t="shared" si="43"/>
        <v>1</v>
      </c>
      <c r="I518" s="5">
        <f t="shared" si="44"/>
        <v>1</v>
      </c>
    </row>
    <row r="519" spans="1:9">
      <c r="A519">
        <f t="shared" si="45"/>
        <v>518</v>
      </c>
      <c r="B519">
        <v>14</v>
      </c>
      <c r="C519">
        <v>9000</v>
      </c>
      <c r="D519">
        <v>7834</v>
      </c>
      <c r="E519" s="5">
        <f t="shared" si="41"/>
        <v>1166</v>
      </c>
      <c r="F519" s="5">
        <f t="shared" si="42"/>
        <v>1359556</v>
      </c>
      <c r="G519" s="6">
        <f>SQRT(SUM($F$2:F519)/A519)</f>
        <v>1007.9333887793459</v>
      </c>
      <c r="H519" s="5">
        <f t="shared" si="43"/>
        <v>1</v>
      </c>
      <c r="I519" s="5">
        <f t="shared" si="44"/>
        <v>0</v>
      </c>
    </row>
    <row r="520" spans="1:9">
      <c r="A520">
        <f t="shared" si="45"/>
        <v>519</v>
      </c>
      <c r="B520">
        <v>15</v>
      </c>
      <c r="C520">
        <v>9000</v>
      </c>
      <c r="D520">
        <v>9305</v>
      </c>
      <c r="E520" s="5">
        <f t="shared" si="41"/>
        <v>305</v>
      </c>
      <c r="F520" s="5">
        <f t="shared" si="42"/>
        <v>93025</v>
      </c>
      <c r="G520" s="6">
        <f>SQRT(SUM($F$2:F520)/A520)</f>
        <v>1007.0508824129921</v>
      </c>
      <c r="H520" s="5">
        <f t="shared" si="43"/>
        <v>1</v>
      </c>
      <c r="I520" s="5">
        <f t="shared" si="44"/>
        <v>1</v>
      </c>
    </row>
    <row r="521" spans="1:9">
      <c r="A521">
        <f t="shared" si="45"/>
        <v>520</v>
      </c>
      <c r="B521">
        <v>14</v>
      </c>
      <c r="C521">
        <v>9000</v>
      </c>
      <c r="D521">
        <v>8880</v>
      </c>
      <c r="E521" s="5">
        <f t="shared" si="41"/>
        <v>120</v>
      </c>
      <c r="F521" s="5">
        <f t="shared" si="42"/>
        <v>14400</v>
      </c>
      <c r="G521" s="6">
        <f>SQRT(SUM($F$2:F521)/A521)</f>
        <v>1006.0958606262282</v>
      </c>
      <c r="H521" s="5">
        <f t="shared" si="43"/>
        <v>1</v>
      </c>
      <c r="I521" s="5">
        <f t="shared" si="44"/>
        <v>1</v>
      </c>
    </row>
    <row r="522" spans="1:9">
      <c r="A522">
        <f t="shared" si="45"/>
        <v>521</v>
      </c>
      <c r="B522">
        <v>14</v>
      </c>
      <c r="C522">
        <v>9000</v>
      </c>
      <c r="D522">
        <v>8053</v>
      </c>
      <c r="E522" s="5">
        <f t="shared" si="41"/>
        <v>947</v>
      </c>
      <c r="F522" s="5">
        <f t="shared" si="42"/>
        <v>896809</v>
      </c>
      <c r="G522" s="6">
        <f>SQRT(SUM($F$2:F522)/A522)</f>
        <v>1005.9857580947373</v>
      </c>
      <c r="H522" s="5">
        <f t="shared" si="43"/>
        <v>1</v>
      </c>
      <c r="I522" s="5">
        <f t="shared" si="44"/>
        <v>0</v>
      </c>
    </row>
    <row r="523" spans="1:9">
      <c r="A523">
        <f t="shared" si="45"/>
        <v>522</v>
      </c>
      <c r="B523">
        <v>15</v>
      </c>
      <c r="C523">
        <v>9000</v>
      </c>
      <c r="D523">
        <v>9149</v>
      </c>
      <c r="E523" s="5">
        <f t="shared" si="41"/>
        <v>149</v>
      </c>
      <c r="F523" s="5">
        <f t="shared" si="42"/>
        <v>22201</v>
      </c>
      <c r="G523" s="6">
        <f>SQRT(SUM($F$2:F523)/A523)</f>
        <v>1005.0428671210785</v>
      </c>
      <c r="H523" s="5">
        <f t="shared" si="43"/>
        <v>1</v>
      </c>
      <c r="I523" s="5">
        <f t="shared" si="44"/>
        <v>1</v>
      </c>
    </row>
    <row r="524" spans="1:9">
      <c r="A524">
        <f t="shared" si="45"/>
        <v>523</v>
      </c>
      <c r="B524">
        <v>14</v>
      </c>
      <c r="C524">
        <v>9000</v>
      </c>
      <c r="D524">
        <v>8829</v>
      </c>
      <c r="E524" s="5">
        <f t="shared" si="41"/>
        <v>171</v>
      </c>
      <c r="F524" s="5">
        <f t="shared" si="42"/>
        <v>29241</v>
      </c>
      <c r="G524" s="6">
        <f>SQRT(SUM($F$2:F524)/A524)</f>
        <v>1004.109404390131</v>
      </c>
      <c r="H524" s="5">
        <f t="shared" si="43"/>
        <v>1</v>
      </c>
      <c r="I524" s="5">
        <f t="shared" si="44"/>
        <v>1</v>
      </c>
    </row>
    <row r="525" spans="1:9">
      <c r="A525">
        <f t="shared" si="45"/>
        <v>524</v>
      </c>
      <c r="B525">
        <v>14</v>
      </c>
      <c r="C525">
        <v>9000</v>
      </c>
      <c r="D525">
        <v>5493</v>
      </c>
      <c r="E525" s="5">
        <f t="shared" si="41"/>
        <v>3507</v>
      </c>
      <c r="F525" s="5">
        <f t="shared" si="42"/>
        <v>12299049</v>
      </c>
      <c r="G525" s="6">
        <f>SQRT(SUM($F$2:F525)/A525)</f>
        <v>1014.7822670988692</v>
      </c>
      <c r="H525" s="5">
        <f t="shared" si="43"/>
        <v>0</v>
      </c>
      <c r="I525" s="5">
        <f t="shared" si="44"/>
        <v>0</v>
      </c>
    </row>
    <row r="526" spans="1:9">
      <c r="A526">
        <f t="shared" si="45"/>
        <v>525</v>
      </c>
      <c r="B526">
        <v>19</v>
      </c>
      <c r="C526">
        <v>9000</v>
      </c>
      <c r="D526">
        <v>6766</v>
      </c>
      <c r="E526" s="5">
        <f t="shared" si="41"/>
        <v>2234</v>
      </c>
      <c r="F526" s="5">
        <f t="shared" si="42"/>
        <v>4990756</v>
      </c>
      <c r="G526" s="6">
        <f>SQRT(SUM($F$2:F526)/A526)</f>
        <v>1018.4928865730973</v>
      </c>
      <c r="H526" s="5">
        <f t="shared" si="43"/>
        <v>0</v>
      </c>
      <c r="I526" s="5">
        <f t="shared" si="44"/>
        <v>0</v>
      </c>
    </row>
    <row r="527" spans="1:9">
      <c r="A527">
        <f t="shared" si="45"/>
        <v>526</v>
      </c>
      <c r="B527">
        <v>18</v>
      </c>
      <c r="C527">
        <v>9000</v>
      </c>
      <c r="D527">
        <v>7187</v>
      </c>
      <c r="E527" s="5">
        <f t="shared" si="41"/>
        <v>1813</v>
      </c>
      <c r="F527" s="5">
        <f t="shared" si="42"/>
        <v>3286969</v>
      </c>
      <c r="G527" s="6">
        <f>SQRT(SUM($F$2:F527)/A527)</f>
        <v>1020.5903411686259</v>
      </c>
      <c r="H527" s="5">
        <f t="shared" si="43"/>
        <v>0</v>
      </c>
      <c r="I527" s="5">
        <f t="shared" si="44"/>
        <v>0</v>
      </c>
    </row>
    <row r="528" spans="1:9">
      <c r="A528">
        <f t="shared" si="45"/>
        <v>527</v>
      </c>
      <c r="B528">
        <v>18</v>
      </c>
      <c r="C528">
        <v>9000</v>
      </c>
      <c r="D528">
        <v>9973</v>
      </c>
      <c r="E528" s="5">
        <f t="shared" si="41"/>
        <v>973</v>
      </c>
      <c r="F528" s="5">
        <f t="shared" si="42"/>
        <v>946729</v>
      </c>
      <c r="G528" s="6">
        <f>SQRT(SUM($F$2:F528)/A528)</f>
        <v>1020.5021385576607</v>
      </c>
      <c r="H528" s="5">
        <f t="shared" si="43"/>
        <v>1</v>
      </c>
      <c r="I528" s="5">
        <f t="shared" si="44"/>
        <v>0</v>
      </c>
    </row>
    <row r="529" spans="1:9">
      <c r="A529">
        <f t="shared" si="45"/>
        <v>528</v>
      </c>
      <c r="B529">
        <v>15</v>
      </c>
      <c r="C529">
        <v>9000</v>
      </c>
      <c r="D529">
        <v>8614</v>
      </c>
      <c r="E529" s="5">
        <f t="shared" si="41"/>
        <v>386</v>
      </c>
      <c r="F529" s="5">
        <f t="shared" si="42"/>
        <v>148996</v>
      </c>
      <c r="G529" s="6">
        <f>SQRT(SUM($F$2:F529)/A529)</f>
        <v>1019.6736777474002</v>
      </c>
      <c r="H529" s="5">
        <f t="shared" si="43"/>
        <v>1</v>
      </c>
      <c r="I529" s="5">
        <f t="shared" si="44"/>
        <v>1</v>
      </c>
    </row>
    <row r="530" spans="1:9">
      <c r="A530">
        <f t="shared" si="45"/>
        <v>529</v>
      </c>
      <c r="B530">
        <v>16</v>
      </c>
      <c r="C530">
        <v>9000</v>
      </c>
      <c r="D530">
        <v>9264</v>
      </c>
      <c r="E530" s="5">
        <f t="shared" si="41"/>
        <v>264</v>
      </c>
      <c r="F530" s="5">
        <f t="shared" si="42"/>
        <v>69696</v>
      </c>
      <c r="G530" s="6">
        <f>SQRT(SUM($F$2:F530)/A530)</f>
        <v>1018.7741104340732</v>
      </c>
      <c r="H530" s="5">
        <f t="shared" si="43"/>
        <v>1</v>
      </c>
      <c r="I530" s="5">
        <f t="shared" si="44"/>
        <v>1</v>
      </c>
    </row>
    <row r="531" spans="1:9">
      <c r="A531">
        <f t="shared" si="45"/>
        <v>530</v>
      </c>
      <c r="B531">
        <v>16</v>
      </c>
      <c r="C531">
        <v>9000</v>
      </c>
      <c r="D531">
        <v>9295</v>
      </c>
      <c r="E531" s="5">
        <f t="shared" si="41"/>
        <v>295</v>
      </c>
      <c r="F531" s="5">
        <f t="shared" si="42"/>
        <v>87025</v>
      </c>
      <c r="G531" s="6">
        <f>SQRT(SUM($F$2:F531)/A531)</f>
        <v>1017.8932080620579</v>
      </c>
      <c r="H531" s="5">
        <f t="shared" si="43"/>
        <v>1</v>
      </c>
      <c r="I531" s="5">
        <f t="shared" si="44"/>
        <v>1</v>
      </c>
    </row>
    <row r="532" spans="1:9">
      <c r="A532">
        <f t="shared" si="45"/>
        <v>531</v>
      </c>
      <c r="B532">
        <v>16</v>
      </c>
      <c r="C532">
        <v>9000</v>
      </c>
      <c r="D532">
        <v>9262</v>
      </c>
      <c r="E532" s="5">
        <f t="shared" si="41"/>
        <v>262</v>
      </c>
      <c r="F532" s="5">
        <f t="shared" si="42"/>
        <v>68644</v>
      </c>
      <c r="G532" s="6">
        <f>SQRT(SUM($F$2:F532)/A532)</f>
        <v>1016.9978464016959</v>
      </c>
      <c r="H532" s="5">
        <f t="shared" si="43"/>
        <v>1</v>
      </c>
      <c r="I532" s="5">
        <f t="shared" si="44"/>
        <v>1</v>
      </c>
    </row>
    <row r="533" spans="1:9">
      <c r="A533">
        <f t="shared" si="45"/>
        <v>532</v>
      </c>
      <c r="B533">
        <v>16</v>
      </c>
      <c r="C533">
        <v>9000</v>
      </c>
      <c r="D533">
        <v>9497</v>
      </c>
      <c r="E533" s="5">
        <f t="shared" si="41"/>
        <v>497</v>
      </c>
      <c r="F533" s="5">
        <f t="shared" si="42"/>
        <v>247009</v>
      </c>
      <c r="G533" s="6">
        <f>SQRT(SUM($F$2:F533)/A533)</f>
        <v>1016.270032125069</v>
      </c>
      <c r="H533" s="5">
        <f t="shared" si="43"/>
        <v>1</v>
      </c>
      <c r="I533" s="5">
        <f t="shared" si="44"/>
        <v>1</v>
      </c>
    </row>
    <row r="534" spans="1:9">
      <c r="A534">
        <f t="shared" si="45"/>
        <v>533</v>
      </c>
      <c r="B534">
        <v>15</v>
      </c>
      <c r="C534">
        <v>9000</v>
      </c>
      <c r="D534">
        <v>8825</v>
      </c>
      <c r="E534" s="5">
        <f t="shared" si="41"/>
        <v>175</v>
      </c>
      <c r="F534" s="5">
        <f t="shared" si="42"/>
        <v>30625</v>
      </c>
      <c r="G534" s="6">
        <f>SQRT(SUM($F$2:F534)/A534)</f>
        <v>1015.3445306630982</v>
      </c>
      <c r="H534" s="5">
        <f t="shared" si="43"/>
        <v>1</v>
      </c>
      <c r="I534" s="5">
        <f t="shared" si="44"/>
        <v>1</v>
      </c>
    </row>
    <row r="535" spans="1:9">
      <c r="A535">
        <f t="shared" si="45"/>
        <v>534</v>
      </c>
      <c r="B535">
        <v>16</v>
      </c>
      <c r="C535">
        <v>9000</v>
      </c>
      <c r="D535">
        <v>9885</v>
      </c>
      <c r="E535" s="5">
        <f t="shared" si="41"/>
        <v>885</v>
      </c>
      <c r="F535" s="5">
        <f t="shared" si="42"/>
        <v>783225</v>
      </c>
      <c r="G535" s="6">
        <f>SQRT(SUM($F$2:F535)/A535)</f>
        <v>1015.1160816261507</v>
      </c>
      <c r="H535" s="5">
        <f t="shared" si="43"/>
        <v>1</v>
      </c>
      <c r="I535" s="5">
        <f t="shared" si="44"/>
        <v>1</v>
      </c>
    </row>
    <row r="536" spans="1:9">
      <c r="A536">
        <f t="shared" si="45"/>
        <v>535</v>
      </c>
      <c r="B536">
        <v>15</v>
      </c>
      <c r="C536">
        <v>9000</v>
      </c>
      <c r="D536">
        <v>9226</v>
      </c>
      <c r="E536" s="5">
        <f t="shared" si="41"/>
        <v>226</v>
      </c>
      <c r="F536" s="5">
        <f t="shared" si="42"/>
        <v>51076</v>
      </c>
      <c r="G536" s="6">
        <f>SQRT(SUM($F$2:F536)/A536)</f>
        <v>1014.2139979535186</v>
      </c>
      <c r="H536" s="5">
        <f t="shared" si="43"/>
        <v>1</v>
      </c>
      <c r="I536" s="5">
        <f t="shared" si="44"/>
        <v>1</v>
      </c>
    </row>
    <row r="537" spans="1:9">
      <c r="A537">
        <f t="shared" si="45"/>
        <v>536</v>
      </c>
      <c r="B537">
        <v>15</v>
      </c>
      <c r="C537">
        <v>9000</v>
      </c>
      <c r="D537">
        <v>9733</v>
      </c>
      <c r="E537" s="5">
        <f t="shared" si="41"/>
        <v>733</v>
      </c>
      <c r="F537" s="5">
        <f t="shared" si="42"/>
        <v>537289</v>
      </c>
      <c r="G537" s="6">
        <f>SQRT(SUM($F$2:F537)/A537)</f>
        <v>1013.7619802556911</v>
      </c>
      <c r="H537" s="5">
        <f t="shared" si="43"/>
        <v>1</v>
      </c>
      <c r="I537" s="5">
        <f t="shared" si="44"/>
        <v>1</v>
      </c>
    </row>
    <row r="538" spans="1:9">
      <c r="A538">
        <f t="shared" si="45"/>
        <v>537</v>
      </c>
      <c r="B538">
        <v>15</v>
      </c>
      <c r="C538">
        <v>9000</v>
      </c>
      <c r="D538">
        <v>8594</v>
      </c>
      <c r="E538" s="5">
        <f t="shared" si="41"/>
        <v>406</v>
      </c>
      <c r="F538" s="5">
        <f t="shared" si="42"/>
        <v>164836</v>
      </c>
      <c r="G538" s="6">
        <f>SQRT(SUM($F$2:F538)/A538)</f>
        <v>1012.9691528647323</v>
      </c>
      <c r="H538" s="5">
        <f t="shared" si="43"/>
        <v>1</v>
      </c>
      <c r="I538" s="5">
        <f t="shared" si="44"/>
        <v>1</v>
      </c>
    </row>
    <row r="539" spans="1:9">
      <c r="A539">
        <f t="shared" si="45"/>
        <v>538</v>
      </c>
      <c r="B539">
        <v>16</v>
      </c>
      <c r="C539">
        <v>9000</v>
      </c>
      <c r="D539">
        <v>9185</v>
      </c>
      <c r="E539" s="5">
        <f t="shared" si="41"/>
        <v>185</v>
      </c>
      <c r="F539" s="5">
        <f t="shared" si="42"/>
        <v>34225</v>
      </c>
      <c r="G539" s="6">
        <f>SQRT(SUM($F$2:F539)/A539)</f>
        <v>1012.0587229682177</v>
      </c>
      <c r="H539" s="5">
        <f t="shared" si="43"/>
        <v>1</v>
      </c>
      <c r="I539" s="5">
        <f t="shared" si="44"/>
        <v>1</v>
      </c>
    </row>
    <row r="540" spans="1:9">
      <c r="A540">
        <f t="shared" si="45"/>
        <v>539</v>
      </c>
      <c r="B540">
        <v>15</v>
      </c>
      <c r="C540">
        <v>9000</v>
      </c>
      <c r="D540">
        <v>8589</v>
      </c>
      <c r="E540" s="5">
        <f t="shared" si="41"/>
        <v>411</v>
      </c>
      <c r="F540" s="5">
        <f t="shared" si="42"/>
        <v>168921</v>
      </c>
      <c r="G540" s="6">
        <f>SQRT(SUM($F$2:F540)/A540)</f>
        <v>1011.2744205297644</v>
      </c>
      <c r="H540" s="5">
        <f t="shared" si="43"/>
        <v>1</v>
      </c>
      <c r="I540" s="5">
        <f t="shared" si="44"/>
        <v>1</v>
      </c>
    </row>
    <row r="541" spans="1:9">
      <c r="A541">
        <f t="shared" si="45"/>
        <v>540</v>
      </c>
      <c r="B541">
        <v>16</v>
      </c>
      <c r="C541">
        <v>9000</v>
      </c>
      <c r="D541">
        <v>8811</v>
      </c>
      <c r="E541" s="5">
        <f t="shared" si="41"/>
        <v>189</v>
      </c>
      <c r="F541" s="5">
        <f t="shared" si="42"/>
        <v>35721</v>
      </c>
      <c r="G541" s="6">
        <f>SQRT(SUM($F$2:F541)/A541)</f>
        <v>1010.3703574725752</v>
      </c>
      <c r="H541" s="5">
        <f t="shared" si="43"/>
        <v>1</v>
      </c>
      <c r="I541" s="5">
        <f t="shared" si="44"/>
        <v>1</v>
      </c>
    </row>
    <row r="542" spans="1:9">
      <c r="A542">
        <f t="shared" si="45"/>
        <v>541</v>
      </c>
      <c r="B542">
        <v>16</v>
      </c>
      <c r="C542">
        <v>9000</v>
      </c>
      <c r="D542">
        <v>9792</v>
      </c>
      <c r="E542" s="5">
        <f t="shared" si="41"/>
        <v>792</v>
      </c>
      <c r="F542" s="5">
        <f t="shared" si="42"/>
        <v>627264</v>
      </c>
      <c r="G542" s="6">
        <f>SQRT(SUM($F$2:F542)/A542)</f>
        <v>1010.0102706236454</v>
      </c>
      <c r="H542" s="5">
        <f t="shared" si="43"/>
        <v>1</v>
      </c>
      <c r="I542" s="5">
        <f t="shared" si="44"/>
        <v>1</v>
      </c>
    </row>
    <row r="543" spans="1:9">
      <c r="A543">
        <f t="shared" si="45"/>
        <v>542</v>
      </c>
      <c r="B543">
        <v>14</v>
      </c>
      <c r="C543">
        <v>9000</v>
      </c>
      <c r="D543">
        <v>8843</v>
      </c>
      <c r="E543" s="5">
        <f t="shared" si="41"/>
        <v>157</v>
      </c>
      <c r="F543" s="5">
        <f t="shared" si="42"/>
        <v>24649</v>
      </c>
      <c r="G543" s="6">
        <f>SQRT(SUM($F$2:F543)/A543)</f>
        <v>1009.1006307726848</v>
      </c>
      <c r="H543" s="5">
        <f t="shared" si="43"/>
        <v>1</v>
      </c>
      <c r="I543" s="5">
        <f t="shared" si="44"/>
        <v>1</v>
      </c>
    </row>
    <row r="544" spans="1:9">
      <c r="A544">
        <f t="shared" si="45"/>
        <v>543</v>
      </c>
      <c r="B544">
        <v>15</v>
      </c>
      <c r="C544">
        <v>9000</v>
      </c>
      <c r="D544">
        <v>8948</v>
      </c>
      <c r="E544" s="5">
        <f t="shared" si="41"/>
        <v>52</v>
      </c>
      <c r="F544" s="5">
        <f t="shared" si="42"/>
        <v>2704</v>
      </c>
      <c r="G544" s="6">
        <f>SQRT(SUM($F$2:F544)/A544)</f>
        <v>1008.1734819947516</v>
      </c>
      <c r="H544" s="5">
        <f t="shared" si="43"/>
        <v>1</v>
      </c>
      <c r="I544" s="5">
        <f t="shared" si="44"/>
        <v>1</v>
      </c>
    </row>
    <row r="545" spans="1:9">
      <c r="A545">
        <f t="shared" si="45"/>
        <v>544</v>
      </c>
      <c r="B545">
        <v>15</v>
      </c>
      <c r="C545">
        <v>9000</v>
      </c>
      <c r="D545">
        <v>9282</v>
      </c>
      <c r="E545" s="5">
        <f t="shared" si="41"/>
        <v>282</v>
      </c>
      <c r="F545" s="5">
        <f t="shared" si="42"/>
        <v>79524</v>
      </c>
      <c r="G545" s="6">
        <f>SQRT(SUM($F$2:F545)/A545)</f>
        <v>1007.3189891766572</v>
      </c>
      <c r="H545" s="5">
        <f t="shared" si="43"/>
        <v>1</v>
      </c>
      <c r="I545" s="5">
        <f t="shared" si="44"/>
        <v>1</v>
      </c>
    </row>
    <row r="546" spans="1:9">
      <c r="A546">
        <f t="shared" si="45"/>
        <v>545</v>
      </c>
      <c r="B546">
        <v>15</v>
      </c>
      <c r="C546">
        <v>9000</v>
      </c>
      <c r="D546">
        <v>9990</v>
      </c>
      <c r="E546" s="5">
        <f t="shared" si="41"/>
        <v>990</v>
      </c>
      <c r="F546" s="5">
        <f t="shared" si="42"/>
        <v>980100</v>
      </c>
      <c r="G546" s="6">
        <f>SQRT(SUM($F$2:F546)/A546)</f>
        <v>1007.2874839038544</v>
      </c>
      <c r="H546" s="5">
        <f t="shared" si="43"/>
        <v>1</v>
      </c>
      <c r="I546" s="5">
        <f t="shared" si="44"/>
        <v>0</v>
      </c>
    </row>
    <row r="547" spans="1:9">
      <c r="A547">
        <f t="shared" si="45"/>
        <v>546</v>
      </c>
      <c r="B547">
        <v>14</v>
      </c>
      <c r="C547">
        <v>9000</v>
      </c>
      <c r="D547">
        <v>8144</v>
      </c>
      <c r="E547" s="5">
        <f t="shared" si="41"/>
        <v>856</v>
      </c>
      <c r="F547" s="5">
        <f t="shared" si="42"/>
        <v>732736</v>
      </c>
      <c r="G547" s="6">
        <f>SQRT(SUM($F$2:F547)/A547)</f>
        <v>1007.0311759708779</v>
      </c>
      <c r="H547" s="5">
        <f t="shared" si="43"/>
        <v>1</v>
      </c>
      <c r="I547" s="5">
        <f t="shared" si="44"/>
        <v>1</v>
      </c>
    </row>
    <row r="548" spans="1:9">
      <c r="A548">
        <f t="shared" si="45"/>
        <v>547</v>
      </c>
      <c r="B548">
        <v>16</v>
      </c>
      <c r="C548">
        <v>9000</v>
      </c>
      <c r="D548">
        <v>9510</v>
      </c>
      <c r="E548" s="5">
        <f t="shared" si="41"/>
        <v>510</v>
      </c>
      <c r="F548" s="5">
        <f t="shared" si="42"/>
        <v>260100</v>
      </c>
      <c r="G548" s="6">
        <f>SQRT(SUM($F$2:F548)/A548)</f>
        <v>1006.3465307917363</v>
      </c>
      <c r="H548" s="5">
        <f t="shared" si="43"/>
        <v>1</v>
      </c>
      <c r="I548" s="5">
        <f t="shared" si="44"/>
        <v>1</v>
      </c>
    </row>
    <row r="549" spans="1:9">
      <c r="A549">
        <f t="shared" si="45"/>
        <v>548</v>
      </c>
      <c r="B549">
        <v>15</v>
      </c>
      <c r="C549">
        <v>9000</v>
      </c>
      <c r="D549">
        <v>9106</v>
      </c>
      <c r="E549" s="5">
        <f t="shared" si="41"/>
        <v>106</v>
      </c>
      <c r="F549" s="5">
        <f t="shared" si="42"/>
        <v>11236</v>
      </c>
      <c r="G549" s="6">
        <f>SQRT(SUM($F$2:F549)/A549)</f>
        <v>1005.4381085606341</v>
      </c>
      <c r="H549" s="5">
        <f t="shared" si="43"/>
        <v>1</v>
      </c>
      <c r="I549" s="5">
        <f t="shared" si="44"/>
        <v>1</v>
      </c>
    </row>
    <row r="550" spans="1:9">
      <c r="A550">
        <f t="shared" si="45"/>
        <v>549</v>
      </c>
      <c r="B550">
        <v>15</v>
      </c>
      <c r="C550">
        <v>9000</v>
      </c>
      <c r="D550">
        <v>9081</v>
      </c>
      <c r="E550" s="5">
        <f t="shared" si="41"/>
        <v>81</v>
      </c>
      <c r="F550" s="5">
        <f t="shared" si="42"/>
        <v>6561</v>
      </c>
      <c r="G550" s="6">
        <f>SQRT(SUM($F$2:F550)/A550)</f>
        <v>1004.5279401358935</v>
      </c>
      <c r="H550" s="5">
        <f t="shared" si="43"/>
        <v>1</v>
      </c>
      <c r="I550" s="5">
        <f t="shared" si="44"/>
        <v>1</v>
      </c>
    </row>
    <row r="551" spans="1:9">
      <c r="A551">
        <f t="shared" si="45"/>
        <v>550</v>
      </c>
      <c r="B551">
        <v>15</v>
      </c>
      <c r="C551">
        <v>9000</v>
      </c>
      <c r="D551">
        <v>8626</v>
      </c>
      <c r="E551" s="5">
        <f t="shared" si="41"/>
        <v>374</v>
      </c>
      <c r="F551" s="5">
        <f t="shared" si="42"/>
        <v>139876</v>
      </c>
      <c r="G551" s="6">
        <f>SQRT(SUM($F$2:F551)/A551)</f>
        <v>1003.74101150736</v>
      </c>
      <c r="H551" s="5">
        <f t="shared" si="43"/>
        <v>1</v>
      </c>
      <c r="I551" s="5">
        <f t="shared" si="44"/>
        <v>1</v>
      </c>
    </row>
    <row r="552" spans="1:9">
      <c r="A552">
        <f t="shared" si="45"/>
        <v>551</v>
      </c>
      <c r="B552">
        <v>15</v>
      </c>
      <c r="C552">
        <v>9000</v>
      </c>
      <c r="D552">
        <v>8211</v>
      </c>
      <c r="E552" s="5">
        <f t="shared" si="41"/>
        <v>789</v>
      </c>
      <c r="F552" s="5">
        <f t="shared" si="42"/>
        <v>622521</v>
      </c>
      <c r="G552" s="6">
        <f>SQRT(SUM($F$2:F552)/A552)</f>
        <v>1003.3929110464624</v>
      </c>
      <c r="H552" s="5">
        <f t="shared" si="43"/>
        <v>1</v>
      </c>
      <c r="I552" s="5">
        <f t="shared" si="44"/>
        <v>1</v>
      </c>
    </row>
    <row r="553" spans="1:9">
      <c r="A553">
        <f t="shared" si="45"/>
        <v>552</v>
      </c>
      <c r="B553">
        <v>16</v>
      </c>
      <c r="C553">
        <v>9000</v>
      </c>
      <c r="D553">
        <v>9715</v>
      </c>
      <c r="E553" s="5">
        <f t="shared" si="41"/>
        <v>715</v>
      </c>
      <c r="F553" s="5">
        <f t="shared" si="42"/>
        <v>511225</v>
      </c>
      <c r="G553" s="6">
        <f>SQRT(SUM($F$2:F553)/A553)</f>
        <v>1002.9454411736535</v>
      </c>
      <c r="H553" s="5">
        <f t="shared" si="43"/>
        <v>1</v>
      </c>
      <c r="I553" s="5">
        <f t="shared" si="44"/>
        <v>1</v>
      </c>
    </row>
    <row r="554" spans="1:9">
      <c r="A554">
        <f t="shared" si="45"/>
        <v>553</v>
      </c>
      <c r="B554">
        <v>14</v>
      </c>
      <c r="C554">
        <v>9000</v>
      </c>
      <c r="D554">
        <v>8815</v>
      </c>
      <c r="E554" s="5">
        <f t="shared" si="41"/>
        <v>185</v>
      </c>
      <c r="F554" s="5">
        <f t="shared" si="42"/>
        <v>34225</v>
      </c>
      <c r="G554" s="6">
        <f>SQRT(SUM($F$2:F554)/A554)</f>
        <v>1002.0690899938772</v>
      </c>
      <c r="H554" s="5">
        <f t="shared" si="43"/>
        <v>1</v>
      </c>
      <c r="I554" s="5">
        <f t="shared" si="44"/>
        <v>1</v>
      </c>
    </row>
    <row r="555" spans="1:9">
      <c r="A555">
        <f t="shared" si="45"/>
        <v>554</v>
      </c>
      <c r="B555">
        <v>15</v>
      </c>
      <c r="C555">
        <v>9000</v>
      </c>
      <c r="D555">
        <v>8410</v>
      </c>
      <c r="E555" s="5">
        <f t="shared" si="41"/>
        <v>590</v>
      </c>
      <c r="F555" s="5">
        <f t="shared" si="42"/>
        <v>348100</v>
      </c>
      <c r="G555" s="6">
        <f>SQRT(SUM($F$2:F555)/A555)</f>
        <v>1001.4780421722029</v>
      </c>
      <c r="H555" s="5">
        <f t="shared" si="43"/>
        <v>1</v>
      </c>
      <c r="I555" s="5">
        <f t="shared" si="44"/>
        <v>1</v>
      </c>
    </row>
    <row r="556" spans="1:9">
      <c r="A556">
        <f t="shared" si="45"/>
        <v>555</v>
      </c>
      <c r="B556">
        <v>16</v>
      </c>
      <c r="C556">
        <v>9000</v>
      </c>
      <c r="D556">
        <v>9565</v>
      </c>
      <c r="E556" s="5">
        <f t="shared" si="41"/>
        <v>565</v>
      </c>
      <c r="F556" s="5">
        <f t="shared" si="42"/>
        <v>319225</v>
      </c>
      <c r="G556" s="6">
        <f>SQRT(SUM($F$2:F556)/A556)</f>
        <v>1000.8627863584085</v>
      </c>
      <c r="H556" s="5">
        <f t="shared" si="43"/>
        <v>1</v>
      </c>
      <c r="I556" s="5">
        <f t="shared" si="44"/>
        <v>1</v>
      </c>
    </row>
    <row r="557" spans="1:9">
      <c r="A557">
        <f t="shared" si="45"/>
        <v>556</v>
      </c>
      <c r="B557">
        <v>15</v>
      </c>
      <c r="C557">
        <v>9000</v>
      </c>
      <c r="D557">
        <v>9003</v>
      </c>
      <c r="E557" s="5">
        <f t="shared" si="41"/>
        <v>3</v>
      </c>
      <c r="F557" s="5">
        <f t="shared" si="42"/>
        <v>9</v>
      </c>
      <c r="G557" s="6">
        <f>SQRT(SUM($F$2:F557)/A557)</f>
        <v>999.96233292368925</v>
      </c>
      <c r="H557" s="5">
        <f t="shared" si="43"/>
        <v>1</v>
      </c>
      <c r="I557" s="5">
        <f t="shared" si="44"/>
        <v>1</v>
      </c>
    </row>
    <row r="558" spans="1:9">
      <c r="A558">
        <f t="shared" si="45"/>
        <v>557</v>
      </c>
      <c r="B558">
        <v>15</v>
      </c>
      <c r="C558">
        <v>9000</v>
      </c>
      <c r="D558">
        <v>8427</v>
      </c>
      <c r="E558" s="5">
        <f t="shared" si="41"/>
        <v>573</v>
      </c>
      <c r="F558" s="5">
        <f t="shared" si="42"/>
        <v>328329</v>
      </c>
      <c r="G558" s="6">
        <f>SQRT(SUM($F$2:F558)/A558)</f>
        <v>999.35925971696815</v>
      </c>
      <c r="H558" s="5">
        <f t="shared" si="43"/>
        <v>1</v>
      </c>
      <c r="I558" s="5">
        <f t="shared" si="44"/>
        <v>1</v>
      </c>
    </row>
    <row r="559" spans="1:9">
      <c r="A559">
        <f t="shared" si="45"/>
        <v>558</v>
      </c>
      <c r="B559">
        <v>16</v>
      </c>
      <c r="C559">
        <v>9000</v>
      </c>
      <c r="D559">
        <v>9159</v>
      </c>
      <c r="E559" s="5">
        <f t="shared" si="41"/>
        <v>159</v>
      </c>
      <c r="F559" s="5">
        <f t="shared" si="42"/>
        <v>25281</v>
      </c>
      <c r="G559" s="6">
        <f>SQRT(SUM($F$2:F559)/A559)</f>
        <v>998.48606277840656</v>
      </c>
      <c r="H559" s="5">
        <f t="shared" si="43"/>
        <v>1</v>
      </c>
      <c r="I559" s="5">
        <f t="shared" si="44"/>
        <v>1</v>
      </c>
    </row>
    <row r="560" spans="1:9">
      <c r="A560">
        <f t="shared" si="45"/>
        <v>559</v>
      </c>
      <c r="B560">
        <v>15</v>
      </c>
      <c r="C560">
        <v>9000</v>
      </c>
      <c r="D560">
        <v>9109</v>
      </c>
      <c r="E560" s="5">
        <f t="shared" si="41"/>
        <v>109</v>
      </c>
      <c r="F560" s="5">
        <f t="shared" si="42"/>
        <v>11881</v>
      </c>
      <c r="G560" s="6">
        <f>SQRT(SUM($F$2:F560)/A560)</f>
        <v>997.60321536824404</v>
      </c>
      <c r="H560" s="5">
        <f t="shared" si="43"/>
        <v>1</v>
      </c>
      <c r="I560" s="5">
        <f t="shared" si="44"/>
        <v>1</v>
      </c>
    </row>
    <row r="561" spans="1:9">
      <c r="A561">
        <f t="shared" si="45"/>
        <v>560</v>
      </c>
      <c r="B561">
        <v>15</v>
      </c>
      <c r="C561">
        <v>9000</v>
      </c>
      <c r="D561">
        <v>8807</v>
      </c>
      <c r="E561" s="5">
        <f t="shared" si="41"/>
        <v>193</v>
      </c>
      <c r="F561" s="5">
        <f t="shared" si="42"/>
        <v>37249</v>
      </c>
      <c r="G561" s="6">
        <f>SQRT(SUM($F$2:F561)/A561)</f>
        <v>996.74546740164021</v>
      </c>
      <c r="H561" s="5">
        <f t="shared" si="43"/>
        <v>1</v>
      </c>
      <c r="I561" s="5">
        <f t="shared" si="44"/>
        <v>1</v>
      </c>
    </row>
    <row r="562" spans="1:9">
      <c r="A562">
        <f t="shared" si="45"/>
        <v>561</v>
      </c>
      <c r="B562">
        <v>16</v>
      </c>
      <c r="C562">
        <v>9000</v>
      </c>
      <c r="D562">
        <v>9281</v>
      </c>
      <c r="E562" s="5">
        <f t="shared" si="41"/>
        <v>281</v>
      </c>
      <c r="F562" s="5">
        <f t="shared" si="42"/>
        <v>78961</v>
      </c>
      <c r="G562" s="6">
        <f>SQRT(SUM($F$2:F562)/A562)</f>
        <v>995.92737173363753</v>
      </c>
      <c r="H562" s="5">
        <f t="shared" si="43"/>
        <v>1</v>
      </c>
      <c r="I562" s="5">
        <f t="shared" si="44"/>
        <v>1</v>
      </c>
    </row>
    <row r="563" spans="1:9">
      <c r="A563">
        <f t="shared" si="45"/>
        <v>562</v>
      </c>
      <c r="B563">
        <v>15</v>
      </c>
      <c r="C563">
        <v>9000</v>
      </c>
      <c r="D563">
        <v>8696</v>
      </c>
      <c r="E563" s="5">
        <f t="shared" si="41"/>
        <v>304</v>
      </c>
      <c r="F563" s="5">
        <f t="shared" si="42"/>
        <v>92416</v>
      </c>
      <c r="G563" s="6">
        <f>SQRT(SUM($F$2:F563)/A563)</f>
        <v>995.12354782953446</v>
      </c>
      <c r="H563" s="5">
        <f t="shared" si="43"/>
        <v>1</v>
      </c>
      <c r="I563" s="5">
        <f t="shared" si="44"/>
        <v>1</v>
      </c>
    </row>
    <row r="564" spans="1:9">
      <c r="A564">
        <f t="shared" si="45"/>
        <v>563</v>
      </c>
      <c r="B564">
        <v>16</v>
      </c>
      <c r="C564">
        <v>9000</v>
      </c>
      <c r="D564">
        <v>10013</v>
      </c>
      <c r="E564" s="5">
        <f t="shared" si="41"/>
        <v>1013</v>
      </c>
      <c r="F564" s="5">
        <f t="shared" si="42"/>
        <v>1026169</v>
      </c>
      <c r="G564" s="6">
        <f>SQRT(SUM($F$2:F564)/A564)</f>
        <v>995.1555846476557</v>
      </c>
      <c r="H564" s="5">
        <f t="shared" si="43"/>
        <v>1</v>
      </c>
      <c r="I564" s="5">
        <f t="shared" si="44"/>
        <v>0</v>
      </c>
    </row>
    <row r="565" spans="1:9">
      <c r="A565">
        <f t="shared" si="45"/>
        <v>564</v>
      </c>
      <c r="B565">
        <v>14</v>
      </c>
      <c r="C565">
        <v>9000</v>
      </c>
      <c r="D565">
        <v>8149</v>
      </c>
      <c r="E565" s="5">
        <f t="shared" si="41"/>
        <v>851</v>
      </c>
      <c r="F565" s="5">
        <f t="shared" si="42"/>
        <v>724201</v>
      </c>
      <c r="G565" s="6">
        <f>SQRT(SUM($F$2:F565)/A565)</f>
        <v>994.9184737974997</v>
      </c>
      <c r="H565" s="5">
        <f t="shared" si="43"/>
        <v>1</v>
      </c>
      <c r="I565" s="5">
        <f t="shared" si="44"/>
        <v>1</v>
      </c>
    </row>
    <row r="566" spans="1:9">
      <c r="A566">
        <f t="shared" si="45"/>
        <v>565</v>
      </c>
      <c r="B566">
        <v>16</v>
      </c>
      <c r="C566">
        <v>9000</v>
      </c>
      <c r="D566">
        <v>9611</v>
      </c>
      <c r="E566" s="5">
        <f t="shared" si="41"/>
        <v>611</v>
      </c>
      <c r="F566" s="5">
        <f t="shared" si="42"/>
        <v>373321</v>
      </c>
      <c r="G566" s="6">
        <f>SQRT(SUM($F$2:F566)/A566)</f>
        <v>994.36992368672497</v>
      </c>
      <c r="H566" s="5">
        <f t="shared" si="43"/>
        <v>1</v>
      </c>
      <c r="I566" s="5">
        <f t="shared" si="44"/>
        <v>1</v>
      </c>
    </row>
    <row r="567" spans="1:9">
      <c r="A567">
        <f t="shared" si="45"/>
        <v>566</v>
      </c>
      <c r="B567">
        <v>15</v>
      </c>
      <c r="C567">
        <v>9000</v>
      </c>
      <c r="D567">
        <v>9040</v>
      </c>
      <c r="E567" s="5">
        <f t="shared" si="41"/>
        <v>40</v>
      </c>
      <c r="F567" s="5">
        <f t="shared" si="42"/>
        <v>1600</v>
      </c>
      <c r="G567" s="6">
        <f>SQRT(SUM($F$2:F567)/A567)</f>
        <v>993.49253937563765</v>
      </c>
      <c r="H567" s="5">
        <f t="shared" si="43"/>
        <v>1</v>
      </c>
      <c r="I567" s="5">
        <f t="shared" si="44"/>
        <v>1</v>
      </c>
    </row>
    <row r="568" spans="1:9">
      <c r="A568">
        <f t="shared" si="45"/>
        <v>567</v>
      </c>
      <c r="B568">
        <v>15</v>
      </c>
      <c r="C568">
        <v>9000</v>
      </c>
      <c r="D568">
        <v>9431</v>
      </c>
      <c r="E568" s="5">
        <f t="shared" si="41"/>
        <v>431</v>
      </c>
      <c r="F568" s="5">
        <f t="shared" si="42"/>
        <v>185761</v>
      </c>
      <c r="G568" s="6">
        <f>SQRT(SUM($F$2:F568)/A568)</f>
        <v>992.78107228914814</v>
      </c>
      <c r="H568" s="5">
        <f t="shared" si="43"/>
        <v>1</v>
      </c>
      <c r="I568" s="5">
        <f t="shared" si="44"/>
        <v>1</v>
      </c>
    </row>
    <row r="569" spans="1:9">
      <c r="A569">
        <f t="shared" si="45"/>
        <v>568</v>
      </c>
      <c r="B569">
        <v>15</v>
      </c>
      <c r="C569">
        <v>9000</v>
      </c>
      <c r="D569">
        <v>9228</v>
      </c>
      <c r="E569" s="5">
        <f t="shared" si="41"/>
        <v>228</v>
      </c>
      <c r="F569" s="5">
        <f t="shared" si="42"/>
        <v>51984</v>
      </c>
      <c r="G569" s="6">
        <f>SQRT(SUM($F$2:F569)/A569)</f>
        <v>991.95289316253377</v>
      </c>
      <c r="H569" s="5">
        <f t="shared" si="43"/>
        <v>1</v>
      </c>
      <c r="I569" s="5">
        <f t="shared" si="44"/>
        <v>1</v>
      </c>
    </row>
    <row r="570" spans="1:9">
      <c r="A570">
        <f t="shared" si="45"/>
        <v>569</v>
      </c>
      <c r="B570">
        <v>15</v>
      </c>
      <c r="C570">
        <v>9000</v>
      </c>
      <c r="D570">
        <v>9478</v>
      </c>
      <c r="E570" s="5">
        <f t="shared" si="41"/>
        <v>478</v>
      </c>
      <c r="F570" s="5">
        <f t="shared" si="42"/>
        <v>228484</v>
      </c>
      <c r="G570" s="6">
        <f>SQRT(SUM($F$2:F570)/A570)</f>
        <v>991.2834094702871</v>
      </c>
      <c r="H570" s="5">
        <f t="shared" si="43"/>
        <v>1</v>
      </c>
      <c r="I570" s="5">
        <f t="shared" si="44"/>
        <v>1</v>
      </c>
    </row>
    <row r="571" spans="1:9">
      <c r="A571">
        <f t="shared" si="45"/>
        <v>570</v>
      </c>
      <c r="B571">
        <v>14</v>
      </c>
      <c r="C571">
        <v>9000</v>
      </c>
      <c r="D571">
        <v>8260</v>
      </c>
      <c r="E571" s="5">
        <f t="shared" si="41"/>
        <v>740</v>
      </c>
      <c r="F571" s="5">
        <f t="shared" si="42"/>
        <v>547600</v>
      </c>
      <c r="G571" s="6">
        <f>SQRT(SUM($F$2:F571)/A571)</f>
        <v>990.89836255404146</v>
      </c>
      <c r="H571" s="5">
        <f t="shared" si="43"/>
        <v>1</v>
      </c>
      <c r="I571" s="5">
        <f t="shared" si="44"/>
        <v>1</v>
      </c>
    </row>
    <row r="572" spans="1:9">
      <c r="A572">
        <f t="shared" si="45"/>
        <v>571</v>
      </c>
      <c r="B572">
        <v>16</v>
      </c>
      <c r="C572">
        <v>9000</v>
      </c>
      <c r="D572">
        <v>9734</v>
      </c>
      <c r="E572" s="5">
        <f t="shared" si="41"/>
        <v>734</v>
      </c>
      <c r="F572" s="5">
        <f t="shared" si="42"/>
        <v>538756</v>
      </c>
      <c r="G572" s="6">
        <f>SQRT(SUM($F$2:F572)/A572)</f>
        <v>990.50669691702649</v>
      </c>
      <c r="H572" s="5">
        <f t="shared" si="43"/>
        <v>1</v>
      </c>
      <c r="I572" s="5">
        <f t="shared" si="44"/>
        <v>1</v>
      </c>
    </row>
    <row r="573" spans="1:9">
      <c r="A573">
        <f t="shared" si="45"/>
        <v>572</v>
      </c>
      <c r="B573">
        <v>14</v>
      </c>
      <c r="C573">
        <v>9000</v>
      </c>
      <c r="D573">
        <v>8231</v>
      </c>
      <c r="E573" s="5">
        <f t="shared" si="41"/>
        <v>769</v>
      </c>
      <c r="F573" s="5">
        <f t="shared" si="42"/>
        <v>591361</v>
      </c>
      <c r="G573" s="6">
        <f>SQRT(SUM($F$2:F573)/A573)</f>
        <v>990.1626879464801</v>
      </c>
      <c r="H573" s="5">
        <f t="shared" si="43"/>
        <v>1</v>
      </c>
      <c r="I573" s="5">
        <f t="shared" si="44"/>
        <v>1</v>
      </c>
    </row>
    <row r="574" spans="1:9">
      <c r="A574">
        <f t="shared" si="45"/>
        <v>573</v>
      </c>
      <c r="B574">
        <v>16</v>
      </c>
      <c r="C574">
        <v>9000</v>
      </c>
      <c r="D574">
        <v>9593</v>
      </c>
      <c r="E574" s="5">
        <f t="shared" si="41"/>
        <v>593</v>
      </c>
      <c r="F574" s="5">
        <f t="shared" si="42"/>
        <v>351649</v>
      </c>
      <c r="G574" s="6">
        <f>SQRT(SUM($F$2:F574)/A574)</f>
        <v>989.60841410303567</v>
      </c>
      <c r="H574" s="5">
        <f t="shared" si="43"/>
        <v>1</v>
      </c>
      <c r="I574" s="5">
        <f t="shared" si="44"/>
        <v>1</v>
      </c>
    </row>
    <row r="575" spans="1:9">
      <c r="A575">
        <f t="shared" si="45"/>
        <v>574</v>
      </c>
      <c r="B575">
        <v>14</v>
      </c>
      <c r="C575">
        <v>9000</v>
      </c>
      <c r="D575">
        <v>8209</v>
      </c>
      <c r="E575" s="5">
        <f t="shared" si="41"/>
        <v>791</v>
      </c>
      <c r="F575" s="5">
        <f t="shared" si="42"/>
        <v>625681</v>
      </c>
      <c r="G575" s="6">
        <f>SQRT(SUM($F$2:F575)/A575)</f>
        <v>989.29707826276001</v>
      </c>
      <c r="H575" s="5">
        <f t="shared" si="43"/>
        <v>1</v>
      </c>
      <c r="I575" s="5">
        <f t="shared" si="44"/>
        <v>1</v>
      </c>
    </row>
    <row r="576" spans="1:9">
      <c r="A576">
        <f t="shared" si="45"/>
        <v>575</v>
      </c>
      <c r="B576">
        <v>16</v>
      </c>
      <c r="C576">
        <v>9000</v>
      </c>
      <c r="D576">
        <v>9756</v>
      </c>
      <c r="E576" s="5">
        <f t="shared" si="41"/>
        <v>756</v>
      </c>
      <c r="F576" s="5">
        <f t="shared" si="42"/>
        <v>571536</v>
      </c>
      <c r="G576" s="6">
        <f>SQRT(SUM($F$2:F576)/A576)</f>
        <v>988.93911976860113</v>
      </c>
      <c r="H576" s="5">
        <f t="shared" si="43"/>
        <v>1</v>
      </c>
      <c r="I576" s="5">
        <f t="shared" si="44"/>
        <v>1</v>
      </c>
    </row>
    <row r="577" spans="1:9">
      <c r="A577">
        <f t="shared" si="45"/>
        <v>576</v>
      </c>
      <c r="B577">
        <v>14</v>
      </c>
      <c r="C577">
        <v>9000</v>
      </c>
      <c r="D577">
        <v>8902</v>
      </c>
      <c r="E577" s="5">
        <f t="shared" si="41"/>
        <v>98</v>
      </c>
      <c r="F577" s="5">
        <f t="shared" si="42"/>
        <v>9604</v>
      </c>
      <c r="G577" s="6">
        <f>SQRT(SUM($F$2:F577)/A577)</f>
        <v>988.08873009546392</v>
      </c>
      <c r="H577" s="5">
        <f t="shared" si="43"/>
        <v>1</v>
      </c>
      <c r="I577" s="5">
        <f t="shared" si="44"/>
        <v>1</v>
      </c>
    </row>
    <row r="578" spans="1:9">
      <c r="A578">
        <f t="shared" si="45"/>
        <v>577</v>
      </c>
      <c r="B578">
        <v>15</v>
      </c>
      <c r="C578">
        <v>9000</v>
      </c>
      <c r="D578">
        <v>9015</v>
      </c>
      <c r="E578" s="5">
        <f t="shared" si="41"/>
        <v>15</v>
      </c>
      <c r="F578" s="5">
        <f t="shared" si="42"/>
        <v>225</v>
      </c>
      <c r="G578" s="6">
        <f>SQRT(SUM($F$2:F578)/A578)</f>
        <v>987.23232688378243</v>
      </c>
      <c r="H578" s="5">
        <f t="shared" si="43"/>
        <v>1</v>
      </c>
      <c r="I578" s="5">
        <f t="shared" si="44"/>
        <v>1</v>
      </c>
    </row>
    <row r="579" spans="1:9">
      <c r="A579">
        <f t="shared" si="45"/>
        <v>578</v>
      </c>
      <c r="B579">
        <v>15</v>
      </c>
      <c r="C579">
        <v>9000</v>
      </c>
      <c r="D579">
        <v>9310</v>
      </c>
      <c r="E579" s="5">
        <f t="shared" ref="E579:E642" si="46">ABS(C579-D579)</f>
        <v>310</v>
      </c>
      <c r="F579" s="5">
        <f t="shared" ref="F579:F642" si="47">POWER(E579,2)</f>
        <v>96100</v>
      </c>
      <c r="G579" s="6">
        <f>SQRT(SUM($F$2:F579)/A579)</f>
        <v>986.46222592828713</v>
      </c>
      <c r="H579" s="5">
        <f t="shared" ref="H579:H642" si="48">IF(ABS(E579)/C579&gt;0.2,0,1)</f>
        <v>1</v>
      </c>
      <c r="I579" s="5">
        <f t="shared" ref="I579:I642" si="49">IF(ABS(E579)/C579&gt;0.1,0,1)</f>
        <v>1</v>
      </c>
    </row>
    <row r="580" spans="1:9">
      <c r="A580">
        <f t="shared" ref="A580:A643" si="50">A579+1</f>
        <v>579</v>
      </c>
      <c r="B580">
        <v>14</v>
      </c>
      <c r="C580">
        <v>9000</v>
      </c>
      <c r="D580">
        <v>8403</v>
      </c>
      <c r="E580" s="5">
        <f t="shared" si="46"/>
        <v>597</v>
      </c>
      <c r="F580" s="5">
        <f t="shared" si="47"/>
        <v>356409</v>
      </c>
      <c r="G580" s="6">
        <f>SQRT(SUM($F$2:F580)/A580)</f>
        <v>985.92221454132959</v>
      </c>
      <c r="H580" s="5">
        <f t="shared" si="48"/>
        <v>1</v>
      </c>
      <c r="I580" s="5">
        <f t="shared" si="49"/>
        <v>1</v>
      </c>
    </row>
    <row r="581" spans="1:9">
      <c r="A581">
        <f t="shared" si="50"/>
        <v>580</v>
      </c>
      <c r="B581">
        <v>16</v>
      </c>
      <c r="C581">
        <v>9000</v>
      </c>
      <c r="D581">
        <v>8954</v>
      </c>
      <c r="E581" s="5">
        <f t="shared" si="46"/>
        <v>46</v>
      </c>
      <c r="F581" s="5">
        <f t="shared" si="47"/>
        <v>2116</v>
      </c>
      <c r="G581" s="6">
        <f>SQRT(SUM($F$2:F581)/A581)</f>
        <v>985.07376671093471</v>
      </c>
      <c r="H581" s="5">
        <f t="shared" si="48"/>
        <v>1</v>
      </c>
      <c r="I581" s="5">
        <f t="shared" si="49"/>
        <v>1</v>
      </c>
    </row>
    <row r="582" spans="1:9">
      <c r="A582">
        <f t="shared" si="50"/>
        <v>581</v>
      </c>
      <c r="B582">
        <v>15</v>
      </c>
      <c r="C582">
        <v>9000</v>
      </c>
      <c r="D582">
        <v>9291</v>
      </c>
      <c r="E582" s="5">
        <f t="shared" si="46"/>
        <v>291</v>
      </c>
      <c r="F582" s="5">
        <f t="shared" si="47"/>
        <v>84681</v>
      </c>
      <c r="G582" s="6">
        <f>SQRT(SUM($F$2:F582)/A582)</f>
        <v>984.29970213063552</v>
      </c>
      <c r="H582" s="5">
        <f t="shared" si="48"/>
        <v>1</v>
      </c>
      <c r="I582" s="5">
        <f t="shared" si="49"/>
        <v>1</v>
      </c>
    </row>
    <row r="583" spans="1:9">
      <c r="A583">
        <f t="shared" si="50"/>
        <v>582</v>
      </c>
      <c r="B583">
        <v>15</v>
      </c>
      <c r="C583">
        <v>9000</v>
      </c>
      <c r="D583">
        <v>8882</v>
      </c>
      <c r="E583" s="5">
        <f t="shared" si="46"/>
        <v>118</v>
      </c>
      <c r="F583" s="5">
        <f t="shared" si="47"/>
        <v>13924</v>
      </c>
      <c r="G583" s="6">
        <f>SQRT(SUM($F$2:F583)/A583)</f>
        <v>983.46588366343292</v>
      </c>
      <c r="H583" s="5">
        <f t="shared" si="48"/>
        <v>1</v>
      </c>
      <c r="I583" s="5">
        <f t="shared" si="49"/>
        <v>1</v>
      </c>
    </row>
    <row r="584" spans="1:9">
      <c r="A584">
        <f t="shared" si="50"/>
        <v>583</v>
      </c>
      <c r="B584">
        <v>15</v>
      </c>
      <c r="C584">
        <v>9000</v>
      </c>
      <c r="D584">
        <v>8408</v>
      </c>
      <c r="E584" s="5">
        <f t="shared" si="46"/>
        <v>592</v>
      </c>
      <c r="F584" s="5">
        <f t="shared" si="47"/>
        <v>350464</v>
      </c>
      <c r="G584" s="6">
        <f>SQRT(SUM($F$2:F584)/A584)</f>
        <v>982.92790645944172</v>
      </c>
      <c r="H584" s="5">
        <f t="shared" si="48"/>
        <v>1</v>
      </c>
      <c r="I584" s="5">
        <f t="shared" si="49"/>
        <v>1</v>
      </c>
    </row>
    <row r="585" spans="1:9">
      <c r="A585">
        <f t="shared" si="50"/>
        <v>584</v>
      </c>
      <c r="B585">
        <v>16</v>
      </c>
      <c r="C585">
        <v>9000</v>
      </c>
      <c r="D585">
        <v>6642</v>
      </c>
      <c r="E585" s="5">
        <f t="shared" si="46"/>
        <v>2358</v>
      </c>
      <c r="F585" s="5">
        <f t="shared" si="47"/>
        <v>5560164</v>
      </c>
      <c r="G585" s="6">
        <f>SQRT(SUM($F$2:F585)/A585)</f>
        <v>986.92134250981212</v>
      </c>
      <c r="H585" s="5">
        <f t="shared" si="48"/>
        <v>0</v>
      </c>
      <c r="I585" s="5">
        <f t="shared" si="49"/>
        <v>0</v>
      </c>
    </row>
    <row r="586" spans="1:9">
      <c r="A586">
        <f t="shared" si="50"/>
        <v>585</v>
      </c>
      <c r="B586">
        <v>18</v>
      </c>
      <c r="C586">
        <v>9000</v>
      </c>
      <c r="D586">
        <v>2517</v>
      </c>
      <c r="E586" s="5">
        <f t="shared" si="46"/>
        <v>6483</v>
      </c>
      <c r="F586" s="5">
        <f t="shared" si="47"/>
        <v>42029289</v>
      </c>
      <c r="G586" s="6">
        <f>SQRT(SUM($F$2:F586)/A586)</f>
        <v>1021.8579617623449</v>
      </c>
      <c r="H586" s="5">
        <f t="shared" si="48"/>
        <v>0</v>
      </c>
      <c r="I586" s="5">
        <f t="shared" si="49"/>
        <v>0</v>
      </c>
    </row>
    <row r="587" spans="1:9">
      <c r="A587">
        <f t="shared" si="50"/>
        <v>586</v>
      </c>
      <c r="B587">
        <v>24</v>
      </c>
      <c r="C587">
        <v>9000</v>
      </c>
      <c r="D587">
        <v>4226</v>
      </c>
      <c r="E587" s="5">
        <f t="shared" si="46"/>
        <v>4774</v>
      </c>
      <c r="F587" s="5">
        <f t="shared" si="47"/>
        <v>22791076</v>
      </c>
      <c r="G587" s="6">
        <f>SQRT(SUM($F$2:F587)/A587)</f>
        <v>1039.857881960688</v>
      </c>
      <c r="H587" s="5">
        <f t="shared" si="48"/>
        <v>0</v>
      </c>
      <c r="I587" s="5">
        <f t="shared" si="49"/>
        <v>0</v>
      </c>
    </row>
    <row r="588" spans="1:9">
      <c r="A588">
        <f t="shared" si="50"/>
        <v>587</v>
      </c>
      <c r="B588">
        <v>24</v>
      </c>
      <c r="C588">
        <v>9000</v>
      </c>
      <c r="D588">
        <v>5139</v>
      </c>
      <c r="E588" s="5">
        <f t="shared" si="46"/>
        <v>3861</v>
      </c>
      <c r="F588" s="5">
        <f t="shared" si="47"/>
        <v>14907321</v>
      </c>
      <c r="G588" s="6">
        <f>SQRT(SUM($F$2:F588)/A588)</f>
        <v>1051.1223076416018</v>
      </c>
      <c r="H588" s="5">
        <f t="shared" si="48"/>
        <v>0</v>
      </c>
      <c r="I588" s="5">
        <f t="shared" si="49"/>
        <v>0</v>
      </c>
    </row>
    <row r="589" spans="1:9">
      <c r="A589">
        <f t="shared" si="50"/>
        <v>588</v>
      </c>
      <c r="B589">
        <v>24</v>
      </c>
      <c r="C589">
        <v>9000</v>
      </c>
      <c r="D589">
        <v>6923</v>
      </c>
      <c r="E589" s="5">
        <f t="shared" si="46"/>
        <v>2077</v>
      </c>
      <c r="F589" s="5">
        <f t="shared" si="47"/>
        <v>4313929</v>
      </c>
      <c r="G589" s="6">
        <f>SQRT(SUM($F$2:F589)/A589)</f>
        <v>1053.7151935811087</v>
      </c>
      <c r="H589" s="5">
        <f t="shared" si="48"/>
        <v>0</v>
      </c>
      <c r="I589" s="5">
        <f t="shared" si="49"/>
        <v>0</v>
      </c>
    </row>
    <row r="590" spans="1:9">
      <c r="A590">
        <f t="shared" si="50"/>
        <v>589</v>
      </c>
      <c r="B590">
        <v>23</v>
      </c>
      <c r="C590">
        <v>9000</v>
      </c>
      <c r="D590">
        <v>11341</v>
      </c>
      <c r="E590" s="5">
        <f t="shared" si="46"/>
        <v>2341</v>
      </c>
      <c r="F590" s="5">
        <f t="shared" si="47"/>
        <v>5480281</v>
      </c>
      <c r="G590" s="6">
        <f>SQRT(SUM($F$2:F590)/A590)</f>
        <v>1057.2298733451391</v>
      </c>
      <c r="H590" s="5">
        <f t="shared" si="48"/>
        <v>0</v>
      </c>
      <c r="I590" s="5">
        <f t="shared" si="49"/>
        <v>0</v>
      </c>
    </row>
    <row r="591" spans="1:9">
      <c r="A591">
        <f t="shared" si="50"/>
        <v>590</v>
      </c>
      <c r="B591">
        <v>18</v>
      </c>
      <c r="C591">
        <v>9000</v>
      </c>
      <c r="D591">
        <v>10108</v>
      </c>
      <c r="E591" s="5">
        <f t="shared" si="46"/>
        <v>1108</v>
      </c>
      <c r="F591" s="5">
        <f t="shared" si="47"/>
        <v>1227664</v>
      </c>
      <c r="G591" s="6">
        <f>SQRT(SUM($F$2:F591)/A591)</f>
        <v>1057.3179869006906</v>
      </c>
      <c r="H591" s="5">
        <f t="shared" si="48"/>
        <v>1</v>
      </c>
      <c r="I591" s="5">
        <f t="shared" si="49"/>
        <v>0</v>
      </c>
    </row>
    <row r="592" spans="1:9">
      <c r="A592">
        <f t="shared" si="50"/>
        <v>591</v>
      </c>
      <c r="B592">
        <v>19</v>
      </c>
      <c r="C592">
        <v>9000</v>
      </c>
      <c r="D592">
        <v>10216</v>
      </c>
      <c r="E592" s="5">
        <f t="shared" si="46"/>
        <v>1216</v>
      </c>
      <c r="F592" s="5">
        <f t="shared" si="47"/>
        <v>1478656</v>
      </c>
      <c r="G592" s="6">
        <f>SQRT(SUM($F$2:F592)/A592)</f>
        <v>1057.6065930126174</v>
      </c>
      <c r="H592" s="5">
        <f t="shared" si="48"/>
        <v>1</v>
      </c>
      <c r="I592" s="5">
        <f t="shared" si="49"/>
        <v>0</v>
      </c>
    </row>
    <row r="593" spans="1:9">
      <c r="A593">
        <f t="shared" si="50"/>
        <v>592</v>
      </c>
      <c r="B593">
        <v>18</v>
      </c>
      <c r="C593">
        <v>9000</v>
      </c>
      <c r="D593">
        <v>9525</v>
      </c>
      <c r="E593" s="5">
        <f t="shared" si="46"/>
        <v>525</v>
      </c>
      <c r="F593" s="5">
        <f t="shared" si="47"/>
        <v>275625</v>
      </c>
      <c r="G593" s="6">
        <f>SQRT(SUM($F$2:F593)/A593)</f>
        <v>1056.9332413587856</v>
      </c>
      <c r="H593" s="5">
        <f t="shared" si="48"/>
        <v>1</v>
      </c>
      <c r="I593" s="5">
        <f t="shared" si="49"/>
        <v>1</v>
      </c>
    </row>
    <row r="594" spans="1:9">
      <c r="A594">
        <f t="shared" si="50"/>
        <v>593</v>
      </c>
      <c r="B594">
        <v>19</v>
      </c>
      <c r="C594">
        <v>9000</v>
      </c>
      <c r="D594">
        <v>10871</v>
      </c>
      <c r="E594" s="5">
        <f t="shared" si="46"/>
        <v>1871</v>
      </c>
      <c r="F594" s="5">
        <f t="shared" si="47"/>
        <v>3500641</v>
      </c>
      <c r="G594" s="6">
        <f>SQRT(SUM($F$2:F594)/A594)</f>
        <v>1058.8330016880584</v>
      </c>
      <c r="H594" s="5">
        <f t="shared" si="48"/>
        <v>0</v>
      </c>
      <c r="I594" s="5">
        <f t="shared" si="49"/>
        <v>0</v>
      </c>
    </row>
    <row r="595" spans="1:9">
      <c r="A595">
        <f t="shared" si="50"/>
        <v>594</v>
      </c>
      <c r="B595">
        <v>17</v>
      </c>
      <c r="C595">
        <v>9000</v>
      </c>
      <c r="D595">
        <v>9980</v>
      </c>
      <c r="E595" s="5">
        <f t="shared" si="46"/>
        <v>980</v>
      </c>
      <c r="F595" s="5">
        <f t="shared" si="47"/>
        <v>960400</v>
      </c>
      <c r="G595" s="6">
        <f>SQRT(SUM($F$2:F595)/A595)</f>
        <v>1058.7052190013708</v>
      </c>
      <c r="H595" s="5">
        <f t="shared" si="48"/>
        <v>1</v>
      </c>
      <c r="I595" s="5">
        <f t="shared" si="49"/>
        <v>0</v>
      </c>
    </row>
    <row r="596" spans="1:9">
      <c r="A596">
        <f t="shared" si="50"/>
        <v>595</v>
      </c>
      <c r="B596">
        <v>17</v>
      </c>
      <c r="C596">
        <v>9000</v>
      </c>
      <c r="D596">
        <v>9656</v>
      </c>
      <c r="E596" s="5">
        <f t="shared" si="46"/>
        <v>656</v>
      </c>
      <c r="F596" s="5">
        <f t="shared" si="47"/>
        <v>430336</v>
      </c>
      <c r="G596" s="6">
        <f>SQRT(SUM($F$2:F596)/A596)</f>
        <v>1058.1569834767772</v>
      </c>
      <c r="H596" s="5">
        <f t="shared" si="48"/>
        <v>1</v>
      </c>
      <c r="I596" s="5">
        <f t="shared" si="49"/>
        <v>1</v>
      </c>
    </row>
    <row r="597" spans="1:9">
      <c r="A597">
        <f t="shared" si="50"/>
        <v>596</v>
      </c>
      <c r="B597">
        <v>17</v>
      </c>
      <c r="C597">
        <v>9000</v>
      </c>
      <c r="D597">
        <v>9503</v>
      </c>
      <c r="E597" s="5">
        <f t="shared" si="46"/>
        <v>503</v>
      </c>
      <c r="F597" s="5">
        <f t="shared" si="47"/>
        <v>253009</v>
      </c>
      <c r="G597" s="6">
        <f>SQRT(SUM($F$2:F597)/A597)</f>
        <v>1057.4696347997374</v>
      </c>
      <c r="H597" s="5">
        <f t="shared" si="48"/>
        <v>1</v>
      </c>
      <c r="I597" s="5">
        <f t="shared" si="49"/>
        <v>1</v>
      </c>
    </row>
    <row r="598" spans="1:9">
      <c r="A598">
        <f t="shared" si="50"/>
        <v>597</v>
      </c>
      <c r="B598">
        <v>17</v>
      </c>
      <c r="C598">
        <v>9000</v>
      </c>
      <c r="D598">
        <v>9934</v>
      </c>
      <c r="E598" s="5">
        <f t="shared" si="46"/>
        <v>934</v>
      </c>
      <c r="F598" s="5">
        <f t="shared" si="47"/>
        <v>872356</v>
      </c>
      <c r="G598" s="6">
        <f>SQRT(SUM($F$2:F598)/A598)</f>
        <v>1057.2748739703304</v>
      </c>
      <c r="H598" s="5">
        <f t="shared" si="48"/>
        <v>1</v>
      </c>
      <c r="I598" s="5">
        <f t="shared" si="49"/>
        <v>0</v>
      </c>
    </row>
    <row r="599" spans="1:9">
      <c r="A599">
        <f t="shared" si="50"/>
        <v>598</v>
      </c>
      <c r="B599">
        <v>17</v>
      </c>
      <c r="C599">
        <v>9000</v>
      </c>
      <c r="D599">
        <v>9564</v>
      </c>
      <c r="E599" s="5">
        <f t="shared" si="46"/>
        <v>564</v>
      </c>
      <c r="F599" s="5">
        <f t="shared" si="47"/>
        <v>318096</v>
      </c>
      <c r="G599" s="6">
        <f>SQRT(SUM($F$2:F599)/A599)</f>
        <v>1056.6422341723755</v>
      </c>
      <c r="H599" s="5">
        <f t="shared" si="48"/>
        <v>1</v>
      </c>
      <c r="I599" s="5">
        <f t="shared" si="49"/>
        <v>1</v>
      </c>
    </row>
    <row r="600" spans="1:9">
      <c r="A600">
        <f t="shared" si="50"/>
        <v>599</v>
      </c>
      <c r="B600">
        <v>17</v>
      </c>
      <c r="C600">
        <v>9000</v>
      </c>
      <c r="D600">
        <v>10175</v>
      </c>
      <c r="E600" s="5">
        <f t="shared" si="46"/>
        <v>1175</v>
      </c>
      <c r="F600" s="5">
        <f t="shared" si="47"/>
        <v>1380625</v>
      </c>
      <c r="G600" s="6">
        <f>SQRT(SUM($F$2:F600)/A600)</f>
        <v>1056.8508722980403</v>
      </c>
      <c r="H600" s="5">
        <f t="shared" si="48"/>
        <v>1</v>
      </c>
      <c r="I600" s="5">
        <f t="shared" si="49"/>
        <v>0</v>
      </c>
    </row>
    <row r="601" spans="1:9">
      <c r="A601">
        <f t="shared" si="50"/>
        <v>600</v>
      </c>
      <c r="B601">
        <v>16</v>
      </c>
      <c r="C601">
        <v>9000</v>
      </c>
      <c r="D601">
        <v>8338</v>
      </c>
      <c r="E601" s="5">
        <f t="shared" si="46"/>
        <v>662</v>
      </c>
      <c r="F601" s="5">
        <f t="shared" si="47"/>
        <v>438244</v>
      </c>
      <c r="G601" s="6">
        <f>SQRT(SUM($F$2:F601)/A601)</f>
        <v>1056.3155857349955</v>
      </c>
      <c r="H601" s="5">
        <f t="shared" si="48"/>
        <v>1</v>
      </c>
      <c r="I601" s="5">
        <f t="shared" si="49"/>
        <v>1</v>
      </c>
    </row>
    <row r="602" spans="1:9">
      <c r="A602">
        <f t="shared" si="50"/>
        <v>601</v>
      </c>
      <c r="B602">
        <v>18</v>
      </c>
      <c r="C602">
        <v>5000</v>
      </c>
      <c r="D602">
        <v>10539</v>
      </c>
      <c r="E602" s="5">
        <f t="shared" si="46"/>
        <v>5539</v>
      </c>
      <c r="F602" s="5">
        <f t="shared" si="47"/>
        <v>30680521</v>
      </c>
      <c r="G602" s="6">
        <f>SQRT(SUM($F$2:F602)/A602)</f>
        <v>1079.3494150337865</v>
      </c>
      <c r="H602" s="5">
        <f t="shared" si="48"/>
        <v>0</v>
      </c>
      <c r="I602" s="5">
        <f t="shared" si="49"/>
        <v>0</v>
      </c>
    </row>
    <row r="603" spans="1:9">
      <c r="A603">
        <f t="shared" si="50"/>
        <v>602</v>
      </c>
      <c r="B603">
        <v>10</v>
      </c>
      <c r="C603">
        <v>5000</v>
      </c>
      <c r="D603">
        <v>6568</v>
      </c>
      <c r="E603" s="5">
        <f t="shared" si="46"/>
        <v>1568</v>
      </c>
      <c r="F603" s="5">
        <f t="shared" si="47"/>
        <v>2458624</v>
      </c>
      <c r="G603" s="6">
        <f>SQRT(SUM($F$2:F603)/A603)</f>
        <v>1080.3444102926151</v>
      </c>
      <c r="H603" s="5">
        <f t="shared" si="48"/>
        <v>0</v>
      </c>
      <c r="I603" s="5">
        <f t="shared" si="49"/>
        <v>0</v>
      </c>
    </row>
    <row r="604" spans="1:9">
      <c r="A604">
        <f t="shared" si="50"/>
        <v>603</v>
      </c>
      <c r="B604">
        <v>14</v>
      </c>
      <c r="C604">
        <v>5000</v>
      </c>
      <c r="D604">
        <v>8874</v>
      </c>
      <c r="E604" s="5">
        <f t="shared" si="46"/>
        <v>3874</v>
      </c>
      <c r="F604" s="5">
        <f t="shared" si="47"/>
        <v>15007876</v>
      </c>
      <c r="G604" s="6">
        <f>SQRT(SUM($F$2:F604)/A604)</f>
        <v>1090.9157464430878</v>
      </c>
      <c r="H604" s="5">
        <f t="shared" si="48"/>
        <v>0</v>
      </c>
      <c r="I604" s="5">
        <f t="shared" si="49"/>
        <v>0</v>
      </c>
    </row>
    <row r="605" spans="1:9">
      <c r="A605">
        <f t="shared" si="50"/>
        <v>604</v>
      </c>
      <c r="B605">
        <v>11</v>
      </c>
      <c r="C605">
        <v>5000</v>
      </c>
      <c r="D605">
        <v>6386</v>
      </c>
      <c r="E605" s="5">
        <f t="shared" si="46"/>
        <v>1386</v>
      </c>
      <c r="F605" s="5">
        <f t="shared" si="47"/>
        <v>1920996</v>
      </c>
      <c r="G605" s="6">
        <f>SQRT(SUM($F$2:F605)/A605)</f>
        <v>1091.4702301231275</v>
      </c>
      <c r="H605" s="5">
        <f t="shared" si="48"/>
        <v>0</v>
      </c>
      <c r="I605" s="5">
        <f t="shared" si="49"/>
        <v>0</v>
      </c>
    </row>
    <row r="606" spans="1:9">
      <c r="A606">
        <f t="shared" si="50"/>
        <v>605</v>
      </c>
      <c r="B606">
        <v>13</v>
      </c>
      <c r="C606">
        <v>5000</v>
      </c>
      <c r="D606">
        <v>7754</v>
      </c>
      <c r="E606" s="5">
        <f t="shared" si="46"/>
        <v>2754</v>
      </c>
      <c r="F606" s="5">
        <f t="shared" si="47"/>
        <v>7584516</v>
      </c>
      <c r="G606" s="6">
        <f>SQRT(SUM($F$2:F606)/A606)</f>
        <v>1096.300392416797</v>
      </c>
      <c r="H606" s="5">
        <f t="shared" si="48"/>
        <v>0</v>
      </c>
      <c r="I606" s="5">
        <f t="shared" si="49"/>
        <v>0</v>
      </c>
    </row>
    <row r="607" spans="1:9">
      <c r="A607">
        <f t="shared" si="50"/>
        <v>606</v>
      </c>
      <c r="B607">
        <v>10</v>
      </c>
      <c r="C607">
        <v>5000</v>
      </c>
      <c r="D607">
        <v>6271</v>
      </c>
      <c r="E607" s="5">
        <f t="shared" si="46"/>
        <v>1271</v>
      </c>
      <c r="F607" s="5">
        <f t="shared" si="47"/>
        <v>1615441</v>
      </c>
      <c r="G607" s="6">
        <f>SQRT(SUM($F$2:F607)/A607)</f>
        <v>1096.6116009327689</v>
      </c>
      <c r="H607" s="5">
        <f t="shared" si="48"/>
        <v>0</v>
      </c>
      <c r="I607" s="5">
        <f t="shared" si="49"/>
        <v>0</v>
      </c>
    </row>
    <row r="608" spans="1:9">
      <c r="A608">
        <f t="shared" si="50"/>
        <v>607</v>
      </c>
      <c r="B608">
        <v>12</v>
      </c>
      <c r="C608">
        <v>5000</v>
      </c>
      <c r="D608">
        <v>6889</v>
      </c>
      <c r="E608" s="5">
        <f t="shared" si="46"/>
        <v>1889</v>
      </c>
      <c r="F608" s="5">
        <f t="shared" si="47"/>
        <v>3568321</v>
      </c>
      <c r="G608" s="6">
        <f>SQRT(SUM($F$2:F608)/A608)</f>
        <v>1098.3872144271952</v>
      </c>
      <c r="H608" s="5">
        <f t="shared" si="48"/>
        <v>0</v>
      </c>
      <c r="I608" s="5">
        <f t="shared" si="49"/>
        <v>0</v>
      </c>
    </row>
    <row r="609" spans="1:9">
      <c r="A609">
        <f t="shared" si="50"/>
        <v>608</v>
      </c>
      <c r="B609">
        <v>10</v>
      </c>
      <c r="C609">
        <v>5000</v>
      </c>
      <c r="D609">
        <v>5911</v>
      </c>
      <c r="E609" s="5">
        <f t="shared" si="46"/>
        <v>911</v>
      </c>
      <c r="F609" s="5">
        <f t="shared" si="47"/>
        <v>829921</v>
      </c>
      <c r="G609" s="6">
        <f>SQRT(SUM($F$2:F609)/A609)</f>
        <v>1098.1052656016659</v>
      </c>
      <c r="H609" s="5">
        <f t="shared" si="48"/>
        <v>1</v>
      </c>
      <c r="I609" s="5">
        <f t="shared" si="49"/>
        <v>0</v>
      </c>
    </row>
    <row r="610" spans="1:9">
      <c r="A610">
        <f t="shared" si="50"/>
        <v>609</v>
      </c>
      <c r="B610">
        <v>11</v>
      </c>
      <c r="C610">
        <v>5000</v>
      </c>
      <c r="D610">
        <v>6785</v>
      </c>
      <c r="E610" s="5">
        <f t="shared" si="46"/>
        <v>1785</v>
      </c>
      <c r="F610" s="5">
        <f t="shared" si="47"/>
        <v>3186225</v>
      </c>
      <c r="G610" s="6">
        <f>SQRT(SUM($F$2:F610)/A610)</f>
        <v>1099.5849425928911</v>
      </c>
      <c r="H610" s="5">
        <f t="shared" si="48"/>
        <v>0</v>
      </c>
      <c r="I610" s="5">
        <f t="shared" si="49"/>
        <v>0</v>
      </c>
    </row>
    <row r="611" spans="1:9">
      <c r="A611">
        <f t="shared" si="50"/>
        <v>610</v>
      </c>
      <c r="B611">
        <v>10</v>
      </c>
      <c r="C611">
        <v>5000</v>
      </c>
      <c r="D611">
        <v>5464</v>
      </c>
      <c r="E611" s="5">
        <f t="shared" si="46"/>
        <v>464</v>
      </c>
      <c r="F611" s="5">
        <f t="shared" si="47"/>
        <v>215296</v>
      </c>
      <c r="G611" s="6">
        <f>SQRT(SUM($F$2:F611)/A611)</f>
        <v>1098.8438835102413</v>
      </c>
      <c r="H611" s="5">
        <f t="shared" si="48"/>
        <v>1</v>
      </c>
      <c r="I611" s="5">
        <f t="shared" si="49"/>
        <v>1</v>
      </c>
    </row>
    <row r="612" spans="1:9">
      <c r="A612">
        <f t="shared" si="50"/>
        <v>611</v>
      </c>
      <c r="B612">
        <v>11</v>
      </c>
      <c r="C612">
        <v>5000</v>
      </c>
      <c r="D612">
        <v>5977</v>
      </c>
      <c r="E612" s="5">
        <f t="shared" si="46"/>
        <v>977</v>
      </c>
      <c r="F612" s="5">
        <f t="shared" si="47"/>
        <v>954529</v>
      </c>
      <c r="G612" s="6">
        <f>SQRT(SUM($F$2:F612)/A612)</f>
        <v>1098.6555062622049</v>
      </c>
      <c r="H612" s="5">
        <f t="shared" si="48"/>
        <v>1</v>
      </c>
      <c r="I612" s="5">
        <f t="shared" si="49"/>
        <v>0</v>
      </c>
    </row>
    <row r="613" spans="1:9">
      <c r="A613">
        <f t="shared" si="50"/>
        <v>612</v>
      </c>
      <c r="B613">
        <v>10</v>
      </c>
      <c r="C613">
        <v>5000</v>
      </c>
      <c r="D613">
        <v>6468</v>
      </c>
      <c r="E613" s="5">
        <f t="shared" si="46"/>
        <v>1468</v>
      </c>
      <c r="F613" s="5">
        <f t="shared" si="47"/>
        <v>2155024</v>
      </c>
      <c r="G613" s="6">
        <f>SQRT(SUM($F$2:F613)/A613)</f>
        <v>1099.3602269032349</v>
      </c>
      <c r="H613" s="5">
        <f t="shared" si="48"/>
        <v>0</v>
      </c>
      <c r="I613" s="5">
        <f t="shared" si="49"/>
        <v>0</v>
      </c>
    </row>
    <row r="614" spans="1:9">
      <c r="A614">
        <f t="shared" si="50"/>
        <v>613</v>
      </c>
      <c r="B614">
        <v>9</v>
      </c>
      <c r="C614">
        <v>5000</v>
      </c>
      <c r="D614">
        <v>5090</v>
      </c>
      <c r="E614" s="5">
        <f t="shared" si="46"/>
        <v>90</v>
      </c>
      <c r="F614" s="5">
        <f t="shared" si="47"/>
        <v>8100</v>
      </c>
      <c r="G614" s="6">
        <f>SQRT(SUM($F$2:F614)/A614)</f>
        <v>1098.4691706007027</v>
      </c>
      <c r="H614" s="5">
        <f t="shared" si="48"/>
        <v>1</v>
      </c>
      <c r="I614" s="5">
        <f t="shared" si="49"/>
        <v>1</v>
      </c>
    </row>
    <row r="615" spans="1:9">
      <c r="A615">
        <f t="shared" si="50"/>
        <v>614</v>
      </c>
      <c r="B615">
        <v>11</v>
      </c>
      <c r="C615">
        <v>5000</v>
      </c>
      <c r="D615">
        <v>6973</v>
      </c>
      <c r="E615" s="5">
        <f t="shared" si="46"/>
        <v>1973</v>
      </c>
      <c r="F615" s="5">
        <f t="shared" si="47"/>
        <v>3892729</v>
      </c>
      <c r="G615" s="6">
        <f>SQRT(SUM($F$2:F615)/A615)</f>
        <v>1100.4586614100108</v>
      </c>
      <c r="H615" s="5">
        <f t="shared" si="48"/>
        <v>0</v>
      </c>
      <c r="I615" s="5">
        <f t="shared" si="49"/>
        <v>0</v>
      </c>
    </row>
    <row r="616" spans="1:9">
      <c r="A616">
        <f t="shared" si="50"/>
        <v>615</v>
      </c>
      <c r="B616">
        <v>8</v>
      </c>
      <c r="C616">
        <v>5000</v>
      </c>
      <c r="D616">
        <v>4637</v>
      </c>
      <c r="E616" s="5">
        <f t="shared" si="46"/>
        <v>363</v>
      </c>
      <c r="F616" s="5">
        <f t="shared" si="47"/>
        <v>131769</v>
      </c>
      <c r="G616" s="6">
        <f>SQRT(SUM($F$2:F616)/A616)</f>
        <v>1099.6610401628461</v>
      </c>
      <c r="H616" s="5">
        <f t="shared" si="48"/>
        <v>1</v>
      </c>
      <c r="I616" s="5">
        <f t="shared" si="49"/>
        <v>1</v>
      </c>
    </row>
    <row r="617" spans="1:9">
      <c r="A617">
        <f t="shared" si="50"/>
        <v>616</v>
      </c>
      <c r="B617">
        <v>11</v>
      </c>
      <c r="C617">
        <v>5000</v>
      </c>
      <c r="D617">
        <v>6265</v>
      </c>
      <c r="E617" s="5">
        <f t="shared" si="46"/>
        <v>1265</v>
      </c>
      <c r="F617" s="5">
        <f t="shared" si="47"/>
        <v>1600225</v>
      </c>
      <c r="G617" s="6">
        <f>SQRT(SUM($F$2:F617)/A617)</f>
        <v>1099.9495878353794</v>
      </c>
      <c r="H617" s="5">
        <f t="shared" si="48"/>
        <v>0</v>
      </c>
      <c r="I617" s="5">
        <f t="shared" si="49"/>
        <v>0</v>
      </c>
    </row>
    <row r="618" spans="1:9">
      <c r="A618">
        <f t="shared" si="50"/>
        <v>617</v>
      </c>
      <c r="B618">
        <v>9</v>
      </c>
      <c r="C618">
        <v>5000</v>
      </c>
      <c r="D618">
        <v>5542</v>
      </c>
      <c r="E618" s="5">
        <f t="shared" si="46"/>
        <v>542</v>
      </c>
      <c r="F618" s="5">
        <f t="shared" si="47"/>
        <v>293764</v>
      </c>
      <c r="G618" s="6">
        <f>SQRT(SUM($F$2:F618)/A618)</f>
        <v>1099.2744380333113</v>
      </c>
      <c r="H618" s="5">
        <f t="shared" si="48"/>
        <v>1</v>
      </c>
      <c r="I618" s="5">
        <f t="shared" si="49"/>
        <v>0</v>
      </c>
    </row>
    <row r="619" spans="1:9">
      <c r="A619">
        <f t="shared" si="50"/>
        <v>618</v>
      </c>
      <c r="B619">
        <v>9</v>
      </c>
      <c r="C619">
        <v>5000</v>
      </c>
      <c r="D619">
        <v>5497</v>
      </c>
      <c r="E619" s="5">
        <f t="shared" si="46"/>
        <v>497</v>
      </c>
      <c r="F619" s="5">
        <f t="shared" si="47"/>
        <v>247009</v>
      </c>
      <c r="G619" s="6">
        <f>SQRT(SUM($F$2:F619)/A619)</f>
        <v>1098.5666271575008</v>
      </c>
      <c r="H619" s="5">
        <f t="shared" si="48"/>
        <v>1</v>
      </c>
      <c r="I619" s="5">
        <f t="shared" si="49"/>
        <v>1</v>
      </c>
    </row>
    <row r="620" spans="1:9">
      <c r="A620">
        <f t="shared" si="50"/>
        <v>619</v>
      </c>
      <c r="B620">
        <v>9</v>
      </c>
      <c r="C620">
        <v>5000</v>
      </c>
      <c r="D620">
        <v>5475</v>
      </c>
      <c r="E620" s="5">
        <f t="shared" si="46"/>
        <v>475</v>
      </c>
      <c r="F620" s="5">
        <f t="shared" si="47"/>
        <v>225625</v>
      </c>
      <c r="G620" s="6">
        <f>SQRT(SUM($F$2:F620)/A620)</f>
        <v>1097.8449156436093</v>
      </c>
      <c r="H620" s="5">
        <f t="shared" si="48"/>
        <v>1</v>
      </c>
      <c r="I620" s="5">
        <f t="shared" si="49"/>
        <v>1</v>
      </c>
    </row>
    <row r="621" spans="1:9">
      <c r="A621">
        <f t="shared" si="50"/>
        <v>620</v>
      </c>
      <c r="B621">
        <v>9</v>
      </c>
      <c r="C621">
        <v>5000</v>
      </c>
      <c r="D621">
        <v>5272</v>
      </c>
      <c r="E621" s="5">
        <f t="shared" si="46"/>
        <v>272</v>
      </c>
      <c r="F621" s="5">
        <f t="shared" si="47"/>
        <v>73984</v>
      </c>
      <c r="G621" s="6">
        <f>SQRT(SUM($F$2:F621)/A621)</f>
        <v>1097.0135890298393</v>
      </c>
      <c r="H621" s="5">
        <f t="shared" si="48"/>
        <v>1</v>
      </c>
      <c r="I621" s="5">
        <f t="shared" si="49"/>
        <v>1</v>
      </c>
    </row>
    <row r="622" spans="1:9">
      <c r="A622">
        <f t="shared" si="50"/>
        <v>621</v>
      </c>
      <c r="B622">
        <v>9</v>
      </c>
      <c r="C622">
        <v>5000</v>
      </c>
      <c r="D622">
        <v>6061</v>
      </c>
      <c r="E622" s="5">
        <f t="shared" si="46"/>
        <v>1061</v>
      </c>
      <c r="F622" s="5">
        <f t="shared" si="47"/>
        <v>1125721</v>
      </c>
      <c r="G622" s="6">
        <f>SQRT(SUM($F$2:F622)/A622)</f>
        <v>1096.9565465670737</v>
      </c>
      <c r="H622" s="5">
        <f t="shared" si="48"/>
        <v>0</v>
      </c>
      <c r="I622" s="5">
        <f t="shared" si="49"/>
        <v>0</v>
      </c>
    </row>
    <row r="623" spans="1:9">
      <c r="A623">
        <f t="shared" si="50"/>
        <v>622</v>
      </c>
      <c r="B623">
        <v>8</v>
      </c>
      <c r="C623">
        <v>5000</v>
      </c>
      <c r="D623">
        <v>6154</v>
      </c>
      <c r="E623" s="5">
        <f t="shared" si="46"/>
        <v>1154</v>
      </c>
      <c r="F623" s="5">
        <f t="shared" si="47"/>
        <v>1331716</v>
      </c>
      <c r="G623" s="6">
        <f>SQRT(SUM($F$2:F623)/A623)</f>
        <v>1097.0506367886837</v>
      </c>
      <c r="H623" s="5">
        <f t="shared" si="48"/>
        <v>0</v>
      </c>
      <c r="I623" s="5">
        <f t="shared" si="49"/>
        <v>0</v>
      </c>
    </row>
    <row r="624" spans="1:9">
      <c r="A624">
        <f t="shared" si="50"/>
        <v>623</v>
      </c>
      <c r="B624">
        <v>8</v>
      </c>
      <c r="C624">
        <v>5000</v>
      </c>
      <c r="D624">
        <v>5788</v>
      </c>
      <c r="E624" s="5">
        <f t="shared" si="46"/>
        <v>788</v>
      </c>
      <c r="F624" s="5">
        <f t="shared" si="47"/>
        <v>620944</v>
      </c>
      <c r="G624" s="6">
        <f>SQRT(SUM($F$2:F624)/A624)</f>
        <v>1096.6243593654904</v>
      </c>
      <c r="H624" s="5">
        <f t="shared" si="48"/>
        <v>1</v>
      </c>
      <c r="I624" s="5">
        <f t="shared" si="49"/>
        <v>0</v>
      </c>
    </row>
    <row r="625" spans="1:9">
      <c r="A625">
        <f t="shared" si="50"/>
        <v>624</v>
      </c>
      <c r="B625">
        <v>8</v>
      </c>
      <c r="C625">
        <v>5000</v>
      </c>
      <c r="D625">
        <v>5888</v>
      </c>
      <c r="E625" s="5">
        <f t="shared" si="46"/>
        <v>888</v>
      </c>
      <c r="F625" s="5">
        <f t="shared" si="47"/>
        <v>788544</v>
      </c>
      <c r="G625" s="6">
        <f>SQRT(SUM($F$2:F625)/A625)</f>
        <v>1096.3217859430383</v>
      </c>
      <c r="H625" s="5">
        <f t="shared" si="48"/>
        <v>1</v>
      </c>
      <c r="I625" s="5">
        <f t="shared" si="49"/>
        <v>0</v>
      </c>
    </row>
    <row r="626" spans="1:9">
      <c r="A626">
        <f t="shared" si="50"/>
        <v>625</v>
      </c>
      <c r="B626">
        <v>7</v>
      </c>
      <c r="C626">
        <v>5000</v>
      </c>
      <c r="D626">
        <v>5301</v>
      </c>
      <c r="E626" s="5">
        <f t="shared" si="46"/>
        <v>301</v>
      </c>
      <c r="F626" s="5">
        <f t="shared" si="47"/>
        <v>90601</v>
      </c>
      <c r="G626" s="6">
        <f>SQRT(SUM($F$2:F626)/A626)</f>
        <v>1095.510541072061</v>
      </c>
      <c r="H626" s="5">
        <f t="shared" si="48"/>
        <v>1</v>
      </c>
      <c r="I626" s="5">
        <f t="shared" si="49"/>
        <v>1</v>
      </c>
    </row>
    <row r="627" spans="1:9">
      <c r="A627">
        <f t="shared" si="50"/>
        <v>626</v>
      </c>
      <c r="B627">
        <v>8</v>
      </c>
      <c r="C627">
        <v>5000</v>
      </c>
      <c r="D627">
        <v>6319</v>
      </c>
      <c r="E627" s="5">
        <f t="shared" si="46"/>
        <v>1319</v>
      </c>
      <c r="F627" s="5">
        <f t="shared" si="47"/>
        <v>1739761</v>
      </c>
      <c r="G627" s="6">
        <f>SQRT(SUM($F$2:F627)/A627)</f>
        <v>1095.9038984475728</v>
      </c>
      <c r="H627" s="5">
        <f t="shared" si="48"/>
        <v>0</v>
      </c>
      <c r="I627" s="5">
        <f t="shared" si="49"/>
        <v>0</v>
      </c>
    </row>
    <row r="628" spans="1:9">
      <c r="A628">
        <f t="shared" si="50"/>
        <v>627</v>
      </c>
      <c r="B628">
        <v>7</v>
      </c>
      <c r="C628">
        <v>5000</v>
      </c>
      <c r="D628">
        <v>5446</v>
      </c>
      <c r="E628" s="5">
        <f t="shared" si="46"/>
        <v>446</v>
      </c>
      <c r="F628" s="5">
        <f t="shared" si="47"/>
        <v>198916</v>
      </c>
      <c r="G628" s="6">
        <f>SQRT(SUM($F$2:F628)/A628)</f>
        <v>1095.1744728566359</v>
      </c>
      <c r="H628" s="5">
        <f t="shared" si="48"/>
        <v>1</v>
      </c>
      <c r="I628" s="5">
        <f t="shared" si="49"/>
        <v>1</v>
      </c>
    </row>
    <row r="629" spans="1:9">
      <c r="A629">
        <f t="shared" si="50"/>
        <v>628</v>
      </c>
      <c r="B629">
        <v>7</v>
      </c>
      <c r="C629">
        <v>5000</v>
      </c>
      <c r="D629">
        <v>5399</v>
      </c>
      <c r="E629" s="5">
        <f t="shared" si="46"/>
        <v>399</v>
      </c>
      <c r="F629" s="5">
        <f t="shared" si="47"/>
        <v>159201</v>
      </c>
      <c r="G629" s="6">
        <f>SQRT(SUM($F$2:F629)/A629)</f>
        <v>1094.4179945593396</v>
      </c>
      <c r="H629" s="5">
        <f t="shared" si="48"/>
        <v>1</v>
      </c>
      <c r="I629" s="5">
        <f t="shared" si="49"/>
        <v>1</v>
      </c>
    </row>
    <row r="630" spans="1:9">
      <c r="A630">
        <f t="shared" si="50"/>
        <v>629</v>
      </c>
      <c r="B630">
        <v>7</v>
      </c>
      <c r="C630">
        <v>5000</v>
      </c>
      <c r="D630">
        <v>5742</v>
      </c>
      <c r="E630" s="5">
        <f t="shared" si="46"/>
        <v>742</v>
      </c>
      <c r="F630" s="5">
        <f t="shared" si="47"/>
        <v>550564</v>
      </c>
      <c r="G630" s="6">
        <f>SQRT(SUM($F$2:F630)/A630)</f>
        <v>1093.947820084835</v>
      </c>
      <c r="H630" s="5">
        <f t="shared" si="48"/>
        <v>1</v>
      </c>
      <c r="I630" s="5">
        <f t="shared" si="49"/>
        <v>0</v>
      </c>
    </row>
    <row r="631" spans="1:9">
      <c r="A631">
        <f t="shared" si="50"/>
        <v>630</v>
      </c>
      <c r="B631">
        <v>7</v>
      </c>
      <c r="C631">
        <v>5000</v>
      </c>
      <c r="D631">
        <v>5883</v>
      </c>
      <c r="E631" s="5">
        <f t="shared" si="46"/>
        <v>883</v>
      </c>
      <c r="F631" s="5">
        <f t="shared" si="47"/>
        <v>779689</v>
      </c>
      <c r="G631" s="6">
        <f>SQRT(SUM($F$2:F631)/A631)</f>
        <v>1093.6452240971366</v>
      </c>
      <c r="H631" s="5">
        <f t="shared" si="48"/>
        <v>1</v>
      </c>
      <c r="I631" s="5">
        <f t="shared" si="49"/>
        <v>0</v>
      </c>
    </row>
    <row r="632" spans="1:9">
      <c r="A632">
        <f t="shared" si="50"/>
        <v>631</v>
      </c>
      <c r="B632">
        <v>6</v>
      </c>
      <c r="C632">
        <v>5000</v>
      </c>
      <c r="D632">
        <v>4250</v>
      </c>
      <c r="E632" s="5">
        <f t="shared" si="46"/>
        <v>750</v>
      </c>
      <c r="F632" s="5">
        <f t="shared" si="47"/>
        <v>562500</v>
      </c>
      <c r="G632" s="6">
        <f>SQRT(SUM($F$2:F632)/A632)</f>
        <v>1093.1860863249174</v>
      </c>
      <c r="H632" s="5">
        <f t="shared" si="48"/>
        <v>1</v>
      </c>
      <c r="I632" s="5">
        <f t="shared" si="49"/>
        <v>0</v>
      </c>
    </row>
    <row r="633" spans="1:9">
      <c r="A633">
        <f t="shared" si="50"/>
        <v>632</v>
      </c>
      <c r="B633">
        <v>8</v>
      </c>
      <c r="C633">
        <v>5000</v>
      </c>
      <c r="D633">
        <v>5670</v>
      </c>
      <c r="E633" s="5">
        <f t="shared" si="46"/>
        <v>670</v>
      </c>
      <c r="F633" s="5">
        <f t="shared" si="47"/>
        <v>448900</v>
      </c>
      <c r="G633" s="6">
        <f>SQRT(SUM($F$2:F633)/A633)</f>
        <v>1092.6459596035554</v>
      </c>
      <c r="H633" s="5">
        <f t="shared" si="48"/>
        <v>1</v>
      </c>
      <c r="I633" s="5">
        <f t="shared" si="49"/>
        <v>0</v>
      </c>
    </row>
    <row r="634" spans="1:9">
      <c r="A634">
        <f t="shared" si="50"/>
        <v>633</v>
      </c>
      <c r="B634">
        <v>7</v>
      </c>
      <c r="C634">
        <v>5000</v>
      </c>
      <c r="D634">
        <v>4946</v>
      </c>
      <c r="E634" s="5">
        <f t="shared" si="46"/>
        <v>54</v>
      </c>
      <c r="F634" s="5">
        <f t="shared" si="47"/>
        <v>2916</v>
      </c>
      <c r="G634" s="6">
        <f>SQRT(SUM($F$2:F634)/A634)</f>
        <v>1091.7846586741689</v>
      </c>
      <c r="H634" s="5">
        <f t="shared" si="48"/>
        <v>1</v>
      </c>
      <c r="I634" s="5">
        <f t="shared" si="49"/>
        <v>1</v>
      </c>
    </row>
    <row r="635" spans="1:9">
      <c r="A635">
        <f t="shared" si="50"/>
        <v>634</v>
      </c>
      <c r="B635">
        <v>7</v>
      </c>
      <c r="C635">
        <v>5000</v>
      </c>
      <c r="D635">
        <v>5533</v>
      </c>
      <c r="E635" s="5">
        <f t="shared" si="46"/>
        <v>533</v>
      </c>
      <c r="F635" s="5">
        <f t="shared" si="47"/>
        <v>284089</v>
      </c>
      <c r="G635" s="6">
        <f>SQRT(SUM($F$2:F635)/A635)</f>
        <v>1091.1286425124404</v>
      </c>
      <c r="H635" s="5">
        <f t="shared" si="48"/>
        <v>1</v>
      </c>
      <c r="I635" s="5">
        <f t="shared" si="49"/>
        <v>0</v>
      </c>
    </row>
    <row r="636" spans="1:9">
      <c r="A636">
        <f t="shared" si="50"/>
        <v>635</v>
      </c>
      <c r="B636">
        <v>7</v>
      </c>
      <c r="C636">
        <v>5000</v>
      </c>
      <c r="D636">
        <v>4969</v>
      </c>
      <c r="E636" s="5">
        <f t="shared" si="46"/>
        <v>31</v>
      </c>
      <c r="F636" s="5">
        <f t="shared" si="47"/>
        <v>961</v>
      </c>
      <c r="G636" s="6">
        <f>SQRT(SUM($F$2:F636)/A636)</f>
        <v>1090.2698416259414</v>
      </c>
      <c r="H636" s="5">
        <f t="shared" si="48"/>
        <v>1</v>
      </c>
      <c r="I636" s="5">
        <f t="shared" si="49"/>
        <v>1</v>
      </c>
    </row>
    <row r="637" spans="1:9">
      <c r="A637">
        <f t="shared" si="50"/>
        <v>636</v>
      </c>
      <c r="B637">
        <v>7</v>
      </c>
      <c r="C637">
        <v>5000</v>
      </c>
      <c r="D637">
        <v>5444</v>
      </c>
      <c r="E637" s="5">
        <f t="shared" si="46"/>
        <v>444</v>
      </c>
      <c r="F637" s="5">
        <f t="shared" si="47"/>
        <v>197136</v>
      </c>
      <c r="G637" s="6">
        <f>SQRT(SUM($F$2:F637)/A637)</f>
        <v>1089.5546259912203</v>
      </c>
      <c r="H637" s="5">
        <f t="shared" si="48"/>
        <v>1</v>
      </c>
      <c r="I637" s="5">
        <f t="shared" si="49"/>
        <v>1</v>
      </c>
    </row>
    <row r="638" spans="1:9">
      <c r="A638">
        <f t="shared" si="50"/>
        <v>637</v>
      </c>
      <c r="B638">
        <v>7</v>
      </c>
      <c r="C638">
        <v>5000</v>
      </c>
      <c r="D638">
        <v>6525</v>
      </c>
      <c r="E638" s="5">
        <f t="shared" si="46"/>
        <v>1525</v>
      </c>
      <c r="F638" s="5">
        <f t="shared" si="47"/>
        <v>2325625</v>
      </c>
      <c r="G638" s="6">
        <f>SQRT(SUM($F$2:F638)/A638)</f>
        <v>1090.3745046723902</v>
      </c>
      <c r="H638" s="5">
        <f t="shared" si="48"/>
        <v>0</v>
      </c>
      <c r="I638" s="5">
        <f t="shared" si="49"/>
        <v>0</v>
      </c>
    </row>
    <row r="639" spans="1:9">
      <c r="A639">
        <f t="shared" si="50"/>
        <v>638</v>
      </c>
      <c r="B639">
        <v>5</v>
      </c>
      <c r="C639">
        <v>5000</v>
      </c>
      <c r="D639">
        <v>5613</v>
      </c>
      <c r="E639" s="5">
        <f t="shared" si="46"/>
        <v>613</v>
      </c>
      <c r="F639" s="5">
        <f t="shared" si="47"/>
        <v>375769</v>
      </c>
      <c r="G639" s="6">
        <f>SQRT(SUM($F$2:F639)/A639)</f>
        <v>1089.7899038267692</v>
      </c>
      <c r="H639" s="5">
        <f t="shared" si="48"/>
        <v>1</v>
      </c>
      <c r="I639" s="5">
        <f t="shared" si="49"/>
        <v>0</v>
      </c>
    </row>
    <row r="640" spans="1:9">
      <c r="A640">
        <f t="shared" si="50"/>
        <v>639</v>
      </c>
      <c r="B640">
        <v>6</v>
      </c>
      <c r="C640">
        <v>5000</v>
      </c>
      <c r="D640">
        <v>6397</v>
      </c>
      <c r="E640" s="5">
        <f t="shared" si="46"/>
        <v>1397</v>
      </c>
      <c r="F640" s="5">
        <f t="shared" si="47"/>
        <v>1951609</v>
      </c>
      <c r="G640" s="6">
        <f>SQRT(SUM($F$2:F640)/A640)</f>
        <v>1090.3382965570672</v>
      </c>
      <c r="H640" s="5">
        <f t="shared" si="48"/>
        <v>0</v>
      </c>
      <c r="I640" s="5">
        <f t="shared" si="49"/>
        <v>0</v>
      </c>
    </row>
    <row r="641" spans="1:9">
      <c r="A641">
        <f t="shared" si="50"/>
        <v>640</v>
      </c>
      <c r="B641">
        <v>5</v>
      </c>
      <c r="C641">
        <v>5000</v>
      </c>
      <c r="D641">
        <v>5673</v>
      </c>
      <c r="E641" s="5">
        <f t="shared" si="46"/>
        <v>673</v>
      </c>
      <c r="F641" s="5">
        <f t="shared" si="47"/>
        <v>452929</v>
      </c>
      <c r="G641" s="6">
        <f>SQRT(SUM($F$2:F641)/A641)</f>
        <v>1089.8108752210173</v>
      </c>
      <c r="H641" s="5">
        <f t="shared" si="48"/>
        <v>1</v>
      </c>
      <c r="I641" s="5">
        <f t="shared" si="49"/>
        <v>0</v>
      </c>
    </row>
    <row r="642" spans="1:9">
      <c r="A642">
        <f t="shared" si="50"/>
        <v>641</v>
      </c>
      <c r="B642">
        <v>5</v>
      </c>
      <c r="C642">
        <v>5000</v>
      </c>
      <c r="D642">
        <v>5661</v>
      </c>
      <c r="E642" s="5">
        <f t="shared" si="46"/>
        <v>661</v>
      </c>
      <c r="F642" s="5">
        <f t="shared" si="47"/>
        <v>436921</v>
      </c>
      <c r="G642" s="6">
        <f>SQRT(SUM($F$2:F642)/A642)</f>
        <v>1089.2733820212588</v>
      </c>
      <c r="H642" s="5">
        <f t="shared" si="48"/>
        <v>1</v>
      </c>
      <c r="I642" s="5">
        <f t="shared" si="49"/>
        <v>0</v>
      </c>
    </row>
    <row r="643" spans="1:9">
      <c r="A643">
        <f t="shared" si="50"/>
        <v>642</v>
      </c>
      <c r="B643">
        <v>5</v>
      </c>
      <c r="C643">
        <v>5000</v>
      </c>
      <c r="D643">
        <v>5788</v>
      </c>
      <c r="E643" s="5">
        <f t="shared" ref="E643:E706" si="51">ABS(C643-D643)</f>
        <v>788</v>
      </c>
      <c r="F643" s="5">
        <f t="shared" ref="F643:F706" si="52">POWER(E643,2)</f>
        <v>620944</v>
      </c>
      <c r="G643" s="6">
        <f>SQRT(SUM($F$2:F643)/A643)</f>
        <v>1088.8689300044207</v>
      </c>
      <c r="H643" s="5">
        <f t="shared" ref="H643:H706" si="53">IF(ABS(E643)/C643&gt;0.2,0,1)</f>
        <v>1</v>
      </c>
      <c r="I643" s="5">
        <f t="shared" ref="I643:I706" si="54">IF(ABS(E643)/C643&gt;0.1,0,1)</f>
        <v>0</v>
      </c>
    </row>
    <row r="644" spans="1:9">
      <c r="A644">
        <f t="shared" ref="A644:A707" si="55">A643+1</f>
        <v>643</v>
      </c>
      <c r="B644">
        <v>5</v>
      </c>
      <c r="C644">
        <v>5000</v>
      </c>
      <c r="D644">
        <v>6575</v>
      </c>
      <c r="E644" s="5">
        <f t="shared" si="51"/>
        <v>1575</v>
      </c>
      <c r="F644" s="5">
        <f t="shared" si="52"/>
        <v>2480625</v>
      </c>
      <c r="G644" s="6">
        <f>SQRT(SUM($F$2:F644)/A644)</f>
        <v>1089.7933415176358</v>
      </c>
      <c r="H644" s="5">
        <f t="shared" si="53"/>
        <v>0</v>
      </c>
      <c r="I644" s="5">
        <f t="shared" si="54"/>
        <v>0</v>
      </c>
    </row>
    <row r="645" spans="1:9">
      <c r="A645">
        <f t="shared" si="55"/>
        <v>644</v>
      </c>
      <c r="B645">
        <v>3</v>
      </c>
      <c r="C645">
        <v>5000</v>
      </c>
      <c r="D645">
        <v>3446</v>
      </c>
      <c r="E645" s="5">
        <f t="shared" si="51"/>
        <v>1554</v>
      </c>
      <c r="F645" s="5">
        <f t="shared" si="52"/>
        <v>2414916</v>
      </c>
      <c r="G645" s="6">
        <f>SQRT(SUM($F$2:F645)/A645)</f>
        <v>1090.6673280597042</v>
      </c>
      <c r="H645" s="5">
        <f t="shared" si="53"/>
        <v>0</v>
      </c>
      <c r="I645" s="5">
        <f t="shared" si="54"/>
        <v>0</v>
      </c>
    </row>
    <row r="646" spans="1:9">
      <c r="A646">
        <f t="shared" si="55"/>
        <v>645</v>
      </c>
      <c r="B646">
        <v>7</v>
      </c>
      <c r="C646">
        <v>5000</v>
      </c>
      <c r="D646">
        <v>2993</v>
      </c>
      <c r="E646" s="5">
        <f t="shared" si="51"/>
        <v>2007</v>
      </c>
      <c r="F646" s="5">
        <f t="shared" si="52"/>
        <v>4028049</v>
      </c>
      <c r="G646" s="6">
        <f>SQRT(SUM($F$2:F646)/A646)</f>
        <v>1092.682930243953</v>
      </c>
      <c r="H646" s="5">
        <f t="shared" si="53"/>
        <v>0</v>
      </c>
      <c r="I646" s="5">
        <f t="shared" si="54"/>
        <v>0</v>
      </c>
    </row>
    <row r="647" spans="1:9">
      <c r="A647">
        <f t="shared" si="55"/>
        <v>646</v>
      </c>
      <c r="B647">
        <v>8</v>
      </c>
      <c r="C647">
        <v>5000</v>
      </c>
      <c r="D647">
        <v>1202</v>
      </c>
      <c r="E647" s="5">
        <f t="shared" si="51"/>
        <v>3798</v>
      </c>
      <c r="F647" s="5">
        <f t="shared" si="52"/>
        <v>14424804</v>
      </c>
      <c r="G647" s="6">
        <f>SQRT(SUM($F$2:F647)/A647)</f>
        <v>1102.0150520399441</v>
      </c>
      <c r="H647" s="5">
        <f t="shared" si="53"/>
        <v>0</v>
      </c>
      <c r="I647" s="5">
        <f t="shared" si="54"/>
        <v>0</v>
      </c>
    </row>
    <row r="648" spans="1:9">
      <c r="A648">
        <f t="shared" si="55"/>
        <v>647</v>
      </c>
      <c r="B648">
        <v>11</v>
      </c>
      <c r="C648">
        <v>5000</v>
      </c>
      <c r="D648">
        <v>5484</v>
      </c>
      <c r="E648" s="5">
        <f t="shared" si="51"/>
        <v>484</v>
      </c>
      <c r="F648" s="5">
        <f t="shared" si="52"/>
        <v>234256</v>
      </c>
      <c r="G648" s="6">
        <f>SQRT(SUM($F$2:F648)/A648)</f>
        <v>1101.3274770687067</v>
      </c>
      <c r="H648" s="5">
        <f t="shared" si="53"/>
        <v>1</v>
      </c>
      <c r="I648" s="5">
        <f t="shared" si="54"/>
        <v>1</v>
      </c>
    </row>
    <row r="649" spans="1:9">
      <c r="A649">
        <f t="shared" si="55"/>
        <v>648</v>
      </c>
      <c r="B649">
        <v>6</v>
      </c>
      <c r="C649">
        <v>5000</v>
      </c>
      <c r="D649">
        <v>5107</v>
      </c>
      <c r="E649" s="5">
        <f t="shared" si="51"/>
        <v>107</v>
      </c>
      <c r="F649" s="5">
        <f t="shared" si="52"/>
        <v>11449</v>
      </c>
      <c r="G649" s="6">
        <f>SQRT(SUM($F$2:F649)/A649)</f>
        <v>1100.4853867361226</v>
      </c>
      <c r="H649" s="5">
        <f t="shared" si="53"/>
        <v>1</v>
      </c>
      <c r="I649" s="5">
        <f t="shared" si="54"/>
        <v>1</v>
      </c>
    </row>
    <row r="650" spans="1:9">
      <c r="A650">
        <f t="shared" si="55"/>
        <v>649</v>
      </c>
      <c r="B650">
        <v>7</v>
      </c>
      <c r="C650">
        <v>5000</v>
      </c>
      <c r="D650">
        <v>5655</v>
      </c>
      <c r="E650" s="5">
        <f t="shared" si="51"/>
        <v>655</v>
      </c>
      <c r="F650" s="5">
        <f t="shared" si="52"/>
        <v>429025</v>
      </c>
      <c r="G650" s="6">
        <f>SQRT(SUM($F$2:F650)/A650)</f>
        <v>1099.9377661341839</v>
      </c>
      <c r="H650" s="5">
        <f t="shared" si="53"/>
        <v>1</v>
      </c>
      <c r="I650" s="5">
        <f t="shared" si="54"/>
        <v>0</v>
      </c>
    </row>
    <row r="651" spans="1:9">
      <c r="A651">
        <f t="shared" si="55"/>
        <v>650</v>
      </c>
      <c r="B651">
        <v>6</v>
      </c>
      <c r="C651">
        <v>5000</v>
      </c>
      <c r="D651">
        <v>6309</v>
      </c>
      <c r="E651" s="5">
        <f t="shared" si="51"/>
        <v>1309</v>
      </c>
      <c r="F651" s="5">
        <f t="shared" si="52"/>
        <v>1713481</v>
      </c>
      <c r="G651" s="6">
        <f>SQRT(SUM($F$2:F651)/A651)</f>
        <v>1100.2899100481864</v>
      </c>
      <c r="H651" s="5">
        <f t="shared" si="53"/>
        <v>0</v>
      </c>
      <c r="I651" s="5">
        <f t="shared" si="54"/>
        <v>0</v>
      </c>
    </row>
    <row r="652" spans="1:9">
      <c r="A652">
        <f t="shared" si="55"/>
        <v>651</v>
      </c>
      <c r="B652">
        <v>5</v>
      </c>
      <c r="C652">
        <v>5000</v>
      </c>
      <c r="D652">
        <v>5572</v>
      </c>
      <c r="E652" s="5">
        <f t="shared" si="51"/>
        <v>572</v>
      </c>
      <c r="F652" s="5">
        <f t="shared" si="52"/>
        <v>327184</v>
      </c>
      <c r="G652" s="6">
        <f>SQRT(SUM($F$2:F652)/A652)</f>
        <v>1099.6730487431728</v>
      </c>
      <c r="H652" s="5">
        <f t="shared" si="53"/>
        <v>1</v>
      </c>
      <c r="I652" s="5">
        <f t="shared" si="54"/>
        <v>0</v>
      </c>
    </row>
    <row r="653" spans="1:9">
      <c r="A653">
        <f t="shared" si="55"/>
        <v>652</v>
      </c>
      <c r="B653">
        <v>6</v>
      </c>
      <c r="C653">
        <v>5000</v>
      </c>
      <c r="D653">
        <v>7674</v>
      </c>
      <c r="E653" s="5">
        <f t="shared" si="51"/>
        <v>2674</v>
      </c>
      <c r="F653" s="5">
        <f t="shared" si="52"/>
        <v>7150276</v>
      </c>
      <c r="G653" s="6">
        <f>SQRT(SUM($F$2:F653)/A653)</f>
        <v>1103.8083030756065</v>
      </c>
      <c r="H653" s="5">
        <f t="shared" si="53"/>
        <v>0</v>
      </c>
      <c r="I653" s="5">
        <f t="shared" si="54"/>
        <v>0</v>
      </c>
    </row>
    <row r="654" spans="1:9">
      <c r="A654">
        <f t="shared" si="55"/>
        <v>653</v>
      </c>
      <c r="B654">
        <v>3</v>
      </c>
      <c r="C654">
        <v>5000</v>
      </c>
      <c r="D654">
        <v>3555</v>
      </c>
      <c r="E654" s="5">
        <f t="shared" si="51"/>
        <v>1445</v>
      </c>
      <c r="F654" s="5">
        <f t="shared" si="52"/>
        <v>2088025</v>
      </c>
      <c r="G654" s="6">
        <f>SQRT(SUM($F$2:F654)/A654)</f>
        <v>1104.4113903534405</v>
      </c>
      <c r="H654" s="5">
        <f t="shared" si="53"/>
        <v>0</v>
      </c>
      <c r="I654" s="5">
        <f t="shared" si="54"/>
        <v>0</v>
      </c>
    </row>
    <row r="655" spans="1:9">
      <c r="A655">
        <f t="shared" si="55"/>
        <v>654</v>
      </c>
      <c r="B655">
        <v>7</v>
      </c>
      <c r="C655">
        <v>5000</v>
      </c>
      <c r="D655">
        <v>7805</v>
      </c>
      <c r="E655" s="5">
        <f t="shared" si="51"/>
        <v>2805</v>
      </c>
      <c r="F655" s="5">
        <f t="shared" si="52"/>
        <v>7868025</v>
      </c>
      <c r="G655" s="6">
        <f>SQRT(SUM($F$2:F655)/A655)</f>
        <v>1109.0041100951569</v>
      </c>
      <c r="H655" s="5">
        <f t="shared" si="53"/>
        <v>0</v>
      </c>
      <c r="I655" s="5">
        <f t="shared" si="54"/>
        <v>0</v>
      </c>
    </row>
    <row r="656" spans="1:9">
      <c r="A656">
        <f t="shared" si="55"/>
        <v>655</v>
      </c>
      <c r="B656">
        <v>2</v>
      </c>
      <c r="C656">
        <v>5000</v>
      </c>
      <c r="D656">
        <v>2560</v>
      </c>
      <c r="E656" s="5">
        <f t="shared" si="51"/>
        <v>2440</v>
      </c>
      <c r="F656" s="5">
        <f t="shared" si="52"/>
        <v>5953600</v>
      </c>
      <c r="G656" s="6">
        <f>SQRT(SUM($F$2:F656)/A656)</f>
        <v>1112.2508201943035</v>
      </c>
      <c r="H656" s="5">
        <f t="shared" si="53"/>
        <v>0</v>
      </c>
      <c r="I656" s="5">
        <f t="shared" si="54"/>
        <v>0</v>
      </c>
    </row>
    <row r="657" spans="1:9">
      <c r="A657">
        <f t="shared" si="55"/>
        <v>656</v>
      </c>
      <c r="B657">
        <v>8</v>
      </c>
      <c r="C657">
        <v>5000</v>
      </c>
      <c r="D657">
        <v>9069</v>
      </c>
      <c r="E657" s="5">
        <f t="shared" si="51"/>
        <v>4069</v>
      </c>
      <c r="F657" s="5">
        <f t="shared" si="52"/>
        <v>16556761</v>
      </c>
      <c r="G657" s="6">
        <f>SQRT(SUM($F$2:F657)/A657)</f>
        <v>1122.6998823882695</v>
      </c>
      <c r="H657" s="5">
        <f t="shared" si="53"/>
        <v>0</v>
      </c>
      <c r="I657" s="5">
        <f t="shared" si="54"/>
        <v>0</v>
      </c>
    </row>
    <row r="658" spans="1:9">
      <c r="A658">
        <f t="shared" si="55"/>
        <v>657</v>
      </c>
      <c r="B658">
        <v>1</v>
      </c>
      <c r="C658">
        <v>5000</v>
      </c>
      <c r="D658">
        <v>1411</v>
      </c>
      <c r="E658" s="5">
        <f t="shared" si="51"/>
        <v>3589</v>
      </c>
      <c r="F658" s="5">
        <f t="shared" si="52"/>
        <v>12880921</v>
      </c>
      <c r="G658" s="6">
        <f>SQRT(SUM($F$2:F658)/A658)</f>
        <v>1130.5495074240146</v>
      </c>
      <c r="H658" s="5">
        <f t="shared" si="53"/>
        <v>0</v>
      </c>
      <c r="I658" s="5">
        <f t="shared" si="54"/>
        <v>0</v>
      </c>
    </row>
    <row r="659" spans="1:9">
      <c r="A659">
        <f t="shared" si="55"/>
        <v>658</v>
      </c>
      <c r="B659">
        <v>9</v>
      </c>
      <c r="C659">
        <v>5000</v>
      </c>
      <c r="D659">
        <v>8088</v>
      </c>
      <c r="E659" s="5">
        <f t="shared" si="51"/>
        <v>3088</v>
      </c>
      <c r="F659" s="5">
        <f t="shared" si="52"/>
        <v>9535744</v>
      </c>
      <c r="G659" s="6">
        <f>SQRT(SUM($F$2:F659)/A659)</f>
        <v>1136.0861479493137</v>
      </c>
      <c r="H659" s="5">
        <f t="shared" si="53"/>
        <v>0</v>
      </c>
      <c r="I659" s="5">
        <f t="shared" si="54"/>
        <v>0</v>
      </c>
    </row>
    <row r="660" spans="1:9">
      <c r="A660">
        <f t="shared" si="55"/>
        <v>659</v>
      </c>
      <c r="B660">
        <v>2</v>
      </c>
      <c r="C660">
        <v>5000</v>
      </c>
      <c r="D660">
        <v>1873</v>
      </c>
      <c r="E660" s="5">
        <f t="shared" si="51"/>
        <v>3127</v>
      </c>
      <c r="F660" s="5">
        <f t="shared" si="52"/>
        <v>9778129</v>
      </c>
      <c r="G660" s="6">
        <f>SQRT(SUM($F$2:F660)/A660)</f>
        <v>1141.7403395846629</v>
      </c>
      <c r="H660" s="5">
        <f t="shared" si="53"/>
        <v>0</v>
      </c>
      <c r="I660" s="5">
        <f t="shared" si="54"/>
        <v>0</v>
      </c>
    </row>
    <row r="661" spans="1:9">
      <c r="A661">
        <f t="shared" si="55"/>
        <v>660</v>
      </c>
      <c r="B661">
        <v>9</v>
      </c>
      <c r="C661">
        <v>5000</v>
      </c>
      <c r="D661">
        <v>5199</v>
      </c>
      <c r="E661" s="5">
        <f t="shared" si="51"/>
        <v>199</v>
      </c>
      <c r="F661" s="5">
        <f t="shared" si="52"/>
        <v>39601</v>
      </c>
      <c r="G661" s="6">
        <f>SQRT(SUM($F$2:F661)/A661)</f>
        <v>1140.9013528652233</v>
      </c>
      <c r="H661" s="5">
        <f t="shared" si="53"/>
        <v>1</v>
      </c>
      <c r="I661" s="5">
        <f t="shared" si="54"/>
        <v>1</v>
      </c>
    </row>
    <row r="662" spans="1:9">
      <c r="A662">
        <f t="shared" si="55"/>
        <v>661</v>
      </c>
      <c r="B662">
        <v>5</v>
      </c>
      <c r="C662">
        <v>5000</v>
      </c>
      <c r="D662">
        <v>2797</v>
      </c>
      <c r="E662" s="5">
        <f t="shared" si="51"/>
        <v>2203</v>
      </c>
      <c r="F662" s="5">
        <f t="shared" si="52"/>
        <v>4853209</v>
      </c>
      <c r="G662" s="6">
        <f>SQRT(SUM($F$2:F662)/A662)</f>
        <v>1143.2536451398557</v>
      </c>
      <c r="H662" s="5">
        <f t="shared" si="53"/>
        <v>0</v>
      </c>
      <c r="I662" s="5">
        <f t="shared" si="54"/>
        <v>0</v>
      </c>
    </row>
    <row r="663" spans="1:9">
      <c r="A663">
        <f t="shared" si="55"/>
        <v>662</v>
      </c>
      <c r="B663">
        <v>8</v>
      </c>
      <c r="C663">
        <v>5000</v>
      </c>
      <c r="D663">
        <v>4462</v>
      </c>
      <c r="E663" s="5">
        <f t="shared" si="51"/>
        <v>538</v>
      </c>
      <c r="F663" s="5">
        <f t="shared" si="52"/>
        <v>289444</v>
      </c>
      <c r="G663" s="6">
        <f>SQRT(SUM($F$2:F663)/A663)</f>
        <v>1142.5811830319678</v>
      </c>
      <c r="H663" s="5">
        <f t="shared" si="53"/>
        <v>1</v>
      </c>
      <c r="I663" s="5">
        <f t="shared" si="54"/>
        <v>0</v>
      </c>
    </row>
    <row r="664" spans="1:9">
      <c r="A664">
        <f t="shared" si="55"/>
        <v>663</v>
      </c>
      <c r="B664">
        <v>7</v>
      </c>
      <c r="C664">
        <v>5000</v>
      </c>
      <c r="D664">
        <v>4369</v>
      </c>
      <c r="E664" s="5">
        <f t="shared" si="51"/>
        <v>631</v>
      </c>
      <c r="F664" s="5">
        <f t="shared" si="52"/>
        <v>398161</v>
      </c>
      <c r="G664" s="6">
        <f>SQRT(SUM($F$2:F664)/A664)</f>
        <v>1141.9821525761308</v>
      </c>
      <c r="H664" s="5">
        <f t="shared" si="53"/>
        <v>1</v>
      </c>
      <c r="I664" s="5">
        <f t="shared" si="54"/>
        <v>0</v>
      </c>
    </row>
    <row r="665" spans="1:9">
      <c r="A665">
        <f t="shared" si="55"/>
        <v>664</v>
      </c>
      <c r="B665">
        <v>7</v>
      </c>
      <c r="C665">
        <v>5000</v>
      </c>
      <c r="D665">
        <v>4514</v>
      </c>
      <c r="E665" s="5">
        <f t="shared" si="51"/>
        <v>486</v>
      </c>
      <c r="F665" s="5">
        <f t="shared" si="52"/>
        <v>236196</v>
      </c>
      <c r="G665" s="6">
        <f>SQRT(SUM($F$2:F665)/A665)</f>
        <v>1141.2777543834816</v>
      </c>
      <c r="H665" s="5">
        <f t="shared" si="53"/>
        <v>1</v>
      </c>
      <c r="I665" s="5">
        <f t="shared" si="54"/>
        <v>1</v>
      </c>
    </row>
    <row r="666" spans="1:9">
      <c r="A666">
        <f t="shared" si="55"/>
        <v>665</v>
      </c>
      <c r="B666">
        <v>7</v>
      </c>
      <c r="C666">
        <v>5000</v>
      </c>
      <c r="D666">
        <v>5513</v>
      </c>
      <c r="E666" s="5">
        <f t="shared" si="51"/>
        <v>513</v>
      </c>
      <c r="F666" s="5">
        <f t="shared" si="52"/>
        <v>263169</v>
      </c>
      <c r="G666" s="6">
        <f>SQRT(SUM($F$2:F666)/A666)</f>
        <v>1140.5928223806097</v>
      </c>
      <c r="H666" s="5">
        <f t="shared" si="53"/>
        <v>1</v>
      </c>
      <c r="I666" s="5">
        <f t="shared" si="54"/>
        <v>0</v>
      </c>
    </row>
    <row r="667" spans="1:9">
      <c r="A667">
        <f t="shared" si="55"/>
        <v>666</v>
      </c>
      <c r="B667">
        <v>6</v>
      </c>
      <c r="C667">
        <v>5000</v>
      </c>
      <c r="D667">
        <v>4565</v>
      </c>
      <c r="E667" s="5">
        <f t="shared" si="51"/>
        <v>435</v>
      </c>
      <c r="F667" s="5">
        <f t="shared" si="52"/>
        <v>189225</v>
      </c>
      <c r="G667" s="6">
        <f>SQRT(SUM($F$2:F667)/A667)</f>
        <v>1139.8608365615194</v>
      </c>
      <c r="H667" s="5">
        <f t="shared" si="53"/>
        <v>1</v>
      </c>
      <c r="I667" s="5">
        <f t="shared" si="54"/>
        <v>1</v>
      </c>
    </row>
    <row r="668" spans="1:9">
      <c r="A668">
        <f t="shared" si="55"/>
        <v>667</v>
      </c>
      <c r="B668">
        <v>7</v>
      </c>
      <c r="C668">
        <v>5000</v>
      </c>
      <c r="D668">
        <v>6084</v>
      </c>
      <c r="E668" s="5">
        <f t="shared" si="51"/>
        <v>1084</v>
      </c>
      <c r="F668" s="5">
        <f t="shared" si="52"/>
        <v>1175056</v>
      </c>
      <c r="G668" s="6">
        <f>SQRT(SUM($F$2:F668)/A668)</f>
        <v>1139.7791363944682</v>
      </c>
      <c r="H668" s="5">
        <f t="shared" si="53"/>
        <v>0</v>
      </c>
      <c r="I668" s="5">
        <f t="shared" si="54"/>
        <v>0</v>
      </c>
    </row>
    <row r="669" spans="1:9">
      <c r="A669">
        <f t="shared" si="55"/>
        <v>668</v>
      </c>
      <c r="B669">
        <v>5</v>
      </c>
      <c r="C669">
        <v>5000</v>
      </c>
      <c r="D669">
        <v>2816</v>
      </c>
      <c r="E669" s="5">
        <f t="shared" si="51"/>
        <v>2184</v>
      </c>
      <c r="F669" s="5">
        <f t="shared" si="52"/>
        <v>4769856</v>
      </c>
      <c r="G669" s="6">
        <f>SQRT(SUM($F$2:F669)/A669)</f>
        <v>1142.0561402772239</v>
      </c>
      <c r="H669" s="5">
        <f t="shared" si="53"/>
        <v>0</v>
      </c>
      <c r="I669" s="5">
        <f t="shared" si="54"/>
        <v>0</v>
      </c>
    </row>
    <row r="670" spans="1:9">
      <c r="A670">
        <f t="shared" si="55"/>
        <v>669</v>
      </c>
      <c r="B670">
        <v>9</v>
      </c>
      <c r="C670">
        <v>5000</v>
      </c>
      <c r="D670">
        <v>6136</v>
      </c>
      <c r="E670" s="5">
        <f t="shared" si="51"/>
        <v>1136</v>
      </c>
      <c r="F670" s="5">
        <f t="shared" si="52"/>
        <v>1290496</v>
      </c>
      <c r="G670" s="6">
        <f>SQRT(SUM($F$2:F670)/A670)</f>
        <v>1142.0471117170105</v>
      </c>
      <c r="H670" s="5">
        <f t="shared" si="53"/>
        <v>0</v>
      </c>
      <c r="I670" s="5">
        <f t="shared" si="54"/>
        <v>0</v>
      </c>
    </row>
    <row r="671" spans="1:9">
      <c r="A671">
        <f t="shared" si="55"/>
        <v>670</v>
      </c>
      <c r="B671">
        <v>5</v>
      </c>
      <c r="C671">
        <v>5000</v>
      </c>
      <c r="D671">
        <v>3485</v>
      </c>
      <c r="E671" s="5">
        <f t="shared" si="51"/>
        <v>1515</v>
      </c>
      <c r="F671" s="5">
        <f t="shared" si="52"/>
        <v>2295225</v>
      </c>
      <c r="G671" s="6">
        <f>SQRT(SUM($F$2:F671)/A671)</f>
        <v>1142.6944649811285</v>
      </c>
      <c r="H671" s="5">
        <f t="shared" si="53"/>
        <v>0</v>
      </c>
      <c r="I671" s="5">
        <f t="shared" si="54"/>
        <v>0</v>
      </c>
    </row>
    <row r="672" spans="1:9">
      <c r="A672">
        <f t="shared" si="55"/>
        <v>671</v>
      </c>
      <c r="B672">
        <v>8</v>
      </c>
      <c r="C672">
        <v>5000</v>
      </c>
      <c r="D672">
        <v>5012</v>
      </c>
      <c r="E672" s="5">
        <f t="shared" si="51"/>
        <v>12</v>
      </c>
      <c r="F672" s="5">
        <f t="shared" si="52"/>
        <v>144</v>
      </c>
      <c r="G672" s="6">
        <f>SQRT(SUM($F$2:F672)/A672)</f>
        <v>1141.8427552839037</v>
      </c>
      <c r="H672" s="5">
        <f t="shared" si="53"/>
        <v>1</v>
      </c>
      <c r="I672" s="5">
        <f t="shared" si="54"/>
        <v>1</v>
      </c>
    </row>
    <row r="673" spans="1:9">
      <c r="A673">
        <f t="shared" si="55"/>
        <v>672</v>
      </c>
      <c r="B673">
        <v>7</v>
      </c>
      <c r="C673">
        <v>5000</v>
      </c>
      <c r="D673">
        <v>4945</v>
      </c>
      <c r="E673" s="5">
        <f t="shared" si="51"/>
        <v>55</v>
      </c>
      <c r="F673" s="5">
        <f t="shared" si="52"/>
        <v>3025</v>
      </c>
      <c r="G673" s="6">
        <f>SQRT(SUM($F$2:F673)/A673)</f>
        <v>1140.9948262163073</v>
      </c>
      <c r="H673" s="5">
        <f t="shared" si="53"/>
        <v>1</v>
      </c>
      <c r="I673" s="5">
        <f t="shared" si="54"/>
        <v>1</v>
      </c>
    </row>
    <row r="674" spans="1:9">
      <c r="A674">
        <f t="shared" si="55"/>
        <v>673</v>
      </c>
      <c r="B674">
        <v>7</v>
      </c>
      <c r="C674">
        <v>5000</v>
      </c>
      <c r="D674">
        <v>5066</v>
      </c>
      <c r="E674" s="5">
        <f t="shared" si="51"/>
        <v>66</v>
      </c>
      <c r="F674" s="5">
        <f t="shared" si="52"/>
        <v>4356</v>
      </c>
      <c r="G674" s="6">
        <f>SQRT(SUM($F$2:F674)/A674)</f>
        <v>1140.1496565045047</v>
      </c>
      <c r="H674" s="5">
        <f t="shared" si="53"/>
        <v>1</v>
      </c>
      <c r="I674" s="5">
        <f t="shared" si="54"/>
        <v>1</v>
      </c>
    </row>
    <row r="675" spans="1:9">
      <c r="A675">
        <f t="shared" si="55"/>
        <v>674</v>
      </c>
      <c r="B675">
        <v>7</v>
      </c>
      <c r="C675">
        <v>5000</v>
      </c>
      <c r="D675">
        <v>4710</v>
      </c>
      <c r="E675" s="5">
        <f t="shared" si="51"/>
        <v>290</v>
      </c>
      <c r="F675" s="5">
        <f t="shared" si="52"/>
        <v>84100</v>
      </c>
      <c r="G675" s="6">
        <f>SQRT(SUM($F$2:F675)/A675)</f>
        <v>1139.3582932838895</v>
      </c>
      <c r="H675" s="5">
        <f t="shared" si="53"/>
        <v>1</v>
      </c>
      <c r="I675" s="5">
        <f t="shared" si="54"/>
        <v>1</v>
      </c>
    </row>
    <row r="676" spans="1:9">
      <c r="A676">
        <f t="shared" si="55"/>
        <v>675</v>
      </c>
      <c r="B676">
        <v>7</v>
      </c>
      <c r="C676">
        <v>5000</v>
      </c>
      <c r="D676">
        <v>4657</v>
      </c>
      <c r="E676" s="5">
        <f t="shared" si="51"/>
        <v>343</v>
      </c>
      <c r="F676" s="5">
        <f t="shared" si="52"/>
        <v>117649</v>
      </c>
      <c r="G676" s="6">
        <f>SQRT(SUM($F$2:F676)/A676)</f>
        <v>1138.5905536622411</v>
      </c>
      <c r="H676" s="5">
        <f t="shared" si="53"/>
        <v>1</v>
      </c>
      <c r="I676" s="5">
        <f t="shared" si="54"/>
        <v>1</v>
      </c>
    </row>
    <row r="677" spans="1:9">
      <c r="A677">
        <f t="shared" si="55"/>
        <v>676</v>
      </c>
      <c r="B677">
        <v>7</v>
      </c>
      <c r="C677">
        <v>5000</v>
      </c>
      <c r="D677">
        <v>5019</v>
      </c>
      <c r="E677" s="5">
        <f t="shared" si="51"/>
        <v>19</v>
      </c>
      <c r="F677" s="5">
        <f t="shared" si="52"/>
        <v>361</v>
      </c>
      <c r="G677" s="6">
        <f>SQRT(SUM($F$2:F677)/A677)</f>
        <v>1137.7483238927273</v>
      </c>
      <c r="H677" s="5">
        <f t="shared" si="53"/>
        <v>1</v>
      </c>
      <c r="I677" s="5">
        <f t="shared" si="54"/>
        <v>1</v>
      </c>
    </row>
    <row r="678" spans="1:9">
      <c r="A678">
        <f t="shared" si="55"/>
        <v>677</v>
      </c>
      <c r="B678">
        <v>7</v>
      </c>
      <c r="C678">
        <v>5000</v>
      </c>
      <c r="D678">
        <v>5379</v>
      </c>
      <c r="E678" s="5">
        <f t="shared" si="51"/>
        <v>379</v>
      </c>
      <c r="F678" s="5">
        <f t="shared" si="52"/>
        <v>143641</v>
      </c>
      <c r="G678" s="6">
        <f>SQRT(SUM($F$2:F678)/A678)</f>
        <v>1137.0010341028544</v>
      </c>
      <c r="H678" s="5">
        <f t="shared" si="53"/>
        <v>1</v>
      </c>
      <c r="I678" s="5">
        <f t="shared" si="54"/>
        <v>1</v>
      </c>
    </row>
    <row r="679" spans="1:9">
      <c r="A679">
        <f t="shared" si="55"/>
        <v>678</v>
      </c>
      <c r="B679">
        <v>7</v>
      </c>
      <c r="C679">
        <v>5000</v>
      </c>
      <c r="D679">
        <v>5686</v>
      </c>
      <c r="E679" s="5">
        <f t="shared" si="51"/>
        <v>686</v>
      </c>
      <c r="F679" s="5">
        <f t="shared" si="52"/>
        <v>470596</v>
      </c>
      <c r="G679" s="6">
        <f>SQRT(SUM($F$2:F679)/A679)</f>
        <v>1136.4676429796948</v>
      </c>
      <c r="H679" s="5">
        <f t="shared" si="53"/>
        <v>1</v>
      </c>
      <c r="I679" s="5">
        <f t="shared" si="54"/>
        <v>0</v>
      </c>
    </row>
    <row r="680" spans="1:9">
      <c r="A680">
        <f t="shared" si="55"/>
        <v>679</v>
      </c>
      <c r="B680">
        <v>6</v>
      </c>
      <c r="C680">
        <v>5000</v>
      </c>
      <c r="D680">
        <v>3880</v>
      </c>
      <c r="E680" s="5">
        <f t="shared" si="51"/>
        <v>1120</v>
      </c>
      <c r="F680" s="5">
        <f t="shared" si="52"/>
        <v>1254400</v>
      </c>
      <c r="G680" s="6">
        <f>SQRT(SUM($F$2:F680)/A680)</f>
        <v>1136.4435656506175</v>
      </c>
      <c r="H680" s="5">
        <f t="shared" si="53"/>
        <v>0</v>
      </c>
      <c r="I680" s="5">
        <f t="shared" si="54"/>
        <v>0</v>
      </c>
    </row>
    <row r="681" spans="1:9">
      <c r="A681">
        <f t="shared" si="55"/>
        <v>680</v>
      </c>
      <c r="B681">
        <v>8</v>
      </c>
      <c r="C681">
        <v>5000</v>
      </c>
      <c r="D681">
        <v>6217</v>
      </c>
      <c r="E681" s="5">
        <f t="shared" si="51"/>
        <v>1217</v>
      </c>
      <c r="F681" s="5">
        <f t="shared" si="52"/>
        <v>1481089</v>
      </c>
      <c r="G681" s="6">
        <f>SQRT(SUM($F$2:F681)/A681)</f>
        <v>1136.5662230647913</v>
      </c>
      <c r="H681" s="5">
        <f t="shared" si="53"/>
        <v>0</v>
      </c>
      <c r="I681" s="5">
        <f t="shared" si="54"/>
        <v>0</v>
      </c>
    </row>
    <row r="682" spans="1:9">
      <c r="A682">
        <f t="shared" si="55"/>
        <v>681</v>
      </c>
      <c r="B682">
        <v>6</v>
      </c>
      <c r="C682">
        <v>5000</v>
      </c>
      <c r="D682">
        <v>4837</v>
      </c>
      <c r="E682" s="5">
        <f t="shared" si="51"/>
        <v>163</v>
      </c>
      <c r="F682" s="5">
        <f t="shared" si="52"/>
        <v>26569</v>
      </c>
      <c r="G682" s="6">
        <f>SQRT(SUM($F$2:F682)/A682)</f>
        <v>1135.7486091048936</v>
      </c>
      <c r="H682" s="5">
        <f t="shared" si="53"/>
        <v>1</v>
      </c>
      <c r="I682" s="5">
        <f t="shared" si="54"/>
        <v>1</v>
      </c>
    </row>
    <row r="683" spans="1:9">
      <c r="A683">
        <f t="shared" si="55"/>
        <v>682</v>
      </c>
      <c r="B683">
        <v>7</v>
      </c>
      <c r="C683">
        <v>5000</v>
      </c>
      <c r="D683">
        <v>5375</v>
      </c>
      <c r="E683" s="5">
        <f t="shared" si="51"/>
        <v>375</v>
      </c>
      <c r="F683" s="5">
        <f t="shared" si="52"/>
        <v>140625</v>
      </c>
      <c r="G683" s="6">
        <f>SQRT(SUM($F$2:F683)/A683)</f>
        <v>1135.0064813074728</v>
      </c>
      <c r="H683" s="5">
        <f t="shared" si="53"/>
        <v>1</v>
      </c>
      <c r="I683" s="5">
        <f t="shared" si="54"/>
        <v>1</v>
      </c>
    </row>
    <row r="684" spans="1:9">
      <c r="A684">
        <f t="shared" si="55"/>
        <v>683</v>
      </c>
      <c r="B684">
        <v>6</v>
      </c>
      <c r="C684">
        <v>5000</v>
      </c>
      <c r="D684">
        <v>4898</v>
      </c>
      <c r="E684" s="5">
        <f t="shared" si="51"/>
        <v>102</v>
      </c>
      <c r="F684" s="5">
        <f t="shared" si="52"/>
        <v>10404</v>
      </c>
      <c r="G684" s="6">
        <f>SQRT(SUM($F$2:F684)/A684)</f>
        <v>1134.1819944286237</v>
      </c>
      <c r="H684" s="5">
        <f t="shared" si="53"/>
        <v>1</v>
      </c>
      <c r="I684" s="5">
        <f t="shared" si="54"/>
        <v>1</v>
      </c>
    </row>
    <row r="685" spans="1:9">
      <c r="A685">
        <f t="shared" si="55"/>
        <v>684</v>
      </c>
      <c r="B685">
        <v>7</v>
      </c>
      <c r="C685">
        <v>5000</v>
      </c>
      <c r="D685">
        <v>5421</v>
      </c>
      <c r="E685" s="5">
        <f t="shared" si="51"/>
        <v>421</v>
      </c>
      <c r="F685" s="5">
        <f t="shared" si="52"/>
        <v>177241</v>
      </c>
      <c r="G685" s="6">
        <f>SQRT(SUM($F$2:F685)/A685)</f>
        <v>1133.4669225962807</v>
      </c>
      <c r="H685" s="5">
        <f t="shared" si="53"/>
        <v>1</v>
      </c>
      <c r="I685" s="5">
        <f t="shared" si="54"/>
        <v>1</v>
      </c>
    </row>
    <row r="686" spans="1:9">
      <c r="A686">
        <f t="shared" si="55"/>
        <v>685</v>
      </c>
      <c r="B686">
        <v>6</v>
      </c>
      <c r="C686">
        <v>5000</v>
      </c>
      <c r="D686">
        <v>4332</v>
      </c>
      <c r="E686" s="5">
        <f t="shared" si="51"/>
        <v>668</v>
      </c>
      <c r="F686" s="5">
        <f t="shared" si="52"/>
        <v>446224</v>
      </c>
      <c r="G686" s="6">
        <f>SQRT(SUM($F$2:F686)/A686)</f>
        <v>1132.9268039311689</v>
      </c>
      <c r="H686" s="5">
        <f t="shared" si="53"/>
        <v>1</v>
      </c>
      <c r="I686" s="5">
        <f t="shared" si="54"/>
        <v>0</v>
      </c>
    </row>
    <row r="687" spans="1:9">
      <c r="A687">
        <f t="shared" si="55"/>
        <v>686</v>
      </c>
      <c r="B687">
        <v>7</v>
      </c>
      <c r="C687">
        <v>5000</v>
      </c>
      <c r="D687">
        <v>5277</v>
      </c>
      <c r="E687" s="5">
        <f t="shared" si="51"/>
        <v>277</v>
      </c>
      <c r="F687" s="5">
        <f t="shared" si="52"/>
        <v>76729</v>
      </c>
      <c r="G687" s="6">
        <f>SQRT(SUM($F$2:F687)/A687)</f>
        <v>1132.1501525548761</v>
      </c>
      <c r="H687" s="5">
        <f t="shared" si="53"/>
        <v>1</v>
      </c>
      <c r="I687" s="5">
        <f t="shared" si="54"/>
        <v>1</v>
      </c>
    </row>
    <row r="688" spans="1:9">
      <c r="A688">
        <f t="shared" si="55"/>
        <v>687</v>
      </c>
      <c r="B688">
        <v>6</v>
      </c>
      <c r="C688">
        <v>5000</v>
      </c>
      <c r="D688">
        <v>5497</v>
      </c>
      <c r="E688" s="5">
        <f t="shared" si="51"/>
        <v>497</v>
      </c>
      <c r="F688" s="5">
        <f t="shared" si="52"/>
        <v>247009</v>
      </c>
      <c r="G688" s="6">
        <f>SQRT(SUM($F$2:F688)/A688)</f>
        <v>1131.4847654216862</v>
      </c>
      <c r="H688" s="5">
        <f t="shared" si="53"/>
        <v>1</v>
      </c>
      <c r="I688" s="5">
        <f t="shared" si="54"/>
        <v>1</v>
      </c>
    </row>
    <row r="689" spans="1:9">
      <c r="A689">
        <f t="shared" si="55"/>
        <v>688</v>
      </c>
      <c r="B689">
        <v>6</v>
      </c>
      <c r="C689">
        <v>5000</v>
      </c>
      <c r="D689">
        <v>4641</v>
      </c>
      <c r="E689" s="5">
        <f t="shared" si="51"/>
        <v>359</v>
      </c>
      <c r="F689" s="5">
        <f t="shared" si="52"/>
        <v>128881</v>
      </c>
      <c r="G689" s="6">
        <f>SQRT(SUM($F$2:F689)/A689)</f>
        <v>1130.7450029197153</v>
      </c>
      <c r="H689" s="5">
        <f t="shared" si="53"/>
        <v>1</v>
      </c>
      <c r="I689" s="5">
        <f t="shared" si="54"/>
        <v>1</v>
      </c>
    </row>
    <row r="690" spans="1:9">
      <c r="A690">
        <f t="shared" si="55"/>
        <v>689</v>
      </c>
      <c r="B690">
        <v>7</v>
      </c>
      <c r="C690">
        <v>5000</v>
      </c>
      <c r="D690">
        <v>5336</v>
      </c>
      <c r="E690" s="5">
        <f t="shared" si="51"/>
        <v>336</v>
      </c>
      <c r="F690" s="5">
        <f t="shared" si="52"/>
        <v>112896</v>
      </c>
      <c r="G690" s="6">
        <f>SQRT(SUM($F$2:F690)/A690)</f>
        <v>1129.9966399888394</v>
      </c>
      <c r="H690" s="5">
        <f t="shared" si="53"/>
        <v>1</v>
      </c>
      <c r="I690" s="5">
        <f t="shared" si="54"/>
        <v>1</v>
      </c>
    </row>
    <row r="691" spans="1:9">
      <c r="A691">
        <f t="shared" si="55"/>
        <v>690</v>
      </c>
      <c r="B691">
        <v>6</v>
      </c>
      <c r="C691">
        <v>5000</v>
      </c>
      <c r="D691">
        <v>4776</v>
      </c>
      <c r="E691" s="5">
        <f t="shared" si="51"/>
        <v>224</v>
      </c>
      <c r="F691" s="5">
        <f t="shared" si="52"/>
        <v>50176</v>
      </c>
      <c r="G691" s="6">
        <f>SQRT(SUM($F$2:F691)/A691)</f>
        <v>1129.2097044046952</v>
      </c>
      <c r="H691" s="5">
        <f t="shared" si="53"/>
        <v>1</v>
      </c>
      <c r="I691" s="5">
        <f t="shared" si="54"/>
        <v>1</v>
      </c>
    </row>
    <row r="692" spans="1:9">
      <c r="A692">
        <f t="shared" si="55"/>
        <v>691</v>
      </c>
      <c r="B692">
        <v>7</v>
      </c>
      <c r="C692">
        <v>5000</v>
      </c>
      <c r="D692">
        <v>5682</v>
      </c>
      <c r="E692" s="5">
        <f t="shared" si="51"/>
        <v>682</v>
      </c>
      <c r="F692" s="5">
        <f t="shared" si="52"/>
        <v>465124</v>
      </c>
      <c r="G692" s="6">
        <f>SQRT(SUM($F$2:F692)/A692)</f>
        <v>1128.690549267508</v>
      </c>
      <c r="H692" s="5">
        <f t="shared" si="53"/>
        <v>1</v>
      </c>
      <c r="I692" s="5">
        <f t="shared" si="54"/>
        <v>0</v>
      </c>
    </row>
    <row r="693" spans="1:9">
      <c r="A693">
        <f t="shared" si="55"/>
        <v>692</v>
      </c>
      <c r="B693">
        <v>6</v>
      </c>
      <c r="C693">
        <v>5000</v>
      </c>
      <c r="D693">
        <v>5213</v>
      </c>
      <c r="E693" s="5">
        <f t="shared" si="51"/>
        <v>213</v>
      </c>
      <c r="F693" s="5">
        <f t="shared" si="52"/>
        <v>45369</v>
      </c>
      <c r="G693" s="6">
        <f>SQRT(SUM($F$2:F693)/A693)</f>
        <v>1127.9037906588749</v>
      </c>
      <c r="H693" s="5">
        <f t="shared" si="53"/>
        <v>1</v>
      </c>
      <c r="I693" s="5">
        <f t="shared" si="54"/>
        <v>1</v>
      </c>
    </row>
    <row r="694" spans="1:9">
      <c r="A694">
        <f t="shared" si="55"/>
        <v>693</v>
      </c>
      <c r="B694">
        <v>6</v>
      </c>
      <c r="C694">
        <v>5000</v>
      </c>
      <c r="D694">
        <v>4918</v>
      </c>
      <c r="E694" s="5">
        <f t="shared" si="51"/>
        <v>82</v>
      </c>
      <c r="F694" s="5">
        <f t="shared" si="52"/>
        <v>6724</v>
      </c>
      <c r="G694" s="6">
        <f>SQRT(SUM($F$2:F694)/A694)</f>
        <v>1127.0940178014987</v>
      </c>
      <c r="H694" s="5">
        <f t="shared" si="53"/>
        <v>1</v>
      </c>
      <c r="I694" s="5">
        <f t="shared" si="54"/>
        <v>1</v>
      </c>
    </row>
    <row r="695" spans="1:9">
      <c r="A695">
        <f t="shared" si="55"/>
        <v>694</v>
      </c>
      <c r="B695">
        <v>7</v>
      </c>
      <c r="C695">
        <v>5000</v>
      </c>
      <c r="D695">
        <v>5767</v>
      </c>
      <c r="E695" s="5">
        <f t="shared" si="51"/>
        <v>767</v>
      </c>
      <c r="F695" s="5">
        <f t="shared" si="52"/>
        <v>588289</v>
      </c>
      <c r="G695" s="6">
        <f>SQRT(SUM($F$2:F695)/A695)</f>
        <v>1126.6579521799749</v>
      </c>
      <c r="H695" s="5">
        <f t="shared" si="53"/>
        <v>1</v>
      </c>
      <c r="I695" s="5">
        <f t="shared" si="54"/>
        <v>0</v>
      </c>
    </row>
    <row r="696" spans="1:9">
      <c r="A696">
        <f t="shared" si="55"/>
        <v>695</v>
      </c>
      <c r="B696">
        <v>6</v>
      </c>
      <c r="C696">
        <v>5000</v>
      </c>
      <c r="D696">
        <v>5154</v>
      </c>
      <c r="E696" s="5">
        <f t="shared" si="51"/>
        <v>154</v>
      </c>
      <c r="F696" s="5">
        <f t="shared" si="52"/>
        <v>23716</v>
      </c>
      <c r="G696" s="6">
        <f>SQRT(SUM($F$2:F696)/A696)</f>
        <v>1125.8622697114031</v>
      </c>
      <c r="H696" s="5">
        <f t="shared" si="53"/>
        <v>1</v>
      </c>
      <c r="I696" s="5">
        <f t="shared" si="54"/>
        <v>1</v>
      </c>
    </row>
    <row r="697" spans="1:9">
      <c r="A697">
        <f t="shared" si="55"/>
        <v>696</v>
      </c>
      <c r="B697">
        <v>6</v>
      </c>
      <c r="C697">
        <v>5000</v>
      </c>
      <c r="D697">
        <v>6053</v>
      </c>
      <c r="E697" s="5">
        <f t="shared" si="51"/>
        <v>1053</v>
      </c>
      <c r="F697" s="5">
        <f t="shared" si="52"/>
        <v>1108809</v>
      </c>
      <c r="G697" s="6">
        <f>SQRT(SUM($F$2:F697)/A697)</f>
        <v>1125.7609654970195</v>
      </c>
      <c r="H697" s="5">
        <f t="shared" si="53"/>
        <v>0</v>
      </c>
      <c r="I697" s="5">
        <f t="shared" si="54"/>
        <v>0</v>
      </c>
    </row>
    <row r="698" spans="1:9">
      <c r="A698">
        <f t="shared" si="55"/>
        <v>697</v>
      </c>
      <c r="B698">
        <v>5</v>
      </c>
      <c r="C698">
        <v>5000</v>
      </c>
      <c r="D698">
        <v>4300</v>
      </c>
      <c r="E698" s="5">
        <f t="shared" si="51"/>
        <v>700</v>
      </c>
      <c r="F698" s="5">
        <f t="shared" si="52"/>
        <v>490000</v>
      </c>
      <c r="G698" s="6">
        <f>SQRT(SUM($F$2:F698)/A698)</f>
        <v>1125.265519439567</v>
      </c>
      <c r="H698" s="5">
        <f t="shared" si="53"/>
        <v>1</v>
      </c>
      <c r="I698" s="5">
        <f t="shared" si="54"/>
        <v>0</v>
      </c>
    </row>
    <row r="699" spans="1:9">
      <c r="A699">
        <f t="shared" si="55"/>
        <v>698</v>
      </c>
      <c r="B699">
        <v>7</v>
      </c>
      <c r="C699">
        <v>5000</v>
      </c>
      <c r="D699">
        <v>5569</v>
      </c>
      <c r="E699" s="5">
        <f t="shared" si="51"/>
        <v>569</v>
      </c>
      <c r="F699" s="5">
        <f t="shared" si="52"/>
        <v>323761</v>
      </c>
      <c r="G699" s="6">
        <f>SQRT(SUM($F$2:F699)/A699)</f>
        <v>1124.6653981872369</v>
      </c>
      <c r="H699" s="5">
        <f t="shared" si="53"/>
        <v>1</v>
      </c>
      <c r="I699" s="5">
        <f t="shared" si="54"/>
        <v>0</v>
      </c>
    </row>
    <row r="700" spans="1:9">
      <c r="A700">
        <f t="shared" si="55"/>
        <v>699</v>
      </c>
      <c r="B700">
        <v>5</v>
      </c>
      <c r="C700">
        <v>5000</v>
      </c>
      <c r="D700">
        <v>3579</v>
      </c>
      <c r="E700" s="5">
        <f t="shared" si="51"/>
        <v>1421</v>
      </c>
      <c r="F700" s="5">
        <f t="shared" si="52"/>
        <v>2019241</v>
      </c>
      <c r="G700" s="6">
        <f>SQRT(SUM($F$2:F700)/A700)</f>
        <v>1125.1450880849873</v>
      </c>
      <c r="H700" s="5">
        <f t="shared" si="53"/>
        <v>0</v>
      </c>
      <c r="I700" s="5">
        <f t="shared" si="54"/>
        <v>0</v>
      </c>
    </row>
    <row r="701" spans="1:9">
      <c r="A701">
        <f t="shared" si="55"/>
        <v>700</v>
      </c>
      <c r="B701">
        <v>8</v>
      </c>
      <c r="C701">
        <v>5000</v>
      </c>
      <c r="D701">
        <v>6471</v>
      </c>
      <c r="E701" s="5">
        <f t="shared" si="51"/>
        <v>1471</v>
      </c>
      <c r="F701" s="5">
        <f t="shared" si="52"/>
        <v>2163841</v>
      </c>
      <c r="G701" s="6">
        <f>SQRT(SUM($F$2:F701)/A701)</f>
        <v>1125.7149588467894</v>
      </c>
      <c r="H701" s="5">
        <f t="shared" si="53"/>
        <v>0</v>
      </c>
      <c r="I701" s="5">
        <f t="shared" si="54"/>
        <v>0</v>
      </c>
    </row>
    <row r="702" spans="1:9">
      <c r="A702">
        <f t="shared" si="55"/>
        <v>701</v>
      </c>
      <c r="B702">
        <v>4</v>
      </c>
      <c r="C702">
        <v>6000</v>
      </c>
      <c r="D702">
        <v>4361</v>
      </c>
      <c r="E702" s="5">
        <f t="shared" si="51"/>
        <v>1639</v>
      </c>
      <c r="F702" s="5">
        <f t="shared" si="52"/>
        <v>2686321</v>
      </c>
      <c r="G702" s="6">
        <f>SQRT(SUM($F$2:F702)/A702)</f>
        <v>1126.6137508078234</v>
      </c>
      <c r="H702" s="5">
        <f t="shared" si="53"/>
        <v>0</v>
      </c>
      <c r="I702" s="5">
        <f t="shared" si="54"/>
        <v>0</v>
      </c>
    </row>
    <row r="703" spans="1:9">
      <c r="A703">
        <f t="shared" si="55"/>
        <v>702</v>
      </c>
      <c r="B703">
        <v>8</v>
      </c>
      <c r="C703">
        <v>6000</v>
      </c>
      <c r="D703">
        <v>8512</v>
      </c>
      <c r="E703" s="5">
        <f t="shared" si="51"/>
        <v>2512</v>
      </c>
      <c r="F703" s="5">
        <f t="shared" si="52"/>
        <v>6310144</v>
      </c>
      <c r="G703" s="6">
        <f>SQRT(SUM($F$2:F703)/A703)</f>
        <v>1129.7961285217752</v>
      </c>
      <c r="H703" s="5">
        <f t="shared" si="53"/>
        <v>0</v>
      </c>
      <c r="I703" s="5">
        <f t="shared" si="54"/>
        <v>0</v>
      </c>
    </row>
    <row r="704" spans="1:9">
      <c r="A704">
        <f t="shared" si="55"/>
        <v>703</v>
      </c>
      <c r="B704">
        <v>3</v>
      </c>
      <c r="C704">
        <v>6000</v>
      </c>
      <c r="D704">
        <v>4144</v>
      </c>
      <c r="E704" s="5">
        <f t="shared" si="51"/>
        <v>1856</v>
      </c>
      <c r="F704" s="5">
        <f t="shared" si="52"/>
        <v>3444736</v>
      </c>
      <c r="G704" s="6">
        <f>SQRT(SUM($F$2:F704)/A704)</f>
        <v>1131.1603069918065</v>
      </c>
      <c r="H704" s="5">
        <f t="shared" si="53"/>
        <v>0</v>
      </c>
      <c r="I704" s="5">
        <f t="shared" si="54"/>
        <v>0</v>
      </c>
    </row>
    <row r="705" spans="1:9">
      <c r="A705">
        <f t="shared" si="55"/>
        <v>704</v>
      </c>
      <c r="B705">
        <v>8</v>
      </c>
      <c r="C705">
        <v>6000</v>
      </c>
      <c r="D705">
        <v>7010</v>
      </c>
      <c r="E705" s="5">
        <f t="shared" si="51"/>
        <v>1010</v>
      </c>
      <c r="F705" s="5">
        <f t="shared" si="52"/>
        <v>1020100</v>
      </c>
      <c r="G705" s="6">
        <f>SQRT(SUM($F$2:F705)/A705)</f>
        <v>1130.9974096455746</v>
      </c>
      <c r="H705" s="5">
        <f t="shared" si="53"/>
        <v>1</v>
      </c>
      <c r="I705" s="5">
        <f t="shared" si="54"/>
        <v>0</v>
      </c>
    </row>
    <row r="706" spans="1:9">
      <c r="A706">
        <f t="shared" si="55"/>
        <v>705</v>
      </c>
      <c r="B706">
        <v>5</v>
      </c>
      <c r="C706">
        <v>6000</v>
      </c>
      <c r="D706">
        <v>2899</v>
      </c>
      <c r="E706" s="5">
        <f t="shared" si="51"/>
        <v>3101</v>
      </c>
      <c r="F706" s="5">
        <f t="shared" si="52"/>
        <v>9616201</v>
      </c>
      <c r="G706" s="6">
        <f>SQRT(SUM($F$2:F706)/A706)</f>
        <v>1136.2133327807117</v>
      </c>
      <c r="H706" s="5">
        <f t="shared" si="53"/>
        <v>0</v>
      </c>
      <c r="I706" s="5">
        <f t="shared" si="54"/>
        <v>0</v>
      </c>
    </row>
    <row r="707" spans="1:9">
      <c r="A707">
        <f t="shared" si="55"/>
        <v>706</v>
      </c>
      <c r="B707">
        <v>10</v>
      </c>
      <c r="C707">
        <v>6000</v>
      </c>
      <c r="D707">
        <v>6483</v>
      </c>
      <c r="E707" s="5">
        <f t="shared" ref="E707:E770" si="56">ABS(C707-D707)</f>
        <v>483</v>
      </c>
      <c r="F707" s="5">
        <f t="shared" ref="F707:F770" si="57">POWER(E707,2)</f>
        <v>233289</v>
      </c>
      <c r="G707" s="6">
        <f>SQRT(SUM($F$2:F707)/A707)</f>
        <v>1135.5538695506955</v>
      </c>
      <c r="H707" s="5">
        <f t="shared" ref="H707:H770" si="58">IF(ABS(E707)/C707&gt;0.2,0,1)</f>
        <v>1</v>
      </c>
      <c r="I707" s="5">
        <f t="shared" ref="I707:I770" si="59">IF(ABS(E707)/C707&gt;0.1,0,1)</f>
        <v>1</v>
      </c>
    </row>
    <row r="708" spans="1:9">
      <c r="A708">
        <f t="shared" ref="A708:A771" si="60">A707+1</f>
        <v>707</v>
      </c>
      <c r="B708">
        <v>6</v>
      </c>
      <c r="C708">
        <v>6000</v>
      </c>
      <c r="D708">
        <v>5529</v>
      </c>
      <c r="E708" s="5">
        <f t="shared" si="56"/>
        <v>471</v>
      </c>
      <c r="F708" s="5">
        <f t="shared" si="57"/>
        <v>221841</v>
      </c>
      <c r="G708" s="6">
        <f>SQRT(SUM($F$2:F708)/A708)</f>
        <v>1134.8887563950029</v>
      </c>
      <c r="H708" s="5">
        <f t="shared" si="58"/>
        <v>1</v>
      </c>
      <c r="I708" s="5">
        <f t="shared" si="59"/>
        <v>1</v>
      </c>
    </row>
    <row r="709" spans="1:9">
      <c r="A709">
        <f t="shared" si="60"/>
        <v>708</v>
      </c>
      <c r="B709">
        <v>7</v>
      </c>
      <c r="C709">
        <v>6000</v>
      </c>
      <c r="D709">
        <v>7605</v>
      </c>
      <c r="E709" s="5">
        <f t="shared" si="56"/>
        <v>1605</v>
      </c>
      <c r="F709" s="5">
        <f t="shared" si="57"/>
        <v>2576025</v>
      </c>
      <c r="G709" s="6">
        <f>SQRT(SUM($F$2:F709)/A709)</f>
        <v>1135.6899984585891</v>
      </c>
      <c r="H709" s="5">
        <f t="shared" si="58"/>
        <v>0</v>
      </c>
      <c r="I709" s="5">
        <f t="shared" si="59"/>
        <v>0</v>
      </c>
    </row>
    <row r="710" spans="1:9">
      <c r="A710">
        <f t="shared" si="60"/>
        <v>709</v>
      </c>
      <c r="B710">
        <v>5</v>
      </c>
      <c r="C710">
        <v>6000</v>
      </c>
      <c r="D710">
        <v>5656</v>
      </c>
      <c r="E710" s="5">
        <f t="shared" si="56"/>
        <v>344</v>
      </c>
      <c r="F710" s="5">
        <f t="shared" si="57"/>
        <v>118336</v>
      </c>
      <c r="G710" s="6">
        <f>SQRT(SUM($F$2:F710)/A710)</f>
        <v>1134.9623375942501</v>
      </c>
      <c r="H710" s="5">
        <f t="shared" si="58"/>
        <v>1</v>
      </c>
      <c r="I710" s="5">
        <f t="shared" si="59"/>
        <v>1</v>
      </c>
    </row>
    <row r="711" spans="1:9">
      <c r="A711">
        <f t="shared" si="60"/>
        <v>710</v>
      </c>
      <c r="B711">
        <v>7</v>
      </c>
      <c r="C711">
        <v>6000</v>
      </c>
      <c r="D711">
        <v>9084</v>
      </c>
      <c r="E711" s="5">
        <f t="shared" si="56"/>
        <v>3084</v>
      </c>
      <c r="F711" s="5">
        <f t="shared" si="57"/>
        <v>9511056</v>
      </c>
      <c r="G711" s="6">
        <f>SQRT(SUM($F$2:F711)/A711)</f>
        <v>1140.0531041498418</v>
      </c>
      <c r="H711" s="5">
        <f t="shared" si="58"/>
        <v>0</v>
      </c>
      <c r="I711" s="5">
        <f t="shared" si="59"/>
        <v>0</v>
      </c>
    </row>
    <row r="712" spans="1:9">
      <c r="A712">
        <f t="shared" si="60"/>
        <v>711</v>
      </c>
      <c r="B712">
        <v>3</v>
      </c>
      <c r="C712">
        <v>6000</v>
      </c>
      <c r="D712">
        <v>4333</v>
      </c>
      <c r="E712" s="5">
        <f t="shared" si="56"/>
        <v>1667</v>
      </c>
      <c r="F712" s="5">
        <f t="shared" si="57"/>
        <v>2778889</v>
      </c>
      <c r="G712" s="6">
        <f>SQRT(SUM($F$2:F712)/A712)</f>
        <v>1140.9651551349268</v>
      </c>
      <c r="H712" s="5">
        <f t="shared" si="58"/>
        <v>0</v>
      </c>
      <c r="I712" s="5">
        <f t="shared" si="59"/>
        <v>0</v>
      </c>
    </row>
    <row r="713" spans="1:9">
      <c r="A713">
        <f t="shared" si="60"/>
        <v>712</v>
      </c>
      <c r="B713">
        <v>8</v>
      </c>
      <c r="C713">
        <v>6000</v>
      </c>
      <c r="D713">
        <v>9846</v>
      </c>
      <c r="E713" s="5">
        <f t="shared" si="56"/>
        <v>3846</v>
      </c>
      <c r="F713" s="5">
        <f t="shared" si="57"/>
        <v>14791716</v>
      </c>
      <c r="G713" s="6">
        <f>SQRT(SUM($F$2:F713)/A713)</f>
        <v>1149.2380059770137</v>
      </c>
      <c r="H713" s="5">
        <f t="shared" si="58"/>
        <v>0</v>
      </c>
      <c r="I713" s="5">
        <f t="shared" si="59"/>
        <v>0</v>
      </c>
    </row>
    <row r="714" spans="1:9">
      <c r="A714">
        <f t="shared" si="60"/>
        <v>713</v>
      </c>
      <c r="B714">
        <v>1</v>
      </c>
      <c r="C714">
        <v>6000</v>
      </c>
      <c r="D714">
        <v>1799</v>
      </c>
      <c r="E714" s="5">
        <f t="shared" si="56"/>
        <v>4201</v>
      </c>
      <c r="F714" s="5">
        <f t="shared" si="57"/>
        <v>17648401</v>
      </c>
      <c r="G714" s="6">
        <f>SQRT(SUM($F$2:F714)/A714)</f>
        <v>1159.1582844768216</v>
      </c>
      <c r="H714" s="5">
        <f t="shared" si="58"/>
        <v>0</v>
      </c>
      <c r="I714" s="5">
        <f t="shared" si="59"/>
        <v>0</v>
      </c>
    </row>
    <row r="715" spans="1:9">
      <c r="A715">
        <f t="shared" si="60"/>
        <v>714</v>
      </c>
      <c r="B715">
        <v>10</v>
      </c>
      <c r="C715">
        <v>6000</v>
      </c>
      <c r="D715">
        <v>11705</v>
      </c>
      <c r="E715" s="5">
        <f t="shared" si="56"/>
        <v>5705</v>
      </c>
      <c r="F715" s="5">
        <f t="shared" si="57"/>
        <v>32547025</v>
      </c>
      <c r="G715" s="6">
        <f>SQRT(SUM($F$2:F715)/A715)</f>
        <v>1177.858284028644</v>
      </c>
      <c r="H715" s="5">
        <f t="shared" si="58"/>
        <v>0</v>
      </c>
      <c r="I715" s="5">
        <f t="shared" si="59"/>
        <v>0</v>
      </c>
    </row>
    <row r="716" spans="1:9">
      <c r="A716">
        <f t="shared" si="60"/>
        <v>715</v>
      </c>
      <c r="B716">
        <v>1</v>
      </c>
      <c r="C716">
        <v>6000</v>
      </c>
      <c r="D716">
        <v>1903</v>
      </c>
      <c r="E716" s="5">
        <f t="shared" si="56"/>
        <v>4097</v>
      </c>
      <c r="F716" s="5">
        <f t="shared" si="57"/>
        <v>16785409</v>
      </c>
      <c r="G716" s="6">
        <f>SQRT(SUM($F$2:F716)/A716)</f>
        <v>1186.9649884963262</v>
      </c>
      <c r="H716" s="5">
        <f t="shared" si="58"/>
        <v>0</v>
      </c>
      <c r="I716" s="5">
        <f t="shared" si="59"/>
        <v>0</v>
      </c>
    </row>
    <row r="717" spans="1:9">
      <c r="A717">
        <f t="shared" si="60"/>
        <v>716</v>
      </c>
      <c r="B717">
        <v>10</v>
      </c>
      <c r="C717">
        <v>6000</v>
      </c>
      <c r="D717">
        <v>11545</v>
      </c>
      <c r="E717" s="5">
        <f t="shared" si="56"/>
        <v>5545</v>
      </c>
      <c r="F717" s="5">
        <f t="shared" si="57"/>
        <v>30747025</v>
      </c>
      <c r="G717" s="6">
        <f>SQRT(SUM($F$2:F717)/A717)</f>
        <v>1204.1017143694655</v>
      </c>
      <c r="H717" s="5">
        <f t="shared" si="58"/>
        <v>0</v>
      </c>
      <c r="I717" s="5">
        <f t="shared" si="59"/>
        <v>0</v>
      </c>
    </row>
    <row r="718" spans="1:9">
      <c r="A718">
        <f t="shared" si="60"/>
        <v>717</v>
      </c>
      <c r="B718">
        <v>1</v>
      </c>
      <c r="C718">
        <v>6000</v>
      </c>
      <c r="D718">
        <v>1770</v>
      </c>
      <c r="E718" s="5">
        <f t="shared" si="56"/>
        <v>4230</v>
      </c>
      <c r="F718" s="5">
        <f t="shared" si="57"/>
        <v>17892900</v>
      </c>
      <c r="G718" s="6">
        <f>SQRT(SUM($F$2:F718)/A718)</f>
        <v>1213.5872640316413</v>
      </c>
      <c r="H718" s="5">
        <f t="shared" si="58"/>
        <v>0</v>
      </c>
      <c r="I718" s="5">
        <f t="shared" si="59"/>
        <v>0</v>
      </c>
    </row>
    <row r="719" spans="1:9">
      <c r="A719">
        <f t="shared" si="60"/>
        <v>718</v>
      </c>
      <c r="B719">
        <v>9</v>
      </c>
      <c r="C719">
        <v>6000</v>
      </c>
      <c r="D719">
        <v>10522</v>
      </c>
      <c r="E719" s="5">
        <f t="shared" si="56"/>
        <v>4522</v>
      </c>
      <c r="F719" s="5">
        <f t="shared" si="57"/>
        <v>20448484</v>
      </c>
      <c r="G719" s="6">
        <f>SQRT(SUM($F$2:F719)/A719)</f>
        <v>1224.4274518966884</v>
      </c>
      <c r="H719" s="5">
        <f t="shared" si="58"/>
        <v>0</v>
      </c>
      <c r="I719" s="5">
        <f t="shared" si="59"/>
        <v>0</v>
      </c>
    </row>
    <row r="720" spans="1:9">
      <c r="A720">
        <f t="shared" si="60"/>
        <v>719</v>
      </c>
      <c r="B720">
        <v>1</v>
      </c>
      <c r="C720">
        <v>6000</v>
      </c>
      <c r="D720">
        <v>1739</v>
      </c>
      <c r="E720" s="5">
        <f t="shared" si="56"/>
        <v>4261</v>
      </c>
      <c r="F720" s="5">
        <f t="shared" si="57"/>
        <v>18156121</v>
      </c>
      <c r="G720" s="6">
        <f>SQRT(SUM($F$2:F720)/A720)</f>
        <v>1233.8514262835147</v>
      </c>
      <c r="H720" s="5">
        <f t="shared" si="58"/>
        <v>0</v>
      </c>
      <c r="I720" s="5">
        <f t="shared" si="59"/>
        <v>0</v>
      </c>
    </row>
    <row r="721" spans="1:9">
      <c r="A721">
        <f t="shared" si="60"/>
        <v>720</v>
      </c>
      <c r="B721">
        <v>9</v>
      </c>
      <c r="C721">
        <v>6000</v>
      </c>
      <c r="D721">
        <v>10210</v>
      </c>
      <c r="E721" s="5">
        <f t="shared" si="56"/>
        <v>4210</v>
      </c>
      <c r="F721" s="5">
        <f t="shared" si="57"/>
        <v>17724100</v>
      </c>
      <c r="G721" s="6">
        <f>SQRT(SUM($F$2:F721)/A721)</f>
        <v>1242.9367313164237</v>
      </c>
      <c r="H721" s="5">
        <f t="shared" si="58"/>
        <v>0</v>
      </c>
      <c r="I721" s="5">
        <f t="shared" si="59"/>
        <v>0</v>
      </c>
    </row>
    <row r="722" spans="1:9">
      <c r="A722">
        <f t="shared" si="60"/>
        <v>721</v>
      </c>
      <c r="B722">
        <v>1</v>
      </c>
      <c r="C722">
        <v>6000</v>
      </c>
      <c r="D722">
        <v>1615</v>
      </c>
      <c r="E722" s="5">
        <f t="shared" si="56"/>
        <v>4385</v>
      </c>
      <c r="F722" s="5">
        <f t="shared" si="57"/>
        <v>19228225</v>
      </c>
      <c r="G722" s="6">
        <f>SQRT(SUM($F$2:F722)/A722)</f>
        <v>1252.7640795905445</v>
      </c>
      <c r="H722" s="5">
        <f t="shared" si="58"/>
        <v>0</v>
      </c>
      <c r="I722" s="5">
        <f t="shared" si="59"/>
        <v>0</v>
      </c>
    </row>
    <row r="723" spans="1:9">
      <c r="A723">
        <f t="shared" si="60"/>
        <v>722</v>
      </c>
      <c r="B723">
        <v>10</v>
      </c>
      <c r="C723">
        <v>6000</v>
      </c>
      <c r="D723">
        <v>10625</v>
      </c>
      <c r="E723" s="5">
        <f t="shared" si="56"/>
        <v>4625</v>
      </c>
      <c r="F723" s="5">
        <f t="shared" si="57"/>
        <v>21390625</v>
      </c>
      <c r="G723" s="6">
        <f>SQRT(SUM($F$2:F723)/A723)</f>
        <v>1263.6736266243902</v>
      </c>
      <c r="H723" s="5">
        <f t="shared" si="58"/>
        <v>0</v>
      </c>
      <c r="I723" s="5">
        <f t="shared" si="59"/>
        <v>0</v>
      </c>
    </row>
    <row r="724" spans="1:9">
      <c r="A724">
        <f t="shared" si="60"/>
        <v>723</v>
      </c>
      <c r="B724">
        <v>1</v>
      </c>
      <c r="C724">
        <v>6000</v>
      </c>
      <c r="D724">
        <v>1553</v>
      </c>
      <c r="E724" s="5">
        <f t="shared" si="56"/>
        <v>4447</v>
      </c>
      <c r="F724" s="5">
        <f t="shared" si="57"/>
        <v>19775809</v>
      </c>
      <c r="G724" s="6">
        <f>SQRT(SUM($F$2:F724)/A724)</f>
        <v>1273.5834459956859</v>
      </c>
      <c r="H724" s="5">
        <f t="shared" si="58"/>
        <v>0</v>
      </c>
      <c r="I724" s="5">
        <f t="shared" si="59"/>
        <v>0</v>
      </c>
    </row>
    <row r="725" spans="1:9">
      <c r="A725">
        <f t="shared" si="60"/>
        <v>724</v>
      </c>
      <c r="B725">
        <v>10</v>
      </c>
      <c r="C725">
        <v>6000</v>
      </c>
      <c r="D725">
        <v>10269</v>
      </c>
      <c r="E725" s="5">
        <f t="shared" si="56"/>
        <v>4269</v>
      </c>
      <c r="F725" s="5">
        <f t="shared" si="57"/>
        <v>18224361</v>
      </c>
      <c r="G725" s="6">
        <f>SQRT(SUM($F$2:F725)/A725)</f>
        <v>1282.5545646583489</v>
      </c>
      <c r="H725" s="5">
        <f t="shared" si="58"/>
        <v>0</v>
      </c>
      <c r="I725" s="5">
        <f t="shared" si="59"/>
        <v>0</v>
      </c>
    </row>
    <row r="726" spans="1:9">
      <c r="A726">
        <f t="shared" si="60"/>
        <v>725</v>
      </c>
      <c r="B726">
        <v>1</v>
      </c>
      <c r="C726">
        <v>6000</v>
      </c>
      <c r="D726">
        <v>964</v>
      </c>
      <c r="E726" s="5">
        <f t="shared" si="56"/>
        <v>5036</v>
      </c>
      <c r="F726" s="5">
        <f t="shared" si="57"/>
        <v>25361296</v>
      </c>
      <c r="G726" s="6">
        <f>SQRT(SUM($F$2:F726)/A726)</f>
        <v>1295.2445398190391</v>
      </c>
      <c r="H726" s="5">
        <f t="shared" si="58"/>
        <v>0</v>
      </c>
      <c r="I726" s="5">
        <f t="shared" si="59"/>
        <v>0</v>
      </c>
    </row>
    <row r="727" spans="1:9">
      <c r="A727">
        <f t="shared" si="60"/>
        <v>726</v>
      </c>
      <c r="B727">
        <v>10</v>
      </c>
      <c r="C727">
        <v>6000</v>
      </c>
      <c r="D727">
        <v>6139</v>
      </c>
      <c r="E727" s="5">
        <f t="shared" si="56"/>
        <v>139</v>
      </c>
      <c r="F727" s="5">
        <f t="shared" si="57"/>
        <v>19321</v>
      </c>
      <c r="G727" s="6">
        <f>SQRT(SUM($F$2:F727)/A727)</f>
        <v>1294.3624711075217</v>
      </c>
      <c r="H727" s="5">
        <f t="shared" si="58"/>
        <v>1</v>
      </c>
      <c r="I727" s="5">
        <f t="shared" si="59"/>
        <v>1</v>
      </c>
    </row>
    <row r="728" spans="1:9">
      <c r="A728">
        <f t="shared" si="60"/>
        <v>727</v>
      </c>
      <c r="B728">
        <v>5</v>
      </c>
      <c r="C728">
        <v>6000</v>
      </c>
      <c r="D728">
        <v>2802</v>
      </c>
      <c r="E728" s="5">
        <f t="shared" si="56"/>
        <v>3198</v>
      </c>
      <c r="F728" s="5">
        <f t="shared" si="57"/>
        <v>10227204</v>
      </c>
      <c r="G728" s="6">
        <f>SQRT(SUM($F$2:F728)/A728)</f>
        <v>1298.8985271255463</v>
      </c>
      <c r="H728" s="5">
        <f t="shared" si="58"/>
        <v>0</v>
      </c>
      <c r="I728" s="5">
        <f t="shared" si="59"/>
        <v>0</v>
      </c>
    </row>
    <row r="729" spans="1:9">
      <c r="A729">
        <f t="shared" si="60"/>
        <v>728</v>
      </c>
      <c r="B729">
        <v>9</v>
      </c>
      <c r="C729">
        <v>6000</v>
      </c>
      <c r="D729">
        <v>5242</v>
      </c>
      <c r="E729" s="5">
        <f t="shared" si="56"/>
        <v>758</v>
      </c>
      <c r="F729" s="5">
        <f t="shared" si="57"/>
        <v>574564</v>
      </c>
      <c r="G729" s="6">
        <f>SQRT(SUM($F$2:F729)/A729)</f>
        <v>1298.3101030286923</v>
      </c>
      <c r="H729" s="5">
        <f t="shared" si="58"/>
        <v>1</v>
      </c>
      <c r="I729" s="5">
        <f t="shared" si="59"/>
        <v>0</v>
      </c>
    </row>
    <row r="730" spans="1:9">
      <c r="A730">
        <f t="shared" si="60"/>
        <v>729</v>
      </c>
      <c r="B730">
        <v>7</v>
      </c>
      <c r="C730">
        <v>6000</v>
      </c>
      <c r="D730">
        <v>4132</v>
      </c>
      <c r="E730" s="5">
        <f t="shared" si="56"/>
        <v>1868</v>
      </c>
      <c r="F730" s="5">
        <f t="shared" si="57"/>
        <v>3489424</v>
      </c>
      <c r="G730" s="6">
        <f>SQRT(SUM($F$2:F730)/A730)</f>
        <v>1299.2626726168264</v>
      </c>
      <c r="H730" s="5">
        <f t="shared" si="58"/>
        <v>0</v>
      </c>
      <c r="I730" s="5">
        <f t="shared" si="59"/>
        <v>0</v>
      </c>
    </row>
    <row r="731" spans="1:9">
      <c r="A731">
        <f t="shared" si="60"/>
        <v>730</v>
      </c>
      <c r="B731">
        <v>9</v>
      </c>
      <c r="C731">
        <v>6000</v>
      </c>
      <c r="D731">
        <v>5647</v>
      </c>
      <c r="E731" s="5">
        <f t="shared" si="56"/>
        <v>353</v>
      </c>
      <c r="F731" s="5">
        <f t="shared" si="57"/>
        <v>124609</v>
      </c>
      <c r="G731" s="6">
        <f>SQRT(SUM($F$2:F731)/A731)</f>
        <v>1298.4381951311132</v>
      </c>
      <c r="H731" s="5">
        <f t="shared" si="58"/>
        <v>1</v>
      </c>
      <c r="I731" s="5">
        <f t="shared" si="59"/>
        <v>1</v>
      </c>
    </row>
    <row r="732" spans="1:9">
      <c r="A732">
        <f t="shared" si="60"/>
        <v>731</v>
      </c>
      <c r="B732">
        <v>7</v>
      </c>
      <c r="C732">
        <v>6000</v>
      </c>
      <c r="D732">
        <v>4170</v>
      </c>
      <c r="E732" s="5">
        <f t="shared" si="56"/>
        <v>1830</v>
      </c>
      <c r="F732" s="5">
        <f t="shared" si="57"/>
        <v>3348900</v>
      </c>
      <c r="G732" s="6">
        <f>SQRT(SUM($F$2:F732)/A732)</f>
        <v>1299.3139171373321</v>
      </c>
      <c r="H732" s="5">
        <f t="shared" si="58"/>
        <v>0</v>
      </c>
      <c r="I732" s="5">
        <f t="shared" si="59"/>
        <v>0</v>
      </c>
    </row>
    <row r="733" spans="1:9">
      <c r="A733">
        <f t="shared" si="60"/>
        <v>732</v>
      </c>
      <c r="B733">
        <v>9</v>
      </c>
      <c r="C733">
        <v>6000</v>
      </c>
      <c r="D733">
        <v>5484</v>
      </c>
      <c r="E733" s="5">
        <f t="shared" si="56"/>
        <v>516</v>
      </c>
      <c r="F733" s="5">
        <f t="shared" si="57"/>
        <v>266256</v>
      </c>
      <c r="G733" s="6">
        <f>SQRT(SUM($F$2:F733)/A733)</f>
        <v>1298.5661654554126</v>
      </c>
      <c r="H733" s="5">
        <f t="shared" si="58"/>
        <v>1</v>
      </c>
      <c r="I733" s="5">
        <f t="shared" si="59"/>
        <v>1</v>
      </c>
    </row>
    <row r="734" spans="1:9">
      <c r="A734">
        <f t="shared" si="60"/>
        <v>733</v>
      </c>
      <c r="B734">
        <v>8</v>
      </c>
      <c r="C734">
        <v>6000</v>
      </c>
      <c r="D734">
        <v>6015</v>
      </c>
      <c r="E734" s="5">
        <f t="shared" si="56"/>
        <v>15</v>
      </c>
      <c r="F734" s="5">
        <f t="shared" si="57"/>
        <v>225</v>
      </c>
      <c r="G734" s="6">
        <f>SQRT(SUM($F$2:F734)/A734)</f>
        <v>1297.6801927570377</v>
      </c>
      <c r="H734" s="5">
        <f t="shared" si="58"/>
        <v>1</v>
      </c>
      <c r="I734" s="5">
        <f t="shared" si="59"/>
        <v>1</v>
      </c>
    </row>
    <row r="735" spans="1:9">
      <c r="A735">
        <f t="shared" si="60"/>
        <v>734</v>
      </c>
      <c r="B735">
        <v>8</v>
      </c>
      <c r="C735">
        <v>6000</v>
      </c>
      <c r="D735">
        <v>5021</v>
      </c>
      <c r="E735" s="5">
        <f t="shared" si="56"/>
        <v>979</v>
      </c>
      <c r="F735" s="5">
        <f t="shared" si="57"/>
        <v>958441</v>
      </c>
      <c r="G735" s="6">
        <f>SQRT(SUM($F$2:F735)/A735)</f>
        <v>1297.2992786000193</v>
      </c>
      <c r="H735" s="5">
        <f t="shared" si="58"/>
        <v>1</v>
      </c>
      <c r="I735" s="5">
        <f t="shared" si="59"/>
        <v>0</v>
      </c>
    </row>
    <row r="736" spans="1:9">
      <c r="A736">
        <f t="shared" si="60"/>
        <v>735</v>
      </c>
      <c r="B736">
        <v>9</v>
      </c>
      <c r="C736">
        <v>6000</v>
      </c>
      <c r="D736">
        <v>6041</v>
      </c>
      <c r="E736" s="5">
        <f t="shared" si="56"/>
        <v>41</v>
      </c>
      <c r="F736" s="5">
        <f t="shared" si="57"/>
        <v>1681</v>
      </c>
      <c r="G736" s="6">
        <f>SQRT(SUM($F$2:F736)/A736)</f>
        <v>1296.4173437792711</v>
      </c>
      <c r="H736" s="5">
        <f t="shared" si="58"/>
        <v>1</v>
      </c>
      <c r="I736" s="5">
        <f t="shared" si="59"/>
        <v>1</v>
      </c>
    </row>
    <row r="737" spans="1:9">
      <c r="A737">
        <f t="shared" si="60"/>
        <v>736</v>
      </c>
      <c r="B737">
        <v>8</v>
      </c>
      <c r="C737">
        <v>6000</v>
      </c>
      <c r="D737">
        <v>5906</v>
      </c>
      <c r="E737" s="5">
        <f t="shared" si="56"/>
        <v>94</v>
      </c>
      <c r="F737" s="5">
        <f t="shared" si="57"/>
        <v>8836</v>
      </c>
      <c r="G737" s="6">
        <f>SQRT(SUM($F$2:F737)/A737)</f>
        <v>1295.5409594904329</v>
      </c>
      <c r="H737" s="5">
        <f t="shared" si="58"/>
        <v>1</v>
      </c>
      <c r="I737" s="5">
        <f t="shared" si="59"/>
        <v>1</v>
      </c>
    </row>
    <row r="738" spans="1:9">
      <c r="A738">
        <f t="shared" si="60"/>
        <v>737</v>
      </c>
      <c r="B738">
        <v>8</v>
      </c>
      <c r="C738">
        <v>6000</v>
      </c>
      <c r="D738">
        <v>5046</v>
      </c>
      <c r="E738" s="5">
        <f t="shared" si="56"/>
        <v>954</v>
      </c>
      <c r="F738" s="5">
        <f t="shared" si="57"/>
        <v>910116</v>
      </c>
      <c r="G738" s="6">
        <f>SQRT(SUM($F$2:F738)/A738)</f>
        <v>1295.1385617630015</v>
      </c>
      <c r="H738" s="5">
        <f t="shared" si="58"/>
        <v>1</v>
      </c>
      <c r="I738" s="5">
        <f t="shared" si="59"/>
        <v>0</v>
      </c>
    </row>
    <row r="739" spans="1:9">
      <c r="A739">
        <f t="shared" si="60"/>
        <v>738</v>
      </c>
      <c r="B739">
        <v>9</v>
      </c>
      <c r="C739">
        <v>6000</v>
      </c>
      <c r="D739">
        <v>5698</v>
      </c>
      <c r="E739" s="5">
        <f t="shared" si="56"/>
        <v>302</v>
      </c>
      <c r="F739" s="5">
        <f t="shared" si="57"/>
        <v>91204</v>
      </c>
      <c r="G739" s="6">
        <f>SQRT(SUM($F$2:F739)/A739)</f>
        <v>1294.3085408495106</v>
      </c>
      <c r="H739" s="5">
        <f t="shared" si="58"/>
        <v>1</v>
      </c>
      <c r="I739" s="5">
        <f t="shared" si="59"/>
        <v>1</v>
      </c>
    </row>
    <row r="740" spans="1:9">
      <c r="A740">
        <f t="shared" si="60"/>
        <v>739</v>
      </c>
      <c r="B740">
        <v>9</v>
      </c>
      <c r="C740">
        <v>6000</v>
      </c>
      <c r="D740">
        <v>6293</v>
      </c>
      <c r="E740" s="5">
        <f t="shared" si="56"/>
        <v>293</v>
      </c>
      <c r="F740" s="5">
        <f t="shared" si="57"/>
        <v>85849</v>
      </c>
      <c r="G740" s="6">
        <f>SQRT(SUM($F$2:F740)/A740)</f>
        <v>1293.4774347294438</v>
      </c>
      <c r="H740" s="5">
        <f t="shared" si="58"/>
        <v>1</v>
      </c>
      <c r="I740" s="5">
        <f t="shared" si="59"/>
        <v>1</v>
      </c>
    </row>
    <row r="741" spans="1:9">
      <c r="A741">
        <f t="shared" si="60"/>
        <v>740</v>
      </c>
      <c r="B741">
        <v>8</v>
      </c>
      <c r="C741">
        <v>6000</v>
      </c>
      <c r="D741">
        <v>5439</v>
      </c>
      <c r="E741" s="5">
        <f t="shared" si="56"/>
        <v>561</v>
      </c>
      <c r="F741" s="5">
        <f t="shared" si="57"/>
        <v>314721</v>
      </c>
      <c r="G741" s="6">
        <f>SQRT(SUM($F$2:F741)/A741)</f>
        <v>1292.7676700198874</v>
      </c>
      <c r="H741" s="5">
        <f t="shared" si="58"/>
        <v>1</v>
      </c>
      <c r="I741" s="5">
        <f t="shared" si="59"/>
        <v>1</v>
      </c>
    </row>
    <row r="742" spans="1:9">
      <c r="A742">
        <f t="shared" si="60"/>
        <v>741</v>
      </c>
      <c r="B742">
        <v>9</v>
      </c>
      <c r="C742">
        <v>6000</v>
      </c>
      <c r="D742">
        <v>6146</v>
      </c>
      <c r="E742" s="5">
        <f t="shared" si="56"/>
        <v>146</v>
      </c>
      <c r="F742" s="5">
        <f t="shared" si="57"/>
        <v>21316</v>
      </c>
      <c r="G742" s="6">
        <f>SQRT(SUM($F$2:F742)/A742)</f>
        <v>1291.9061960657973</v>
      </c>
      <c r="H742" s="5">
        <f t="shared" si="58"/>
        <v>1</v>
      </c>
      <c r="I742" s="5">
        <f t="shared" si="59"/>
        <v>1</v>
      </c>
    </row>
    <row r="743" spans="1:9">
      <c r="A743">
        <f t="shared" si="60"/>
        <v>742</v>
      </c>
      <c r="B743">
        <v>8</v>
      </c>
      <c r="C743">
        <v>6000</v>
      </c>
      <c r="D743">
        <v>6304</v>
      </c>
      <c r="E743" s="5">
        <f t="shared" si="56"/>
        <v>304</v>
      </c>
      <c r="F743" s="5">
        <f t="shared" si="57"/>
        <v>92416</v>
      </c>
      <c r="G743" s="6">
        <f>SQRT(SUM($F$2:F743)/A743)</f>
        <v>1291.0835813440478</v>
      </c>
      <c r="H743" s="5">
        <f t="shared" si="58"/>
        <v>1</v>
      </c>
      <c r="I743" s="5">
        <f t="shared" si="59"/>
        <v>1</v>
      </c>
    </row>
    <row r="744" spans="1:9">
      <c r="A744">
        <f t="shared" si="60"/>
        <v>743</v>
      </c>
      <c r="B744">
        <v>8</v>
      </c>
      <c r="C744">
        <v>6000</v>
      </c>
      <c r="D744">
        <v>5575</v>
      </c>
      <c r="E744" s="5">
        <f t="shared" si="56"/>
        <v>425</v>
      </c>
      <c r="F744" s="5">
        <f t="shared" si="57"/>
        <v>180625</v>
      </c>
      <c r="G744" s="6">
        <f>SQRT(SUM($F$2:F744)/A744)</f>
        <v>1290.3086639184601</v>
      </c>
      <c r="H744" s="5">
        <f t="shared" si="58"/>
        <v>1</v>
      </c>
      <c r="I744" s="5">
        <f t="shared" si="59"/>
        <v>1</v>
      </c>
    </row>
    <row r="745" spans="1:9">
      <c r="A745">
        <f t="shared" si="60"/>
        <v>744</v>
      </c>
      <c r="B745">
        <v>9</v>
      </c>
      <c r="C745">
        <v>6000</v>
      </c>
      <c r="D745">
        <v>6224</v>
      </c>
      <c r="E745" s="5">
        <f t="shared" si="56"/>
        <v>224</v>
      </c>
      <c r="F745" s="5">
        <f t="shared" si="57"/>
        <v>50176</v>
      </c>
      <c r="G745" s="6">
        <f>SQRT(SUM($F$2:F745)/A745)</f>
        <v>1289.4673803551605</v>
      </c>
      <c r="H745" s="5">
        <f t="shared" si="58"/>
        <v>1</v>
      </c>
      <c r="I745" s="5">
        <f t="shared" si="59"/>
        <v>1</v>
      </c>
    </row>
    <row r="746" spans="1:9">
      <c r="A746">
        <f t="shared" si="60"/>
        <v>745</v>
      </c>
      <c r="B746">
        <v>8</v>
      </c>
      <c r="C746">
        <v>6000</v>
      </c>
      <c r="D746">
        <v>5451</v>
      </c>
      <c r="E746" s="5">
        <f t="shared" si="56"/>
        <v>549</v>
      </c>
      <c r="F746" s="5">
        <f t="shared" si="57"/>
        <v>301401</v>
      </c>
      <c r="G746" s="6">
        <f>SQRT(SUM($F$2:F746)/A746)</f>
        <v>1288.758644181687</v>
      </c>
      <c r="H746" s="5">
        <f t="shared" si="58"/>
        <v>1</v>
      </c>
      <c r="I746" s="5">
        <f t="shared" si="59"/>
        <v>1</v>
      </c>
    </row>
    <row r="747" spans="1:9">
      <c r="A747">
        <f t="shared" si="60"/>
        <v>746</v>
      </c>
      <c r="B747">
        <v>9</v>
      </c>
      <c r="C747">
        <v>6000</v>
      </c>
      <c r="D747">
        <v>6078</v>
      </c>
      <c r="E747" s="5">
        <f t="shared" si="56"/>
        <v>78</v>
      </c>
      <c r="F747" s="5">
        <f t="shared" si="57"/>
        <v>6084</v>
      </c>
      <c r="G747" s="6">
        <f>SQRT(SUM($F$2:F747)/A747)</f>
        <v>1287.8977414737933</v>
      </c>
      <c r="H747" s="5">
        <f t="shared" si="58"/>
        <v>1</v>
      </c>
      <c r="I747" s="5">
        <f t="shared" si="59"/>
        <v>1</v>
      </c>
    </row>
    <row r="748" spans="1:9">
      <c r="A748">
        <f t="shared" si="60"/>
        <v>747</v>
      </c>
      <c r="B748">
        <v>8</v>
      </c>
      <c r="C748">
        <v>6000</v>
      </c>
      <c r="D748">
        <v>5194</v>
      </c>
      <c r="E748" s="5">
        <f t="shared" si="56"/>
        <v>806</v>
      </c>
      <c r="F748" s="5">
        <f t="shared" si="57"/>
        <v>649636</v>
      </c>
      <c r="G748" s="6">
        <f>SQRT(SUM($F$2:F748)/A748)</f>
        <v>1287.3732157068559</v>
      </c>
      <c r="H748" s="5">
        <f t="shared" si="58"/>
        <v>1</v>
      </c>
      <c r="I748" s="5">
        <f t="shared" si="59"/>
        <v>0</v>
      </c>
    </row>
    <row r="749" spans="1:9">
      <c r="A749">
        <f t="shared" si="60"/>
        <v>748</v>
      </c>
      <c r="B749">
        <v>10</v>
      </c>
      <c r="C749">
        <v>6000</v>
      </c>
      <c r="D749">
        <v>6118</v>
      </c>
      <c r="E749" s="5">
        <f t="shared" si="56"/>
        <v>118</v>
      </c>
      <c r="F749" s="5">
        <f t="shared" si="57"/>
        <v>13924</v>
      </c>
      <c r="G749" s="6">
        <f>SQRT(SUM($F$2:F749)/A749)</f>
        <v>1286.5196189512712</v>
      </c>
      <c r="H749" s="5">
        <f t="shared" si="58"/>
        <v>1</v>
      </c>
      <c r="I749" s="5">
        <f t="shared" si="59"/>
        <v>1</v>
      </c>
    </row>
    <row r="750" spans="1:9">
      <c r="A750">
        <f t="shared" si="60"/>
        <v>749</v>
      </c>
      <c r="B750">
        <v>9</v>
      </c>
      <c r="C750">
        <v>6000</v>
      </c>
      <c r="D750">
        <v>5822</v>
      </c>
      <c r="E750" s="5">
        <f t="shared" si="56"/>
        <v>178</v>
      </c>
      <c r="F750" s="5">
        <f t="shared" si="57"/>
        <v>31684</v>
      </c>
      <c r="G750" s="6">
        <f>SQRT(SUM($F$2:F750)/A750)</f>
        <v>1285.6769585146733</v>
      </c>
      <c r="H750" s="5">
        <f t="shared" si="58"/>
        <v>1</v>
      </c>
      <c r="I750" s="5">
        <f t="shared" si="59"/>
        <v>1</v>
      </c>
    </row>
    <row r="751" spans="1:9">
      <c r="A751">
        <f t="shared" si="60"/>
        <v>750</v>
      </c>
      <c r="B751">
        <v>9</v>
      </c>
      <c r="C751">
        <v>6000</v>
      </c>
      <c r="D751">
        <v>6117</v>
      </c>
      <c r="E751" s="5">
        <f t="shared" si="56"/>
        <v>117</v>
      </c>
      <c r="F751" s="5">
        <f t="shared" si="57"/>
        <v>13689</v>
      </c>
      <c r="G751" s="6">
        <f>SQRT(SUM($F$2:F751)/A751)</f>
        <v>1284.8266575690279</v>
      </c>
      <c r="H751" s="5">
        <f t="shared" si="58"/>
        <v>1</v>
      </c>
      <c r="I751" s="5">
        <f t="shared" si="59"/>
        <v>1</v>
      </c>
    </row>
    <row r="752" spans="1:9">
      <c r="A752">
        <f t="shared" si="60"/>
        <v>751</v>
      </c>
      <c r="B752">
        <v>9</v>
      </c>
      <c r="C752">
        <v>6000</v>
      </c>
      <c r="D752">
        <v>5792</v>
      </c>
      <c r="E752" s="5">
        <f t="shared" si="56"/>
        <v>208</v>
      </c>
      <c r="F752" s="5">
        <f t="shared" si="57"/>
        <v>43264</v>
      </c>
      <c r="G752" s="6">
        <f>SQRT(SUM($F$2:F752)/A752)</f>
        <v>1283.9933956009033</v>
      </c>
      <c r="H752" s="5">
        <f t="shared" si="58"/>
        <v>1</v>
      </c>
      <c r="I752" s="5">
        <f t="shared" si="59"/>
        <v>1</v>
      </c>
    </row>
    <row r="753" spans="1:9">
      <c r="A753">
        <f t="shared" si="60"/>
        <v>752</v>
      </c>
      <c r="B753">
        <v>9</v>
      </c>
      <c r="C753">
        <v>6000</v>
      </c>
      <c r="D753">
        <v>5661</v>
      </c>
      <c r="E753" s="5">
        <f t="shared" si="56"/>
        <v>339</v>
      </c>
      <c r="F753" s="5">
        <f t="shared" si="57"/>
        <v>114921</v>
      </c>
      <c r="G753" s="6">
        <f>SQRT(SUM($F$2:F753)/A753)</f>
        <v>1283.1989406466153</v>
      </c>
      <c r="H753" s="5">
        <f t="shared" si="58"/>
        <v>1</v>
      </c>
      <c r="I753" s="5">
        <f t="shared" si="59"/>
        <v>1</v>
      </c>
    </row>
    <row r="754" spans="1:9">
      <c r="A754">
        <f t="shared" si="60"/>
        <v>753</v>
      </c>
      <c r="B754">
        <v>9</v>
      </c>
      <c r="C754">
        <v>6000</v>
      </c>
      <c r="D754">
        <v>6404</v>
      </c>
      <c r="E754" s="5">
        <f t="shared" si="56"/>
        <v>404</v>
      </c>
      <c r="F754" s="5">
        <f t="shared" si="57"/>
        <v>163216</v>
      </c>
      <c r="G754" s="6">
        <f>SQRT(SUM($F$2:F754)/A754)</f>
        <v>1282.4311117720526</v>
      </c>
      <c r="H754" s="5">
        <f t="shared" si="58"/>
        <v>1</v>
      </c>
      <c r="I754" s="5">
        <f t="shared" si="59"/>
        <v>1</v>
      </c>
    </row>
    <row r="755" spans="1:9">
      <c r="A755">
        <f t="shared" si="60"/>
        <v>754</v>
      </c>
      <c r="B755">
        <v>8</v>
      </c>
      <c r="C755">
        <v>6000</v>
      </c>
      <c r="D755">
        <v>5638</v>
      </c>
      <c r="E755" s="5">
        <f t="shared" si="56"/>
        <v>362</v>
      </c>
      <c r="F755" s="5">
        <f t="shared" si="57"/>
        <v>131044</v>
      </c>
      <c r="G755" s="6">
        <f>SQRT(SUM($F$2:F755)/A755)</f>
        <v>1281.6482155962742</v>
      </c>
      <c r="H755" s="5">
        <f t="shared" si="58"/>
        <v>1</v>
      </c>
      <c r="I755" s="5">
        <f t="shared" si="59"/>
        <v>1</v>
      </c>
    </row>
    <row r="756" spans="1:9">
      <c r="A756">
        <f t="shared" si="60"/>
        <v>755</v>
      </c>
      <c r="B756">
        <v>9</v>
      </c>
      <c r="C756">
        <v>6000</v>
      </c>
      <c r="D756">
        <v>5623</v>
      </c>
      <c r="E756" s="5">
        <f t="shared" si="56"/>
        <v>377</v>
      </c>
      <c r="F756" s="5">
        <f t="shared" si="57"/>
        <v>142129</v>
      </c>
      <c r="G756" s="6">
        <f>SQRT(SUM($F$2:F756)/A756)</f>
        <v>1280.8726480011005</v>
      </c>
      <c r="H756" s="5">
        <f t="shared" si="58"/>
        <v>1</v>
      </c>
      <c r="I756" s="5">
        <f t="shared" si="59"/>
        <v>1</v>
      </c>
    </row>
    <row r="757" spans="1:9">
      <c r="A757">
        <f t="shared" si="60"/>
        <v>756</v>
      </c>
      <c r="B757">
        <v>9</v>
      </c>
      <c r="C757">
        <v>6000</v>
      </c>
      <c r="D757">
        <v>6680</v>
      </c>
      <c r="E757" s="5">
        <f t="shared" si="56"/>
        <v>680</v>
      </c>
      <c r="F757" s="5">
        <f t="shared" si="57"/>
        <v>462400</v>
      </c>
      <c r="G757" s="6">
        <f>SQRT(SUM($F$2:F757)/A757)</f>
        <v>1280.2641246383414</v>
      </c>
      <c r="H757" s="5">
        <f t="shared" si="58"/>
        <v>1</v>
      </c>
      <c r="I757" s="5">
        <f t="shared" si="59"/>
        <v>0</v>
      </c>
    </row>
    <row r="758" spans="1:9">
      <c r="A758">
        <f t="shared" si="60"/>
        <v>757</v>
      </c>
      <c r="B758">
        <v>8</v>
      </c>
      <c r="C758">
        <v>6000</v>
      </c>
      <c r="D758">
        <v>5716</v>
      </c>
      <c r="E758" s="5">
        <f t="shared" si="56"/>
        <v>284</v>
      </c>
      <c r="F758" s="5">
        <f t="shared" si="57"/>
        <v>80656</v>
      </c>
      <c r="G758" s="6">
        <f>SQRT(SUM($F$2:F758)/A758)</f>
        <v>1279.4598663254931</v>
      </c>
      <c r="H758" s="5">
        <f t="shared" si="58"/>
        <v>1</v>
      </c>
      <c r="I758" s="5">
        <f t="shared" si="59"/>
        <v>1</v>
      </c>
    </row>
    <row r="759" spans="1:9">
      <c r="A759">
        <f t="shared" si="60"/>
        <v>758</v>
      </c>
      <c r="B759">
        <v>9</v>
      </c>
      <c r="C759">
        <v>6000</v>
      </c>
      <c r="D759">
        <v>5772</v>
      </c>
      <c r="E759" s="5">
        <f t="shared" si="56"/>
        <v>228</v>
      </c>
      <c r="F759" s="5">
        <f t="shared" si="57"/>
        <v>51984</v>
      </c>
      <c r="G759" s="6">
        <f>SQRT(SUM($F$2:F759)/A759)</f>
        <v>1278.6424348711794</v>
      </c>
      <c r="H759" s="5">
        <f t="shared" si="58"/>
        <v>1</v>
      </c>
      <c r="I759" s="5">
        <f t="shared" si="59"/>
        <v>1</v>
      </c>
    </row>
    <row r="760" spans="1:9">
      <c r="A760">
        <f t="shared" si="60"/>
        <v>759</v>
      </c>
      <c r="B760">
        <v>9</v>
      </c>
      <c r="C760">
        <v>6000</v>
      </c>
      <c r="D760">
        <v>6914</v>
      </c>
      <c r="E760" s="5">
        <f t="shared" si="56"/>
        <v>914</v>
      </c>
      <c r="F760" s="5">
        <f t="shared" si="57"/>
        <v>835396</v>
      </c>
      <c r="G760" s="6">
        <f>SQRT(SUM($F$2:F760)/A760)</f>
        <v>1278.2304473045294</v>
      </c>
      <c r="H760" s="5">
        <f t="shared" si="58"/>
        <v>1</v>
      </c>
      <c r="I760" s="5">
        <f t="shared" si="59"/>
        <v>0</v>
      </c>
    </row>
    <row r="761" spans="1:9">
      <c r="A761">
        <f t="shared" si="60"/>
        <v>760</v>
      </c>
      <c r="B761">
        <v>8</v>
      </c>
      <c r="C761">
        <v>6000</v>
      </c>
      <c r="D761">
        <v>6653</v>
      </c>
      <c r="E761" s="5">
        <f t="shared" si="56"/>
        <v>653</v>
      </c>
      <c r="F761" s="5">
        <f t="shared" si="57"/>
        <v>426409</v>
      </c>
      <c r="G761" s="6">
        <f>SQRT(SUM($F$2:F761)/A761)</f>
        <v>1277.6088242865014</v>
      </c>
      <c r="H761" s="5">
        <f t="shared" si="58"/>
        <v>1</v>
      </c>
      <c r="I761" s="5">
        <f t="shared" si="59"/>
        <v>0</v>
      </c>
    </row>
    <row r="762" spans="1:9">
      <c r="A762">
        <f t="shared" si="60"/>
        <v>761</v>
      </c>
      <c r="B762">
        <v>8</v>
      </c>
      <c r="C762">
        <v>6000</v>
      </c>
      <c r="D762">
        <v>5588</v>
      </c>
      <c r="E762" s="5">
        <f t="shared" si="56"/>
        <v>412</v>
      </c>
      <c r="F762" s="5">
        <f t="shared" si="57"/>
        <v>169744</v>
      </c>
      <c r="G762" s="6">
        <f>SQRT(SUM($F$2:F762)/A762)</f>
        <v>1276.8564686464606</v>
      </c>
      <c r="H762" s="5">
        <f t="shared" si="58"/>
        <v>1</v>
      </c>
      <c r="I762" s="5">
        <f t="shared" si="59"/>
        <v>1</v>
      </c>
    </row>
    <row r="763" spans="1:9">
      <c r="A763">
        <f t="shared" si="60"/>
        <v>762</v>
      </c>
      <c r="B763">
        <v>9</v>
      </c>
      <c r="C763">
        <v>6000</v>
      </c>
      <c r="D763">
        <v>6773</v>
      </c>
      <c r="E763" s="5">
        <f t="shared" si="56"/>
        <v>773</v>
      </c>
      <c r="F763" s="5">
        <f t="shared" si="57"/>
        <v>597529</v>
      </c>
      <c r="G763" s="6">
        <f>SQRT(SUM($F$2:F763)/A763)</f>
        <v>1276.3255921042903</v>
      </c>
      <c r="H763" s="5">
        <f t="shared" si="58"/>
        <v>1</v>
      </c>
      <c r="I763" s="5">
        <f t="shared" si="59"/>
        <v>0</v>
      </c>
    </row>
    <row r="764" spans="1:9">
      <c r="A764">
        <f t="shared" si="60"/>
        <v>763</v>
      </c>
      <c r="B764">
        <v>8</v>
      </c>
      <c r="C764">
        <v>6000</v>
      </c>
      <c r="D764">
        <v>6073</v>
      </c>
      <c r="E764" s="5">
        <f t="shared" si="56"/>
        <v>73</v>
      </c>
      <c r="F764" s="5">
        <f t="shared" si="57"/>
        <v>5329</v>
      </c>
      <c r="G764" s="6">
        <f>SQRT(SUM($F$2:F764)/A764)</f>
        <v>1275.4916693923892</v>
      </c>
      <c r="H764" s="5">
        <f t="shared" si="58"/>
        <v>1</v>
      </c>
      <c r="I764" s="5">
        <f t="shared" si="59"/>
        <v>1</v>
      </c>
    </row>
    <row r="765" spans="1:9">
      <c r="A765">
        <f t="shared" si="60"/>
        <v>764</v>
      </c>
      <c r="B765">
        <v>8</v>
      </c>
      <c r="C765">
        <v>6000</v>
      </c>
      <c r="D765">
        <v>4231</v>
      </c>
      <c r="E765" s="5">
        <f t="shared" si="56"/>
        <v>1769</v>
      </c>
      <c r="F765" s="5">
        <f t="shared" si="57"/>
        <v>3129361</v>
      </c>
      <c r="G765" s="6">
        <f>SQRT(SUM($F$2:F765)/A765)</f>
        <v>1276.262354756082</v>
      </c>
      <c r="H765" s="5">
        <f t="shared" si="58"/>
        <v>0</v>
      </c>
      <c r="I765" s="5">
        <f t="shared" si="59"/>
        <v>0</v>
      </c>
    </row>
    <row r="766" spans="1:9">
      <c r="A766">
        <f t="shared" si="60"/>
        <v>765</v>
      </c>
      <c r="B766">
        <v>11</v>
      </c>
      <c r="C766">
        <v>6000</v>
      </c>
      <c r="D766">
        <v>5072</v>
      </c>
      <c r="E766" s="5">
        <f t="shared" si="56"/>
        <v>928</v>
      </c>
      <c r="F766" s="5">
        <f t="shared" si="57"/>
        <v>861184</v>
      </c>
      <c r="G766" s="6">
        <f>SQRT(SUM($F$2:F766)/A766)</f>
        <v>1275.8691621613277</v>
      </c>
      <c r="H766" s="5">
        <f t="shared" si="58"/>
        <v>1</v>
      </c>
      <c r="I766" s="5">
        <f t="shared" si="59"/>
        <v>0</v>
      </c>
    </row>
    <row r="767" spans="1:9">
      <c r="A767">
        <f t="shared" si="60"/>
        <v>766</v>
      </c>
      <c r="B767">
        <v>10</v>
      </c>
      <c r="C767">
        <v>6000</v>
      </c>
      <c r="D767">
        <v>2845</v>
      </c>
      <c r="E767" s="5">
        <f t="shared" si="56"/>
        <v>3155</v>
      </c>
      <c r="F767" s="5">
        <f t="shared" si="57"/>
        <v>9954025</v>
      </c>
      <c r="G767" s="6">
        <f>SQRT(SUM($F$2:F767)/A767)</f>
        <v>1280.1217947521548</v>
      </c>
      <c r="H767" s="5">
        <f t="shared" si="58"/>
        <v>0</v>
      </c>
      <c r="I767" s="5">
        <f t="shared" si="59"/>
        <v>0</v>
      </c>
    </row>
    <row r="768" spans="1:9">
      <c r="A768">
        <f t="shared" si="60"/>
        <v>767</v>
      </c>
      <c r="B768">
        <v>13</v>
      </c>
      <c r="C768">
        <v>6000</v>
      </c>
      <c r="D768">
        <v>7665</v>
      </c>
      <c r="E768" s="5">
        <f t="shared" si="56"/>
        <v>1665</v>
      </c>
      <c r="F768" s="5">
        <f t="shared" si="57"/>
        <v>2772225</v>
      </c>
      <c r="G768" s="6">
        <f>SQRT(SUM($F$2:F768)/A768)</f>
        <v>1280.6988960410367</v>
      </c>
      <c r="H768" s="5">
        <f t="shared" si="58"/>
        <v>0</v>
      </c>
      <c r="I768" s="5">
        <f t="shared" si="59"/>
        <v>0</v>
      </c>
    </row>
    <row r="769" spans="1:9">
      <c r="A769">
        <f t="shared" si="60"/>
        <v>768</v>
      </c>
      <c r="B769">
        <v>8</v>
      </c>
      <c r="C769">
        <v>6000</v>
      </c>
      <c r="D769">
        <v>4668</v>
      </c>
      <c r="E769" s="5">
        <f t="shared" si="56"/>
        <v>1332</v>
      </c>
      <c r="F769" s="5">
        <f t="shared" si="57"/>
        <v>1774224</v>
      </c>
      <c r="G769" s="6">
        <f>SQRT(SUM($F$2:F769)/A769)</f>
        <v>1280.7670304149451</v>
      </c>
      <c r="H769" s="5">
        <f t="shared" si="58"/>
        <v>0</v>
      </c>
      <c r="I769" s="5">
        <f t="shared" si="59"/>
        <v>0</v>
      </c>
    </row>
    <row r="770" spans="1:9">
      <c r="A770">
        <f t="shared" si="60"/>
        <v>769</v>
      </c>
      <c r="B770">
        <v>11</v>
      </c>
      <c r="C770">
        <v>6000</v>
      </c>
      <c r="D770">
        <v>6480</v>
      </c>
      <c r="E770" s="5">
        <f t="shared" si="56"/>
        <v>480</v>
      </c>
      <c r="F770" s="5">
        <f t="shared" si="57"/>
        <v>230400</v>
      </c>
      <c r="G770" s="6">
        <f>SQRT(SUM($F$2:F770)/A770)</f>
        <v>1280.0510469136814</v>
      </c>
      <c r="H770" s="5">
        <f t="shared" si="58"/>
        <v>1</v>
      </c>
      <c r="I770" s="5">
        <f t="shared" si="59"/>
        <v>1</v>
      </c>
    </row>
    <row r="771" spans="1:9">
      <c r="A771">
        <f t="shared" si="60"/>
        <v>770</v>
      </c>
      <c r="B771">
        <v>9</v>
      </c>
      <c r="C771">
        <v>6000</v>
      </c>
      <c r="D771">
        <v>7057</v>
      </c>
      <c r="E771" s="5">
        <f t="shared" ref="E771:E834" si="61">ABS(C771-D771)</f>
        <v>1057</v>
      </c>
      <c r="F771" s="5">
        <f t="shared" ref="F771:F834" si="62">POWER(E771,2)</f>
        <v>1117249</v>
      </c>
      <c r="G771" s="6">
        <f>SQRT(SUM($F$2:F771)/A771)</f>
        <v>1279.7865812339546</v>
      </c>
      <c r="H771" s="5">
        <f t="shared" ref="H771:H834" si="63">IF(ABS(E771)/C771&gt;0.2,0,1)</f>
        <v>1</v>
      </c>
      <c r="I771" s="5">
        <f t="shared" ref="I771:I834" si="64">IF(ABS(E771)/C771&gt;0.1,0,1)</f>
        <v>0</v>
      </c>
    </row>
    <row r="772" spans="1:9">
      <c r="A772">
        <f t="shared" ref="A772:A835" si="65">A771+1</f>
        <v>771</v>
      </c>
      <c r="B772">
        <v>8</v>
      </c>
      <c r="C772">
        <v>6000</v>
      </c>
      <c r="D772">
        <v>4952</v>
      </c>
      <c r="E772" s="5">
        <f t="shared" si="61"/>
        <v>1048</v>
      </c>
      <c r="F772" s="5">
        <f t="shared" si="62"/>
        <v>1098304</v>
      </c>
      <c r="G772" s="6">
        <f>SQRT(SUM($F$2:F772)/A772)</f>
        <v>1279.513145089393</v>
      </c>
      <c r="H772" s="5">
        <f t="shared" si="63"/>
        <v>1</v>
      </c>
      <c r="I772" s="5">
        <f t="shared" si="64"/>
        <v>0</v>
      </c>
    </row>
    <row r="773" spans="1:9">
      <c r="A773">
        <f t="shared" si="65"/>
        <v>772</v>
      </c>
      <c r="B773">
        <v>11</v>
      </c>
      <c r="C773">
        <v>6000</v>
      </c>
      <c r="D773">
        <v>6984</v>
      </c>
      <c r="E773" s="5">
        <f t="shared" si="61"/>
        <v>984</v>
      </c>
      <c r="F773" s="5">
        <f t="shared" si="62"/>
        <v>968256</v>
      </c>
      <c r="G773" s="6">
        <f>SQRT(SUM($F$2:F773)/A773)</f>
        <v>1279.1745152302356</v>
      </c>
      <c r="H773" s="5">
        <f t="shared" si="63"/>
        <v>1</v>
      </c>
      <c r="I773" s="5">
        <f t="shared" si="64"/>
        <v>0</v>
      </c>
    </row>
    <row r="774" spans="1:9">
      <c r="A774">
        <f t="shared" si="65"/>
        <v>773</v>
      </c>
      <c r="B774">
        <v>9</v>
      </c>
      <c r="C774">
        <v>6000</v>
      </c>
      <c r="D774">
        <v>7224</v>
      </c>
      <c r="E774" s="5">
        <f t="shared" si="61"/>
        <v>1224</v>
      </c>
      <c r="F774" s="5">
        <f t="shared" si="62"/>
        <v>1498176</v>
      </c>
      <c r="G774" s="6">
        <f>SQRT(SUM($F$2:F774)/A774)</f>
        <v>1279.1046755531747</v>
      </c>
      <c r="H774" s="5">
        <f t="shared" si="63"/>
        <v>0</v>
      </c>
      <c r="I774" s="5">
        <f t="shared" si="64"/>
        <v>0</v>
      </c>
    </row>
    <row r="775" spans="1:9">
      <c r="A775">
        <f t="shared" si="65"/>
        <v>774</v>
      </c>
      <c r="B775">
        <v>8</v>
      </c>
      <c r="C775">
        <v>6000</v>
      </c>
      <c r="D775">
        <v>6611</v>
      </c>
      <c r="E775" s="5">
        <f t="shared" si="61"/>
        <v>611</v>
      </c>
      <c r="F775" s="5">
        <f t="shared" si="62"/>
        <v>373321</v>
      </c>
      <c r="G775" s="6">
        <f>SQRT(SUM($F$2:F775)/A775)</f>
        <v>1278.4667622875074</v>
      </c>
      <c r="H775" s="5">
        <f t="shared" si="63"/>
        <v>1</v>
      </c>
      <c r="I775" s="5">
        <f t="shared" si="64"/>
        <v>0</v>
      </c>
    </row>
    <row r="776" spans="1:9">
      <c r="A776">
        <f t="shared" si="65"/>
        <v>775</v>
      </c>
      <c r="B776">
        <v>8</v>
      </c>
      <c r="C776">
        <v>6000</v>
      </c>
      <c r="D776">
        <v>5473</v>
      </c>
      <c r="E776" s="5">
        <f t="shared" si="61"/>
        <v>527</v>
      </c>
      <c r="F776" s="5">
        <f t="shared" si="62"/>
        <v>277729</v>
      </c>
      <c r="G776" s="6">
        <f>SQRT(SUM($F$2:F776)/A776)</f>
        <v>1277.7819138471318</v>
      </c>
      <c r="H776" s="5">
        <f t="shared" si="63"/>
        <v>1</v>
      </c>
      <c r="I776" s="5">
        <f t="shared" si="64"/>
        <v>1</v>
      </c>
    </row>
    <row r="777" spans="1:9">
      <c r="A777">
        <f t="shared" si="65"/>
        <v>776</v>
      </c>
      <c r="B777">
        <v>10</v>
      </c>
      <c r="C777">
        <v>6000</v>
      </c>
      <c r="D777">
        <v>7743</v>
      </c>
      <c r="E777" s="5">
        <f t="shared" si="61"/>
        <v>1743</v>
      </c>
      <c r="F777" s="5">
        <f t="shared" si="62"/>
        <v>3038049</v>
      </c>
      <c r="G777" s="6">
        <f>SQRT(SUM($F$2:F777)/A777)</f>
        <v>1278.4903604658596</v>
      </c>
      <c r="H777" s="5">
        <f t="shared" si="63"/>
        <v>0</v>
      </c>
      <c r="I777" s="5">
        <f t="shared" si="64"/>
        <v>0</v>
      </c>
    </row>
    <row r="778" spans="1:9">
      <c r="A778">
        <f t="shared" si="65"/>
        <v>777</v>
      </c>
      <c r="B778">
        <v>7</v>
      </c>
      <c r="C778">
        <v>6000</v>
      </c>
      <c r="D778">
        <v>5295</v>
      </c>
      <c r="E778" s="5">
        <f t="shared" si="61"/>
        <v>705</v>
      </c>
      <c r="F778" s="5">
        <f t="shared" si="62"/>
        <v>497025</v>
      </c>
      <c r="G778" s="6">
        <f>SQRT(SUM($F$2:F778)/A778)</f>
        <v>1277.9176896896065</v>
      </c>
      <c r="H778" s="5">
        <f t="shared" si="63"/>
        <v>1</v>
      </c>
      <c r="I778" s="5">
        <f t="shared" si="64"/>
        <v>0</v>
      </c>
    </row>
    <row r="779" spans="1:9">
      <c r="A779">
        <f t="shared" si="65"/>
        <v>778</v>
      </c>
      <c r="B779">
        <v>10</v>
      </c>
      <c r="C779">
        <v>6000</v>
      </c>
      <c r="D779">
        <v>7034</v>
      </c>
      <c r="E779" s="5">
        <f t="shared" si="61"/>
        <v>1034</v>
      </c>
      <c r="F779" s="5">
        <f t="shared" si="62"/>
        <v>1069156</v>
      </c>
      <c r="G779" s="6">
        <f>SQRT(SUM($F$2:F779)/A779)</f>
        <v>1277.6340601963377</v>
      </c>
      <c r="H779" s="5">
        <f t="shared" si="63"/>
        <v>1</v>
      </c>
      <c r="I779" s="5">
        <f t="shared" si="64"/>
        <v>0</v>
      </c>
    </row>
    <row r="780" spans="1:9">
      <c r="A780">
        <f t="shared" si="65"/>
        <v>779</v>
      </c>
      <c r="B780">
        <v>8</v>
      </c>
      <c r="C780">
        <v>6000</v>
      </c>
      <c r="D780">
        <v>6581</v>
      </c>
      <c r="E780" s="5">
        <f t="shared" si="61"/>
        <v>581</v>
      </c>
      <c r="F780" s="5">
        <f t="shared" si="62"/>
        <v>337561</v>
      </c>
      <c r="G780" s="6">
        <f>SQRT(SUM($F$2:F780)/A780)</f>
        <v>1276.9834284392041</v>
      </c>
      <c r="H780" s="5">
        <f t="shared" si="63"/>
        <v>1</v>
      </c>
      <c r="I780" s="5">
        <f t="shared" si="64"/>
        <v>1</v>
      </c>
    </row>
    <row r="781" spans="1:9">
      <c r="A781">
        <f t="shared" si="65"/>
        <v>780</v>
      </c>
      <c r="B781">
        <v>8</v>
      </c>
      <c r="C781">
        <v>6000</v>
      </c>
      <c r="D781">
        <v>5831</v>
      </c>
      <c r="E781" s="5">
        <f t="shared" si="61"/>
        <v>169</v>
      </c>
      <c r="F781" s="5">
        <f t="shared" si="62"/>
        <v>28561</v>
      </c>
      <c r="G781" s="6">
        <f>SQRT(SUM($F$2:F781)/A781)</f>
        <v>1276.1789330774777</v>
      </c>
      <c r="H781" s="5">
        <f t="shared" si="63"/>
        <v>1</v>
      </c>
      <c r="I781" s="5">
        <f t="shared" si="64"/>
        <v>1</v>
      </c>
    </row>
    <row r="782" spans="1:9">
      <c r="A782">
        <f t="shared" si="65"/>
        <v>781</v>
      </c>
      <c r="B782">
        <v>9</v>
      </c>
      <c r="C782">
        <v>6000</v>
      </c>
      <c r="D782">
        <v>5954</v>
      </c>
      <c r="E782" s="5">
        <f t="shared" si="61"/>
        <v>46</v>
      </c>
      <c r="F782" s="5">
        <f t="shared" si="62"/>
        <v>2116</v>
      </c>
      <c r="G782" s="6">
        <f>SQRT(SUM($F$2:F782)/A782)</f>
        <v>1275.3627176061198</v>
      </c>
      <c r="H782" s="5">
        <f t="shared" si="63"/>
        <v>1</v>
      </c>
      <c r="I782" s="5">
        <f t="shared" si="64"/>
        <v>1</v>
      </c>
    </row>
    <row r="783" spans="1:9">
      <c r="A783">
        <f t="shared" si="65"/>
        <v>782</v>
      </c>
      <c r="B783">
        <v>9</v>
      </c>
      <c r="C783">
        <v>6000</v>
      </c>
      <c r="D783">
        <v>6332</v>
      </c>
      <c r="E783" s="5">
        <f t="shared" si="61"/>
        <v>332</v>
      </c>
      <c r="F783" s="5">
        <f t="shared" si="62"/>
        <v>110224</v>
      </c>
      <c r="G783" s="6">
        <f>SQRT(SUM($F$2:F783)/A783)</f>
        <v>1274.6023009454548</v>
      </c>
      <c r="H783" s="5">
        <f t="shared" si="63"/>
        <v>1</v>
      </c>
      <c r="I783" s="5">
        <f t="shared" si="64"/>
        <v>1</v>
      </c>
    </row>
    <row r="784" spans="1:9">
      <c r="A784">
        <f t="shared" si="65"/>
        <v>783</v>
      </c>
      <c r="B784">
        <v>8</v>
      </c>
      <c r="C784">
        <v>6000</v>
      </c>
      <c r="D784">
        <v>6180</v>
      </c>
      <c r="E784" s="5">
        <f t="shared" si="61"/>
        <v>180</v>
      </c>
      <c r="F784" s="5">
        <f t="shared" si="62"/>
        <v>32400</v>
      </c>
      <c r="G784" s="6">
        <f>SQRT(SUM($F$2:F784)/A784)</f>
        <v>1273.8043611351779</v>
      </c>
      <c r="H784" s="5">
        <f t="shared" si="63"/>
        <v>1</v>
      </c>
      <c r="I784" s="5">
        <f t="shared" si="64"/>
        <v>1</v>
      </c>
    </row>
    <row r="785" spans="1:9">
      <c r="A785">
        <f t="shared" si="65"/>
        <v>784</v>
      </c>
      <c r="B785">
        <v>8</v>
      </c>
      <c r="C785">
        <v>6000</v>
      </c>
      <c r="D785">
        <v>6362</v>
      </c>
      <c r="E785" s="5">
        <f t="shared" si="61"/>
        <v>362</v>
      </c>
      <c r="F785" s="5">
        <f t="shared" si="62"/>
        <v>131044</v>
      </c>
      <c r="G785" s="6">
        <f>SQRT(SUM($F$2:F785)/A785)</f>
        <v>1273.0573766267071</v>
      </c>
      <c r="H785" s="5">
        <f t="shared" si="63"/>
        <v>1</v>
      </c>
      <c r="I785" s="5">
        <f t="shared" si="64"/>
        <v>1</v>
      </c>
    </row>
    <row r="786" spans="1:9">
      <c r="A786">
        <f t="shared" si="65"/>
        <v>785</v>
      </c>
      <c r="B786">
        <v>8</v>
      </c>
      <c r="C786">
        <v>6000</v>
      </c>
      <c r="D786">
        <v>6220</v>
      </c>
      <c r="E786" s="5">
        <f t="shared" si="61"/>
        <v>220</v>
      </c>
      <c r="F786" s="5">
        <f t="shared" si="62"/>
        <v>48400</v>
      </c>
      <c r="G786" s="6">
        <f>SQRT(SUM($F$2:F786)/A786)</f>
        <v>1272.2704846011563</v>
      </c>
      <c r="H786" s="5">
        <f t="shared" si="63"/>
        <v>1</v>
      </c>
      <c r="I786" s="5">
        <f t="shared" si="64"/>
        <v>1</v>
      </c>
    </row>
    <row r="787" spans="1:9">
      <c r="A787">
        <f t="shared" si="65"/>
        <v>786</v>
      </c>
      <c r="B787">
        <v>8</v>
      </c>
      <c r="C787">
        <v>6000</v>
      </c>
      <c r="D787">
        <v>6480</v>
      </c>
      <c r="E787" s="5">
        <f t="shared" si="61"/>
        <v>480</v>
      </c>
      <c r="F787" s="5">
        <f t="shared" si="62"/>
        <v>230400</v>
      </c>
      <c r="G787" s="6">
        <f>SQRT(SUM($F$2:F787)/A787)</f>
        <v>1271.5761622438383</v>
      </c>
      <c r="H787" s="5">
        <f t="shared" si="63"/>
        <v>1</v>
      </c>
      <c r="I787" s="5">
        <f t="shared" si="64"/>
        <v>1</v>
      </c>
    </row>
    <row r="788" spans="1:9">
      <c r="A788">
        <f t="shared" si="65"/>
        <v>787</v>
      </c>
      <c r="B788">
        <v>8</v>
      </c>
      <c r="C788">
        <v>6000</v>
      </c>
      <c r="D788">
        <v>6129</v>
      </c>
      <c r="E788" s="5">
        <f t="shared" si="61"/>
        <v>129</v>
      </c>
      <c r="F788" s="5">
        <f t="shared" si="62"/>
        <v>16641</v>
      </c>
      <c r="G788" s="6">
        <f>SQRT(SUM($F$2:F788)/A788)</f>
        <v>1270.7763622672078</v>
      </c>
      <c r="H788" s="5">
        <f t="shared" si="63"/>
        <v>1</v>
      </c>
      <c r="I788" s="5">
        <f t="shared" si="64"/>
        <v>1</v>
      </c>
    </row>
    <row r="789" spans="1:9">
      <c r="A789">
        <f t="shared" si="65"/>
        <v>788</v>
      </c>
      <c r="B789">
        <v>8</v>
      </c>
      <c r="C789">
        <v>6000</v>
      </c>
      <c r="D789">
        <v>5356</v>
      </c>
      <c r="E789" s="5">
        <f t="shared" si="61"/>
        <v>644</v>
      </c>
      <c r="F789" s="5">
        <f t="shared" si="62"/>
        <v>414736</v>
      </c>
      <c r="G789" s="6">
        <f>SQRT(SUM($F$2:F789)/A789)</f>
        <v>1270.1769746591672</v>
      </c>
      <c r="H789" s="5">
        <f t="shared" si="63"/>
        <v>1</v>
      </c>
      <c r="I789" s="5">
        <f t="shared" si="64"/>
        <v>0</v>
      </c>
    </row>
    <row r="790" spans="1:9">
      <c r="A790">
        <f t="shared" si="65"/>
        <v>789</v>
      </c>
      <c r="B790">
        <v>9</v>
      </c>
      <c r="C790">
        <v>6000</v>
      </c>
      <c r="D790">
        <v>6500</v>
      </c>
      <c r="E790" s="5">
        <f t="shared" si="61"/>
        <v>500</v>
      </c>
      <c r="F790" s="5">
        <f t="shared" si="62"/>
        <v>250000</v>
      </c>
      <c r="G790" s="6">
        <f>SQRT(SUM($F$2:F790)/A790)</f>
        <v>1269.4965934418478</v>
      </c>
      <c r="H790" s="5">
        <f t="shared" si="63"/>
        <v>1</v>
      </c>
      <c r="I790" s="5">
        <f t="shared" si="64"/>
        <v>1</v>
      </c>
    </row>
    <row r="791" spans="1:9">
      <c r="A791">
        <f t="shared" si="65"/>
        <v>790</v>
      </c>
      <c r="B791">
        <v>8</v>
      </c>
      <c r="C791">
        <v>6000</v>
      </c>
      <c r="D791">
        <v>5977</v>
      </c>
      <c r="E791" s="5">
        <f t="shared" si="61"/>
        <v>23</v>
      </c>
      <c r="F791" s="5">
        <f t="shared" si="62"/>
        <v>529</v>
      </c>
      <c r="G791" s="6">
        <f>SQRT(SUM($F$2:F791)/A791)</f>
        <v>1268.6931240603358</v>
      </c>
      <c r="H791" s="5">
        <f t="shared" si="63"/>
        <v>1</v>
      </c>
      <c r="I791" s="5">
        <f t="shared" si="64"/>
        <v>1</v>
      </c>
    </row>
    <row r="792" spans="1:9">
      <c r="A792">
        <f t="shared" si="65"/>
        <v>791</v>
      </c>
      <c r="B792">
        <v>8</v>
      </c>
      <c r="C792">
        <v>6000</v>
      </c>
      <c r="D792">
        <v>6068</v>
      </c>
      <c r="E792" s="5">
        <f t="shared" si="61"/>
        <v>68</v>
      </c>
      <c r="F792" s="5">
        <f t="shared" si="62"/>
        <v>4624</v>
      </c>
      <c r="G792" s="6">
        <f>SQRT(SUM($F$2:F792)/A792)</f>
        <v>1267.8932205475717</v>
      </c>
      <c r="H792" s="5">
        <f t="shared" si="63"/>
        <v>1</v>
      </c>
      <c r="I792" s="5">
        <f t="shared" si="64"/>
        <v>1</v>
      </c>
    </row>
    <row r="793" spans="1:9">
      <c r="A793">
        <f t="shared" si="65"/>
        <v>792</v>
      </c>
      <c r="B793">
        <v>8</v>
      </c>
      <c r="C793">
        <v>6000</v>
      </c>
      <c r="D793">
        <v>5936</v>
      </c>
      <c r="E793" s="5">
        <f t="shared" si="61"/>
        <v>64</v>
      </c>
      <c r="F793" s="5">
        <f t="shared" si="62"/>
        <v>4096</v>
      </c>
      <c r="G793" s="6">
        <f>SQRT(SUM($F$2:F793)/A793)</f>
        <v>1267.0945708648394</v>
      </c>
      <c r="H793" s="5">
        <f t="shared" si="63"/>
        <v>1</v>
      </c>
      <c r="I793" s="5">
        <f t="shared" si="64"/>
        <v>1</v>
      </c>
    </row>
    <row r="794" spans="1:9">
      <c r="A794">
        <f t="shared" si="65"/>
        <v>793</v>
      </c>
      <c r="B794">
        <v>8</v>
      </c>
      <c r="C794">
        <v>6000</v>
      </c>
      <c r="D794">
        <v>4929</v>
      </c>
      <c r="E794" s="5">
        <f t="shared" si="61"/>
        <v>1071</v>
      </c>
      <c r="F794" s="5">
        <f t="shared" si="62"/>
        <v>1147041</v>
      </c>
      <c r="G794" s="6">
        <f>SQRT(SUM($F$2:F794)/A794)</f>
        <v>1266.8664029707475</v>
      </c>
      <c r="H794" s="5">
        <f t="shared" si="63"/>
        <v>1</v>
      </c>
      <c r="I794" s="5">
        <f t="shared" si="64"/>
        <v>0</v>
      </c>
    </row>
    <row r="795" spans="1:9">
      <c r="A795">
        <f t="shared" si="65"/>
        <v>794</v>
      </c>
      <c r="B795">
        <v>9</v>
      </c>
      <c r="C795">
        <v>6000</v>
      </c>
      <c r="D795">
        <v>5935</v>
      </c>
      <c r="E795" s="5">
        <f t="shared" si="61"/>
        <v>65</v>
      </c>
      <c r="F795" s="5">
        <f t="shared" si="62"/>
        <v>4225</v>
      </c>
      <c r="G795" s="6">
        <f>SQRT(SUM($F$2:F795)/A795)</f>
        <v>1266.0704782591667</v>
      </c>
      <c r="H795" s="5">
        <f t="shared" si="63"/>
        <v>1</v>
      </c>
      <c r="I795" s="5">
        <f t="shared" si="64"/>
        <v>1</v>
      </c>
    </row>
    <row r="796" spans="1:9">
      <c r="A796">
        <f t="shared" si="65"/>
        <v>795</v>
      </c>
      <c r="B796">
        <v>8</v>
      </c>
      <c r="C796">
        <v>6000</v>
      </c>
      <c r="D796">
        <v>5169</v>
      </c>
      <c r="E796" s="5">
        <f t="shared" si="61"/>
        <v>831</v>
      </c>
      <c r="F796" s="5">
        <f t="shared" si="62"/>
        <v>690561</v>
      </c>
      <c r="G796" s="6">
        <f>SQRT(SUM($F$2:F796)/A796)</f>
        <v>1265.6171681642918</v>
      </c>
      <c r="H796" s="5">
        <f t="shared" si="63"/>
        <v>1</v>
      </c>
      <c r="I796" s="5">
        <f t="shared" si="64"/>
        <v>0</v>
      </c>
    </row>
    <row r="797" spans="1:9">
      <c r="A797">
        <f t="shared" si="65"/>
        <v>796</v>
      </c>
      <c r="B797">
        <v>9</v>
      </c>
      <c r="C797">
        <v>6000</v>
      </c>
      <c r="D797">
        <v>5508</v>
      </c>
      <c r="E797" s="5">
        <f t="shared" si="61"/>
        <v>492</v>
      </c>
      <c r="F797" s="5">
        <f t="shared" si="62"/>
        <v>242064</v>
      </c>
      <c r="G797" s="6">
        <f>SQRT(SUM($F$2:F797)/A797)</f>
        <v>1264.9421417042347</v>
      </c>
      <c r="H797" s="5">
        <f t="shared" si="63"/>
        <v>1</v>
      </c>
      <c r="I797" s="5">
        <f t="shared" si="64"/>
        <v>1</v>
      </c>
    </row>
    <row r="798" spans="1:9">
      <c r="A798">
        <f t="shared" si="65"/>
        <v>797</v>
      </c>
      <c r="B798">
        <v>9</v>
      </c>
      <c r="C798">
        <v>6000</v>
      </c>
      <c r="D798">
        <v>6297</v>
      </c>
      <c r="E798" s="5">
        <f t="shared" si="61"/>
        <v>297</v>
      </c>
      <c r="F798" s="5">
        <f t="shared" si="62"/>
        <v>88209</v>
      </c>
      <c r="G798" s="6">
        <f>SQRT(SUM($F$2:F798)/A798)</f>
        <v>1264.1921022009481</v>
      </c>
      <c r="H798" s="5">
        <f t="shared" si="63"/>
        <v>1</v>
      </c>
      <c r="I798" s="5">
        <f t="shared" si="64"/>
        <v>1</v>
      </c>
    </row>
    <row r="799" spans="1:9">
      <c r="A799">
        <f t="shared" si="65"/>
        <v>798</v>
      </c>
      <c r="B799">
        <v>8</v>
      </c>
      <c r="C799">
        <v>6000</v>
      </c>
      <c r="D799">
        <v>5354</v>
      </c>
      <c r="E799" s="5">
        <f t="shared" si="61"/>
        <v>646</v>
      </c>
      <c r="F799" s="5">
        <f t="shared" si="62"/>
        <v>417316</v>
      </c>
      <c r="G799" s="6">
        <f>SQRT(SUM($F$2:F799)/A799)</f>
        <v>1263.6066989867973</v>
      </c>
      <c r="H799" s="5">
        <f t="shared" si="63"/>
        <v>1</v>
      </c>
      <c r="I799" s="5">
        <f t="shared" si="64"/>
        <v>0</v>
      </c>
    </row>
    <row r="800" spans="1:9">
      <c r="A800">
        <f t="shared" si="65"/>
        <v>799</v>
      </c>
      <c r="B800">
        <v>10</v>
      </c>
      <c r="C800">
        <v>6000</v>
      </c>
      <c r="D800">
        <v>6834</v>
      </c>
      <c r="E800" s="5">
        <f t="shared" si="61"/>
        <v>834</v>
      </c>
      <c r="F800" s="5">
        <f t="shared" si="62"/>
        <v>695556</v>
      </c>
      <c r="G800" s="6">
        <f>SQRT(SUM($F$2:F800)/A800)</f>
        <v>1263.1603411916672</v>
      </c>
      <c r="H800" s="5">
        <f t="shared" si="63"/>
        <v>1</v>
      </c>
      <c r="I800" s="5">
        <f t="shared" si="64"/>
        <v>0</v>
      </c>
    </row>
    <row r="801" spans="1:9">
      <c r="A801">
        <f t="shared" si="65"/>
        <v>800</v>
      </c>
      <c r="B801">
        <v>8</v>
      </c>
      <c r="C801">
        <v>6000</v>
      </c>
      <c r="D801">
        <v>5762</v>
      </c>
      <c r="E801" s="5">
        <f t="shared" si="61"/>
        <v>238</v>
      </c>
      <c r="F801" s="5">
        <f t="shared" si="62"/>
        <v>56644</v>
      </c>
      <c r="G801" s="6">
        <f>SQRT(SUM($F$2:F801)/A801)</f>
        <v>1262.3986632597484</v>
      </c>
      <c r="H801" s="5">
        <f t="shared" si="63"/>
        <v>1</v>
      </c>
      <c r="I801" s="5">
        <f t="shared" si="64"/>
        <v>1</v>
      </c>
    </row>
    <row r="802" spans="1:9">
      <c r="A802">
        <f t="shared" si="65"/>
        <v>801</v>
      </c>
      <c r="B802">
        <v>9</v>
      </c>
      <c r="C802">
        <v>9000</v>
      </c>
      <c r="D802">
        <v>5236</v>
      </c>
      <c r="E802" s="5">
        <f t="shared" si="61"/>
        <v>3764</v>
      </c>
      <c r="F802" s="5">
        <f t="shared" si="62"/>
        <v>14167696</v>
      </c>
      <c r="G802" s="6">
        <f>SQRT(SUM($F$2:F802)/A802)</f>
        <v>1268.6009300014325</v>
      </c>
      <c r="H802" s="5">
        <f t="shared" si="63"/>
        <v>0</v>
      </c>
      <c r="I802" s="5">
        <f t="shared" si="64"/>
        <v>0</v>
      </c>
    </row>
    <row r="803" spans="1:9">
      <c r="A803">
        <f t="shared" si="65"/>
        <v>802</v>
      </c>
      <c r="B803">
        <v>13</v>
      </c>
      <c r="C803">
        <v>9000</v>
      </c>
      <c r="D803">
        <v>8104</v>
      </c>
      <c r="E803" s="5">
        <f t="shared" si="61"/>
        <v>896</v>
      </c>
      <c r="F803" s="5">
        <f t="shared" si="62"/>
        <v>802816</v>
      </c>
      <c r="G803" s="6">
        <f>SQRT(SUM($F$2:F803)/A803)</f>
        <v>1268.2045057202631</v>
      </c>
      <c r="H803" s="5">
        <f t="shared" si="63"/>
        <v>1</v>
      </c>
      <c r="I803" s="5">
        <f t="shared" si="64"/>
        <v>1</v>
      </c>
    </row>
    <row r="804" spans="1:9">
      <c r="A804">
        <f t="shared" si="65"/>
        <v>803</v>
      </c>
      <c r="B804">
        <v>11</v>
      </c>
      <c r="C804">
        <v>9000</v>
      </c>
      <c r="D804">
        <v>7173</v>
      </c>
      <c r="E804" s="5">
        <f t="shared" si="61"/>
        <v>1827</v>
      </c>
      <c r="F804" s="5">
        <f t="shared" si="62"/>
        <v>3337929</v>
      </c>
      <c r="G804" s="6">
        <f>SQRT(SUM($F$2:F804)/A804)</f>
        <v>1269.0534165657236</v>
      </c>
      <c r="H804" s="5">
        <f t="shared" si="63"/>
        <v>0</v>
      </c>
      <c r="I804" s="5">
        <f t="shared" si="64"/>
        <v>0</v>
      </c>
    </row>
    <row r="805" spans="1:9">
      <c r="A805">
        <f t="shared" si="65"/>
        <v>804</v>
      </c>
      <c r="B805">
        <v>12</v>
      </c>
      <c r="C805">
        <v>9000</v>
      </c>
      <c r="D805">
        <v>7552</v>
      </c>
      <c r="E805" s="5">
        <f t="shared" si="61"/>
        <v>1448</v>
      </c>
      <c r="F805" s="5">
        <f t="shared" si="62"/>
        <v>2096704</v>
      </c>
      <c r="G805" s="6">
        <f>SQRT(SUM($F$2:F805)/A805)</f>
        <v>1269.2916566737106</v>
      </c>
      <c r="H805" s="5">
        <f t="shared" si="63"/>
        <v>1</v>
      </c>
      <c r="I805" s="5">
        <f t="shared" si="64"/>
        <v>0</v>
      </c>
    </row>
    <row r="806" spans="1:9">
      <c r="A806">
        <f t="shared" si="65"/>
        <v>805</v>
      </c>
      <c r="B806">
        <v>12</v>
      </c>
      <c r="C806">
        <v>9000</v>
      </c>
      <c r="D806">
        <v>8111</v>
      </c>
      <c r="E806" s="5">
        <f t="shared" si="61"/>
        <v>889</v>
      </c>
      <c r="F806" s="5">
        <f t="shared" si="62"/>
        <v>790321</v>
      </c>
      <c r="G806" s="6">
        <f>SQRT(SUM($F$2:F806)/A806)</f>
        <v>1268.8899506388636</v>
      </c>
      <c r="H806" s="5">
        <f t="shared" si="63"/>
        <v>1</v>
      </c>
      <c r="I806" s="5">
        <f t="shared" si="64"/>
        <v>1</v>
      </c>
    </row>
    <row r="807" spans="1:9">
      <c r="A807">
        <f t="shared" si="65"/>
        <v>806</v>
      </c>
      <c r="B807">
        <v>12</v>
      </c>
      <c r="C807">
        <v>9000</v>
      </c>
      <c r="D807">
        <v>7681</v>
      </c>
      <c r="E807" s="5">
        <f t="shared" si="61"/>
        <v>1319</v>
      </c>
      <c r="F807" s="5">
        <f t="shared" si="62"/>
        <v>1739761</v>
      </c>
      <c r="G807" s="6">
        <f>SQRT(SUM($F$2:F807)/A807)</f>
        <v>1268.9533479429349</v>
      </c>
      <c r="H807" s="5">
        <f t="shared" si="63"/>
        <v>1</v>
      </c>
      <c r="I807" s="5">
        <f t="shared" si="64"/>
        <v>0</v>
      </c>
    </row>
    <row r="808" spans="1:9">
      <c r="A808">
        <f t="shared" si="65"/>
        <v>807</v>
      </c>
      <c r="B808">
        <v>13</v>
      </c>
      <c r="C808">
        <v>9000</v>
      </c>
      <c r="D808">
        <v>7805</v>
      </c>
      <c r="E808" s="5">
        <f t="shared" si="61"/>
        <v>1195</v>
      </c>
      <c r="F808" s="5">
        <f t="shared" si="62"/>
        <v>1428025</v>
      </c>
      <c r="G808" s="6">
        <f>SQRT(SUM($F$2:F808)/A808)</f>
        <v>1268.8643753269998</v>
      </c>
      <c r="H808" s="5">
        <f t="shared" si="63"/>
        <v>1</v>
      </c>
      <c r="I808" s="5">
        <f t="shared" si="64"/>
        <v>0</v>
      </c>
    </row>
    <row r="809" spans="1:9">
      <c r="A809">
        <f t="shared" si="65"/>
        <v>808</v>
      </c>
      <c r="B809">
        <v>13</v>
      </c>
      <c r="C809">
        <v>9000</v>
      </c>
      <c r="D809">
        <v>8538</v>
      </c>
      <c r="E809" s="5">
        <f t="shared" si="61"/>
        <v>462</v>
      </c>
      <c r="F809" s="5">
        <f t="shared" si="62"/>
        <v>213444</v>
      </c>
      <c r="G809" s="6">
        <f>SQRT(SUM($F$2:F809)/A809)</f>
        <v>1268.1830984866217</v>
      </c>
      <c r="H809" s="5">
        <f t="shared" si="63"/>
        <v>1</v>
      </c>
      <c r="I809" s="5">
        <f t="shared" si="64"/>
        <v>1</v>
      </c>
    </row>
    <row r="810" spans="1:9">
      <c r="A810">
        <f t="shared" si="65"/>
        <v>809</v>
      </c>
      <c r="B810">
        <v>12</v>
      </c>
      <c r="C810">
        <v>9000</v>
      </c>
      <c r="D810">
        <v>7959</v>
      </c>
      <c r="E810" s="5">
        <f t="shared" si="61"/>
        <v>1041</v>
      </c>
      <c r="F810" s="5">
        <f t="shared" si="62"/>
        <v>1083681</v>
      </c>
      <c r="G810" s="6">
        <f>SQRT(SUM($F$2:F810)/A810)</f>
        <v>1267.927406160524</v>
      </c>
      <c r="H810" s="5">
        <f t="shared" si="63"/>
        <v>1</v>
      </c>
      <c r="I810" s="5">
        <f t="shared" si="64"/>
        <v>0</v>
      </c>
    </row>
    <row r="811" spans="1:9">
      <c r="A811">
        <f t="shared" si="65"/>
        <v>810</v>
      </c>
      <c r="B811">
        <v>13</v>
      </c>
      <c r="C811">
        <v>9000</v>
      </c>
      <c r="D811">
        <v>8436</v>
      </c>
      <c r="E811" s="5">
        <f t="shared" si="61"/>
        <v>564</v>
      </c>
      <c r="F811" s="5">
        <f t="shared" si="62"/>
        <v>318096</v>
      </c>
      <c r="G811" s="6">
        <f>SQRT(SUM($F$2:F811)/A811)</f>
        <v>1267.299442822326</v>
      </c>
      <c r="H811" s="5">
        <f t="shared" si="63"/>
        <v>1</v>
      </c>
      <c r="I811" s="5">
        <f t="shared" si="64"/>
        <v>1</v>
      </c>
    </row>
    <row r="812" spans="1:9">
      <c r="A812">
        <f t="shared" si="65"/>
        <v>811</v>
      </c>
      <c r="B812">
        <v>13</v>
      </c>
      <c r="C812">
        <v>9000</v>
      </c>
      <c r="D812">
        <v>8486</v>
      </c>
      <c r="E812" s="5">
        <f t="shared" si="61"/>
        <v>514</v>
      </c>
      <c r="F812" s="5">
        <f t="shared" si="62"/>
        <v>264196</v>
      </c>
      <c r="G812" s="6">
        <f>SQRT(SUM($F$2:F812)/A812)</f>
        <v>1266.6464831173646</v>
      </c>
      <c r="H812" s="5">
        <f t="shared" si="63"/>
        <v>1</v>
      </c>
      <c r="I812" s="5">
        <f t="shared" si="64"/>
        <v>1</v>
      </c>
    </row>
    <row r="813" spans="1:9">
      <c r="A813">
        <f t="shared" si="65"/>
        <v>812</v>
      </c>
      <c r="B813">
        <v>13</v>
      </c>
      <c r="C813">
        <v>9000</v>
      </c>
      <c r="D813">
        <v>8012</v>
      </c>
      <c r="E813" s="5">
        <f t="shared" si="61"/>
        <v>988</v>
      </c>
      <c r="F813" s="5">
        <f t="shared" si="62"/>
        <v>976144</v>
      </c>
      <c r="G813" s="6">
        <f>SQRT(SUM($F$2:F813)/A813)</f>
        <v>1266.3410311376856</v>
      </c>
      <c r="H813" s="5">
        <f t="shared" si="63"/>
        <v>1</v>
      </c>
      <c r="I813" s="5">
        <f t="shared" si="64"/>
        <v>0</v>
      </c>
    </row>
    <row r="814" spans="1:9">
      <c r="A814">
        <f t="shared" si="65"/>
        <v>813</v>
      </c>
      <c r="B814">
        <v>14</v>
      </c>
      <c r="C814">
        <v>9000</v>
      </c>
      <c r="D814">
        <v>9303</v>
      </c>
      <c r="E814" s="5">
        <f t="shared" si="61"/>
        <v>303</v>
      </c>
      <c r="F814" s="5">
        <f t="shared" si="62"/>
        <v>91809</v>
      </c>
      <c r="G814" s="6">
        <f>SQRT(SUM($F$2:F814)/A814)</f>
        <v>1265.6065982368357</v>
      </c>
      <c r="H814" s="5">
        <f t="shared" si="63"/>
        <v>1</v>
      </c>
      <c r="I814" s="5">
        <f t="shared" si="64"/>
        <v>1</v>
      </c>
    </row>
    <row r="815" spans="1:9">
      <c r="A815">
        <f t="shared" si="65"/>
        <v>814</v>
      </c>
      <c r="B815">
        <v>12</v>
      </c>
      <c r="C815">
        <v>9000</v>
      </c>
      <c r="D815">
        <v>7695</v>
      </c>
      <c r="E815" s="5">
        <f t="shared" si="61"/>
        <v>1305</v>
      </c>
      <c r="F815" s="5">
        <f t="shared" si="62"/>
        <v>1703025</v>
      </c>
      <c r="G815" s="6">
        <f>SQRT(SUM($F$2:F815)/A815)</f>
        <v>1265.655745296471</v>
      </c>
      <c r="H815" s="5">
        <f t="shared" si="63"/>
        <v>1</v>
      </c>
      <c r="I815" s="5">
        <f t="shared" si="64"/>
        <v>0</v>
      </c>
    </row>
    <row r="816" spans="1:9">
      <c r="A816">
        <f t="shared" si="65"/>
        <v>815</v>
      </c>
      <c r="B816">
        <v>14</v>
      </c>
      <c r="C816">
        <v>9000</v>
      </c>
      <c r="D816">
        <v>8187</v>
      </c>
      <c r="E816" s="5">
        <f t="shared" si="61"/>
        <v>813</v>
      </c>
      <c r="F816" s="5">
        <f t="shared" si="62"/>
        <v>660969</v>
      </c>
      <c r="G816" s="6">
        <f>SQRT(SUM($F$2:F816)/A816)</f>
        <v>1265.1995763902862</v>
      </c>
      <c r="H816" s="5">
        <f t="shared" si="63"/>
        <v>1</v>
      </c>
      <c r="I816" s="5">
        <f t="shared" si="64"/>
        <v>1</v>
      </c>
    </row>
    <row r="817" spans="1:9">
      <c r="A817">
        <f t="shared" si="65"/>
        <v>816</v>
      </c>
      <c r="B817">
        <v>14</v>
      </c>
      <c r="C817">
        <v>9000</v>
      </c>
      <c r="D817">
        <v>9387</v>
      </c>
      <c r="E817" s="5">
        <f t="shared" si="61"/>
        <v>387</v>
      </c>
      <c r="F817" s="5">
        <f t="shared" si="62"/>
        <v>149769</v>
      </c>
      <c r="G817" s="6">
        <f>SQRT(SUM($F$2:F817)/A817)</f>
        <v>1264.4966704807343</v>
      </c>
      <c r="H817" s="5">
        <f t="shared" si="63"/>
        <v>1</v>
      </c>
      <c r="I817" s="5">
        <f t="shared" si="64"/>
        <v>1</v>
      </c>
    </row>
    <row r="818" spans="1:9">
      <c r="A818">
        <f t="shared" si="65"/>
        <v>817</v>
      </c>
      <c r="B818">
        <v>13</v>
      </c>
      <c r="C818">
        <v>9000</v>
      </c>
      <c r="D818">
        <v>8369</v>
      </c>
      <c r="E818" s="5">
        <f t="shared" si="61"/>
        <v>631</v>
      </c>
      <c r="F818" s="5">
        <f t="shared" si="62"/>
        <v>398161</v>
      </c>
      <c r="G818" s="6">
        <f>SQRT(SUM($F$2:F818)/A818)</f>
        <v>1263.9153743187921</v>
      </c>
      <c r="H818" s="5">
        <f t="shared" si="63"/>
        <v>1</v>
      </c>
      <c r="I818" s="5">
        <f t="shared" si="64"/>
        <v>1</v>
      </c>
    </row>
    <row r="819" spans="1:9">
      <c r="A819">
        <f t="shared" si="65"/>
        <v>818</v>
      </c>
      <c r="B819">
        <v>14</v>
      </c>
      <c r="C819">
        <v>9000</v>
      </c>
      <c r="D819">
        <v>8926</v>
      </c>
      <c r="E819" s="5">
        <f t="shared" si="61"/>
        <v>74</v>
      </c>
      <c r="F819" s="5">
        <f t="shared" si="62"/>
        <v>5476</v>
      </c>
      <c r="G819" s="6">
        <f>SQRT(SUM($F$2:F819)/A819)</f>
        <v>1263.1452235375477</v>
      </c>
      <c r="H819" s="5">
        <f t="shared" si="63"/>
        <v>1</v>
      </c>
      <c r="I819" s="5">
        <f t="shared" si="64"/>
        <v>1</v>
      </c>
    </row>
    <row r="820" spans="1:9">
      <c r="A820">
        <f t="shared" si="65"/>
        <v>819</v>
      </c>
      <c r="B820">
        <v>14</v>
      </c>
      <c r="C820">
        <v>9000</v>
      </c>
      <c r="D820">
        <v>8377</v>
      </c>
      <c r="E820" s="5">
        <f t="shared" si="61"/>
        <v>623</v>
      </c>
      <c r="F820" s="5">
        <f t="shared" si="62"/>
        <v>388129</v>
      </c>
      <c r="G820" s="6">
        <f>SQRT(SUM($F$2:F820)/A820)</f>
        <v>1262.5615274118763</v>
      </c>
      <c r="H820" s="5">
        <f t="shared" si="63"/>
        <v>1</v>
      </c>
      <c r="I820" s="5">
        <f t="shared" si="64"/>
        <v>1</v>
      </c>
    </row>
    <row r="821" spans="1:9">
      <c r="A821">
        <f t="shared" si="65"/>
        <v>820</v>
      </c>
      <c r="B821">
        <v>14</v>
      </c>
      <c r="C821">
        <v>9000</v>
      </c>
      <c r="D821">
        <v>8997</v>
      </c>
      <c r="E821" s="5">
        <f t="shared" si="61"/>
        <v>3</v>
      </c>
      <c r="F821" s="5">
        <f t="shared" si="62"/>
        <v>9</v>
      </c>
      <c r="G821" s="6">
        <f>SQRT(SUM($F$2:F821)/A821)</f>
        <v>1261.7914423162169</v>
      </c>
      <c r="H821" s="5">
        <f t="shared" si="63"/>
        <v>1</v>
      </c>
      <c r="I821" s="5">
        <f t="shared" si="64"/>
        <v>1</v>
      </c>
    </row>
    <row r="822" spans="1:9">
      <c r="A822">
        <f t="shared" si="65"/>
        <v>821</v>
      </c>
      <c r="B822">
        <v>14</v>
      </c>
      <c r="C822">
        <v>9000</v>
      </c>
      <c r="D822">
        <v>8677</v>
      </c>
      <c r="E822" s="5">
        <f t="shared" si="61"/>
        <v>323</v>
      </c>
      <c r="F822" s="5">
        <f t="shared" si="62"/>
        <v>104329</v>
      </c>
      <c r="G822" s="6">
        <f>SQRT(SUM($F$2:F822)/A822)</f>
        <v>1261.0731451690281</v>
      </c>
      <c r="H822" s="5">
        <f t="shared" si="63"/>
        <v>1</v>
      </c>
      <c r="I822" s="5">
        <f t="shared" si="64"/>
        <v>1</v>
      </c>
    </row>
    <row r="823" spans="1:9">
      <c r="A823">
        <f t="shared" si="65"/>
        <v>822</v>
      </c>
      <c r="B823">
        <v>14</v>
      </c>
      <c r="C823">
        <v>9000</v>
      </c>
      <c r="D823">
        <v>8656</v>
      </c>
      <c r="E823" s="5">
        <f t="shared" si="61"/>
        <v>344</v>
      </c>
      <c r="F823" s="5">
        <f t="shared" si="62"/>
        <v>118336</v>
      </c>
      <c r="G823" s="6">
        <f>SQRT(SUM($F$2:F823)/A823)</f>
        <v>1260.3629478609059</v>
      </c>
      <c r="H823" s="5">
        <f t="shared" si="63"/>
        <v>1</v>
      </c>
      <c r="I823" s="5">
        <f t="shared" si="64"/>
        <v>1</v>
      </c>
    </row>
    <row r="824" spans="1:9">
      <c r="A824">
        <f t="shared" si="65"/>
        <v>823</v>
      </c>
      <c r="B824">
        <v>14</v>
      </c>
      <c r="C824">
        <v>9000</v>
      </c>
      <c r="D824">
        <v>9047</v>
      </c>
      <c r="E824" s="5">
        <f t="shared" si="61"/>
        <v>47</v>
      </c>
      <c r="F824" s="5">
        <f t="shared" si="62"/>
        <v>2209</v>
      </c>
      <c r="G824" s="6">
        <f>SQRT(SUM($F$2:F824)/A824)</f>
        <v>1259.5980679689476</v>
      </c>
      <c r="H824" s="5">
        <f t="shared" si="63"/>
        <v>1</v>
      </c>
      <c r="I824" s="5">
        <f t="shared" si="64"/>
        <v>1</v>
      </c>
    </row>
    <row r="825" spans="1:9">
      <c r="A825">
        <f t="shared" si="65"/>
        <v>824</v>
      </c>
      <c r="B825">
        <v>14</v>
      </c>
      <c r="C825">
        <v>9000</v>
      </c>
      <c r="D825">
        <v>7441</v>
      </c>
      <c r="E825" s="5">
        <f t="shared" si="61"/>
        <v>1559</v>
      </c>
      <c r="F825" s="5">
        <f t="shared" si="62"/>
        <v>2430481</v>
      </c>
      <c r="G825" s="6">
        <f>SQRT(SUM($F$2:F825)/A825)</f>
        <v>1260.004537959928</v>
      </c>
      <c r="H825" s="5">
        <f t="shared" si="63"/>
        <v>1</v>
      </c>
      <c r="I825" s="5">
        <f t="shared" si="64"/>
        <v>0</v>
      </c>
    </row>
    <row r="826" spans="1:9">
      <c r="A826">
        <f t="shared" si="65"/>
        <v>825</v>
      </c>
      <c r="B826">
        <v>16</v>
      </c>
      <c r="C826">
        <v>9000</v>
      </c>
      <c r="D826">
        <v>6828</v>
      </c>
      <c r="E826" s="5">
        <f t="shared" si="61"/>
        <v>2172</v>
      </c>
      <c r="F826" s="5">
        <f t="shared" si="62"/>
        <v>4717584</v>
      </c>
      <c r="G826" s="6">
        <f>SQRT(SUM($F$2:F826)/A826)</f>
        <v>1261.5091524908496</v>
      </c>
      <c r="H826" s="5">
        <f t="shared" si="63"/>
        <v>0</v>
      </c>
      <c r="I826" s="5">
        <f t="shared" si="64"/>
        <v>0</v>
      </c>
    </row>
    <row r="827" spans="1:9">
      <c r="A827">
        <f t="shared" si="65"/>
        <v>826</v>
      </c>
      <c r="B827">
        <v>17</v>
      </c>
      <c r="C827">
        <v>9000</v>
      </c>
      <c r="D827">
        <v>7566</v>
      </c>
      <c r="E827" s="5">
        <f t="shared" si="61"/>
        <v>1434</v>
      </c>
      <c r="F827" s="5">
        <f t="shared" si="62"/>
        <v>2056356</v>
      </c>
      <c r="G827" s="6">
        <f>SQRT(SUM($F$2:F827)/A827)</f>
        <v>1261.732236283706</v>
      </c>
      <c r="H827" s="5">
        <f t="shared" si="63"/>
        <v>1</v>
      </c>
      <c r="I827" s="5">
        <f t="shared" si="64"/>
        <v>0</v>
      </c>
    </row>
    <row r="828" spans="1:9">
      <c r="A828">
        <f t="shared" si="65"/>
        <v>827</v>
      </c>
      <c r="B828">
        <v>17</v>
      </c>
      <c r="C828">
        <v>9000</v>
      </c>
      <c r="D828">
        <v>10218</v>
      </c>
      <c r="E828" s="5">
        <f t="shared" si="61"/>
        <v>1218</v>
      </c>
      <c r="F828" s="5">
        <f t="shared" si="62"/>
        <v>1483524</v>
      </c>
      <c r="G828" s="6">
        <f>SQRT(SUM($F$2:F828)/A828)</f>
        <v>1261.6802710705697</v>
      </c>
      <c r="H828" s="5">
        <f t="shared" si="63"/>
        <v>1</v>
      </c>
      <c r="I828" s="5">
        <f t="shared" si="64"/>
        <v>0</v>
      </c>
    </row>
    <row r="829" spans="1:9">
      <c r="A829">
        <f t="shared" si="65"/>
        <v>828</v>
      </c>
      <c r="B829">
        <v>14</v>
      </c>
      <c r="C829">
        <v>9000</v>
      </c>
      <c r="D829">
        <v>8704</v>
      </c>
      <c r="E829" s="5">
        <f t="shared" si="61"/>
        <v>296</v>
      </c>
      <c r="F829" s="5">
        <f t="shared" si="62"/>
        <v>87616</v>
      </c>
      <c r="G829" s="6">
        <f>SQRT(SUM($F$2:F829)/A829)</f>
        <v>1260.9601160430127</v>
      </c>
      <c r="H829" s="5">
        <f t="shared" si="63"/>
        <v>1</v>
      </c>
      <c r="I829" s="5">
        <f t="shared" si="64"/>
        <v>1</v>
      </c>
    </row>
    <row r="830" spans="1:9">
      <c r="A830">
        <f t="shared" si="65"/>
        <v>829</v>
      </c>
      <c r="B830">
        <v>15</v>
      </c>
      <c r="C830">
        <v>9000</v>
      </c>
      <c r="D830">
        <v>9958</v>
      </c>
      <c r="E830" s="5">
        <f t="shared" si="61"/>
        <v>958</v>
      </c>
      <c r="F830" s="5">
        <f t="shared" si="62"/>
        <v>917764</v>
      </c>
      <c r="G830" s="6">
        <f>SQRT(SUM($F$2:F830)/A830)</f>
        <v>1260.6385246162688</v>
      </c>
      <c r="H830" s="5">
        <f t="shared" si="63"/>
        <v>1</v>
      </c>
      <c r="I830" s="5">
        <f t="shared" si="64"/>
        <v>0</v>
      </c>
    </row>
    <row r="831" spans="1:9">
      <c r="A831">
        <f t="shared" si="65"/>
        <v>830</v>
      </c>
      <c r="B831">
        <v>14</v>
      </c>
      <c r="C831">
        <v>9000</v>
      </c>
      <c r="D831">
        <v>8599</v>
      </c>
      <c r="E831" s="5">
        <f t="shared" si="61"/>
        <v>401</v>
      </c>
      <c r="F831" s="5">
        <f t="shared" si="62"/>
        <v>160801</v>
      </c>
      <c r="G831" s="6">
        <f>SQRT(SUM($F$2:F831)/A831)</f>
        <v>1259.9557594069129</v>
      </c>
      <c r="H831" s="5">
        <f t="shared" si="63"/>
        <v>1</v>
      </c>
      <c r="I831" s="5">
        <f t="shared" si="64"/>
        <v>1</v>
      </c>
    </row>
    <row r="832" spans="1:9">
      <c r="A832">
        <f t="shared" si="65"/>
        <v>831</v>
      </c>
      <c r="B832">
        <v>15</v>
      </c>
      <c r="C832">
        <v>9000</v>
      </c>
      <c r="D832">
        <v>9314</v>
      </c>
      <c r="E832" s="5">
        <f t="shared" si="61"/>
        <v>314</v>
      </c>
      <c r="F832" s="5">
        <f t="shared" si="62"/>
        <v>98596</v>
      </c>
      <c r="G832" s="6">
        <f>SQRT(SUM($F$2:F832)/A832)</f>
        <v>1259.2445465111894</v>
      </c>
      <c r="H832" s="5">
        <f t="shared" si="63"/>
        <v>1</v>
      </c>
      <c r="I832" s="5">
        <f t="shared" si="64"/>
        <v>1</v>
      </c>
    </row>
    <row r="833" spans="1:9">
      <c r="A833">
        <f t="shared" si="65"/>
        <v>832</v>
      </c>
      <c r="B833">
        <v>14</v>
      </c>
      <c r="C833">
        <v>9000</v>
      </c>
      <c r="D833">
        <v>8953</v>
      </c>
      <c r="E833" s="5">
        <f t="shared" si="61"/>
        <v>47</v>
      </c>
      <c r="F833" s="5">
        <f t="shared" si="62"/>
        <v>2209</v>
      </c>
      <c r="G833" s="6">
        <f>SQRT(SUM($F$2:F833)/A833)</f>
        <v>1258.4886162996347</v>
      </c>
      <c r="H833" s="5">
        <f t="shared" si="63"/>
        <v>1</v>
      </c>
      <c r="I833" s="5">
        <f t="shared" si="64"/>
        <v>1</v>
      </c>
    </row>
    <row r="834" spans="1:9">
      <c r="A834">
        <f t="shared" si="65"/>
        <v>833</v>
      </c>
      <c r="B834">
        <v>15</v>
      </c>
      <c r="C834">
        <v>9000</v>
      </c>
      <c r="D834">
        <v>9484</v>
      </c>
      <c r="E834" s="5">
        <f t="shared" si="61"/>
        <v>484</v>
      </c>
      <c r="F834" s="5">
        <f t="shared" si="62"/>
        <v>234256</v>
      </c>
      <c r="G834" s="6">
        <f>SQRT(SUM($F$2:F834)/A834)</f>
        <v>1257.8447854173744</v>
      </c>
      <c r="H834" s="5">
        <f t="shared" si="63"/>
        <v>1</v>
      </c>
      <c r="I834" s="5">
        <f t="shared" si="64"/>
        <v>1</v>
      </c>
    </row>
    <row r="835" spans="1:9">
      <c r="A835">
        <f t="shared" si="65"/>
        <v>834</v>
      </c>
      <c r="B835">
        <v>14</v>
      </c>
      <c r="C835">
        <v>9000</v>
      </c>
      <c r="D835">
        <v>8995</v>
      </c>
      <c r="E835" s="5">
        <f t="shared" ref="E835:E898" si="66">ABS(C835-D835)</f>
        <v>5</v>
      </c>
      <c r="F835" s="5">
        <f t="shared" ref="F835:F898" si="67">POWER(E835,2)</f>
        <v>25</v>
      </c>
      <c r="G835" s="6">
        <f>SQRT(SUM($F$2:F835)/A835)</f>
        <v>1257.0904675659124</v>
      </c>
      <c r="H835" s="5">
        <f t="shared" ref="H835:H898" si="68">IF(ABS(E835)/C835&gt;0.2,0,1)</f>
        <v>1</v>
      </c>
      <c r="I835" s="5">
        <f t="shared" ref="I835:I898" si="69">IF(ABS(E835)/C835&gt;0.1,0,1)</f>
        <v>1</v>
      </c>
    </row>
    <row r="836" spans="1:9">
      <c r="A836">
        <f t="shared" ref="A836:A899" si="70">A835+1</f>
        <v>835</v>
      </c>
      <c r="B836">
        <v>15</v>
      </c>
      <c r="C836">
        <v>9000</v>
      </c>
      <c r="D836">
        <v>9571</v>
      </c>
      <c r="E836" s="5">
        <f t="shared" si="66"/>
        <v>571</v>
      </c>
      <c r="F836" s="5">
        <f t="shared" si="67"/>
        <v>326041</v>
      </c>
      <c r="G836" s="6">
        <f>SQRT(SUM($F$2:F836)/A836)</f>
        <v>1256.4928830954282</v>
      </c>
      <c r="H836" s="5">
        <f t="shared" si="68"/>
        <v>1</v>
      </c>
      <c r="I836" s="5">
        <f t="shared" si="69"/>
        <v>1</v>
      </c>
    </row>
    <row r="837" spans="1:9">
      <c r="A837">
        <f t="shared" si="70"/>
        <v>836</v>
      </c>
      <c r="B837">
        <v>14</v>
      </c>
      <c r="C837">
        <v>9000</v>
      </c>
      <c r="D837">
        <v>8296</v>
      </c>
      <c r="E837" s="5">
        <f t="shared" si="66"/>
        <v>704</v>
      </c>
      <c r="F837" s="5">
        <f t="shared" si="67"/>
        <v>495616</v>
      </c>
      <c r="G837" s="6">
        <f>SQRT(SUM($F$2:F837)/A837)</f>
        <v>1255.9771977595237</v>
      </c>
      <c r="H837" s="5">
        <f t="shared" si="68"/>
        <v>1</v>
      </c>
      <c r="I837" s="5">
        <f t="shared" si="69"/>
        <v>1</v>
      </c>
    </row>
    <row r="838" spans="1:9">
      <c r="A838">
        <f t="shared" si="70"/>
        <v>837</v>
      </c>
      <c r="B838">
        <v>15</v>
      </c>
      <c r="C838">
        <v>9000</v>
      </c>
      <c r="D838">
        <v>9739</v>
      </c>
      <c r="E838" s="5">
        <f t="shared" si="66"/>
        <v>739</v>
      </c>
      <c r="F838" s="5">
        <f t="shared" si="67"/>
        <v>546121</v>
      </c>
      <c r="G838" s="6">
        <f>SQRT(SUM($F$2:F838)/A838)</f>
        <v>1255.4865645396394</v>
      </c>
      <c r="H838" s="5">
        <f t="shared" si="68"/>
        <v>1</v>
      </c>
      <c r="I838" s="5">
        <f t="shared" si="69"/>
        <v>1</v>
      </c>
    </row>
    <row r="839" spans="1:9">
      <c r="A839">
        <f t="shared" si="70"/>
        <v>838</v>
      </c>
      <c r="B839">
        <v>14</v>
      </c>
      <c r="C839">
        <v>9000</v>
      </c>
      <c r="D839">
        <v>8795</v>
      </c>
      <c r="E839" s="5">
        <f t="shared" si="66"/>
        <v>205</v>
      </c>
      <c r="F839" s="5">
        <f t="shared" si="67"/>
        <v>42025</v>
      </c>
      <c r="G839" s="6">
        <f>SQRT(SUM($F$2:F839)/A839)</f>
        <v>1254.7572277047568</v>
      </c>
      <c r="H839" s="5">
        <f t="shared" si="68"/>
        <v>1</v>
      </c>
      <c r="I839" s="5">
        <f t="shared" si="69"/>
        <v>1</v>
      </c>
    </row>
    <row r="840" spans="1:9">
      <c r="A840">
        <f t="shared" si="70"/>
        <v>839</v>
      </c>
      <c r="B840">
        <v>15</v>
      </c>
      <c r="C840">
        <v>9000</v>
      </c>
      <c r="D840">
        <v>9239</v>
      </c>
      <c r="E840" s="5">
        <f t="shared" si="66"/>
        <v>239</v>
      </c>
      <c r="F840" s="5">
        <f t="shared" si="67"/>
        <v>57121</v>
      </c>
      <c r="G840" s="6">
        <f>SQRT(SUM($F$2:F840)/A840)</f>
        <v>1254.0363807874548</v>
      </c>
      <c r="H840" s="5">
        <f t="shared" si="68"/>
        <v>1</v>
      </c>
      <c r="I840" s="5">
        <f t="shared" si="69"/>
        <v>1</v>
      </c>
    </row>
    <row r="841" spans="1:9">
      <c r="A841">
        <f t="shared" si="70"/>
        <v>840</v>
      </c>
      <c r="B841">
        <v>14</v>
      </c>
      <c r="C841">
        <v>9000</v>
      </c>
      <c r="D841">
        <v>8291</v>
      </c>
      <c r="E841" s="5">
        <f t="shared" si="66"/>
        <v>709</v>
      </c>
      <c r="F841" s="5">
        <f t="shared" si="67"/>
        <v>502681</v>
      </c>
      <c r="G841" s="6">
        <f>SQRT(SUM($F$2:F841)/A841)</f>
        <v>1253.5284291227892</v>
      </c>
      <c r="H841" s="5">
        <f t="shared" si="68"/>
        <v>1</v>
      </c>
      <c r="I841" s="5">
        <f t="shared" si="69"/>
        <v>1</v>
      </c>
    </row>
    <row r="842" spans="1:9">
      <c r="A842">
        <f t="shared" si="70"/>
        <v>841</v>
      </c>
      <c r="B842">
        <v>15</v>
      </c>
      <c r="C842">
        <v>9000</v>
      </c>
      <c r="D842">
        <v>8016</v>
      </c>
      <c r="E842" s="5">
        <f t="shared" si="66"/>
        <v>984</v>
      </c>
      <c r="F842" s="5">
        <f t="shared" si="67"/>
        <v>968256</v>
      </c>
      <c r="G842" s="6">
        <f>SQRT(SUM($F$2:F842)/A842)</f>
        <v>1253.2423655752987</v>
      </c>
      <c r="H842" s="5">
        <f t="shared" si="68"/>
        <v>1</v>
      </c>
      <c r="I842" s="5">
        <f t="shared" si="69"/>
        <v>0</v>
      </c>
    </row>
    <row r="843" spans="1:9">
      <c r="A843">
        <f t="shared" si="70"/>
        <v>842</v>
      </c>
      <c r="B843">
        <v>16</v>
      </c>
      <c r="C843">
        <v>9000</v>
      </c>
      <c r="D843">
        <v>9227</v>
      </c>
      <c r="E843" s="5">
        <f t="shared" si="66"/>
        <v>227</v>
      </c>
      <c r="F843" s="5">
        <f t="shared" si="67"/>
        <v>51529</v>
      </c>
      <c r="G843" s="6">
        <f>SQRT(SUM($F$2:F843)/A843)</f>
        <v>1252.5223690759497</v>
      </c>
      <c r="H843" s="5">
        <f t="shared" si="68"/>
        <v>1</v>
      </c>
      <c r="I843" s="5">
        <f t="shared" si="69"/>
        <v>1</v>
      </c>
    </row>
    <row r="844" spans="1:9">
      <c r="A844">
        <f t="shared" si="70"/>
        <v>843</v>
      </c>
      <c r="B844">
        <v>15</v>
      </c>
      <c r="C844">
        <v>9000</v>
      </c>
      <c r="D844">
        <v>9243</v>
      </c>
      <c r="E844" s="5">
        <f t="shared" si="66"/>
        <v>243</v>
      </c>
      <c r="F844" s="5">
        <f t="shared" si="67"/>
        <v>59049</v>
      </c>
      <c r="G844" s="6">
        <f>SQRT(SUM($F$2:F844)/A844)</f>
        <v>1251.8072311699952</v>
      </c>
      <c r="H844" s="5">
        <f t="shared" si="68"/>
        <v>1</v>
      </c>
      <c r="I844" s="5">
        <f t="shared" si="69"/>
        <v>1</v>
      </c>
    </row>
    <row r="845" spans="1:9">
      <c r="A845">
        <f t="shared" si="70"/>
        <v>844</v>
      </c>
      <c r="B845">
        <v>15</v>
      </c>
      <c r="C845">
        <v>9000</v>
      </c>
      <c r="D845">
        <v>8436</v>
      </c>
      <c r="E845" s="5">
        <f t="shared" si="66"/>
        <v>564</v>
      </c>
      <c r="F845" s="5">
        <f t="shared" si="67"/>
        <v>318096</v>
      </c>
      <c r="G845" s="6">
        <f>SQRT(SUM($F$2:F845)/A845)</f>
        <v>1251.2160383581045</v>
      </c>
      <c r="H845" s="5">
        <f t="shared" si="68"/>
        <v>1</v>
      </c>
      <c r="I845" s="5">
        <f t="shared" si="69"/>
        <v>1</v>
      </c>
    </row>
    <row r="846" spans="1:9">
      <c r="A846">
        <f t="shared" si="70"/>
        <v>845</v>
      </c>
      <c r="B846">
        <v>16</v>
      </c>
      <c r="C846">
        <v>9000</v>
      </c>
      <c r="D846">
        <v>9609</v>
      </c>
      <c r="E846" s="5">
        <f t="shared" si="66"/>
        <v>609</v>
      </c>
      <c r="F846" s="5">
        <f t="shared" si="67"/>
        <v>370881</v>
      </c>
      <c r="G846" s="6">
        <f>SQRT(SUM($F$2:F846)/A846)</f>
        <v>1250.6509405697216</v>
      </c>
      <c r="H846" s="5">
        <f t="shared" si="68"/>
        <v>1</v>
      </c>
      <c r="I846" s="5">
        <f t="shared" si="69"/>
        <v>1</v>
      </c>
    </row>
    <row r="847" spans="1:9">
      <c r="A847">
        <f t="shared" si="70"/>
        <v>846</v>
      </c>
      <c r="B847">
        <v>14</v>
      </c>
      <c r="C847">
        <v>9000</v>
      </c>
      <c r="D847">
        <v>8266</v>
      </c>
      <c r="E847" s="5">
        <f t="shared" si="66"/>
        <v>734</v>
      </c>
      <c r="F847" s="5">
        <f t="shared" si="67"/>
        <v>538756</v>
      </c>
      <c r="G847" s="6">
        <f>SQRT(SUM($F$2:F847)/A847)</f>
        <v>1250.166289648321</v>
      </c>
      <c r="H847" s="5">
        <f t="shared" si="68"/>
        <v>1</v>
      </c>
      <c r="I847" s="5">
        <f t="shared" si="69"/>
        <v>1</v>
      </c>
    </row>
    <row r="848" spans="1:9">
      <c r="A848">
        <f t="shared" si="70"/>
        <v>847</v>
      </c>
      <c r="B848">
        <v>16</v>
      </c>
      <c r="C848">
        <v>9000</v>
      </c>
      <c r="D848">
        <v>9786</v>
      </c>
      <c r="E848" s="5">
        <f t="shared" si="66"/>
        <v>786</v>
      </c>
      <c r="F848" s="5">
        <f t="shared" si="67"/>
        <v>617796</v>
      </c>
      <c r="G848" s="6">
        <f>SQRT(SUM($F$2:F848)/A848)</f>
        <v>1249.7199317888274</v>
      </c>
      <c r="H848" s="5">
        <f t="shared" si="68"/>
        <v>1</v>
      </c>
      <c r="I848" s="5">
        <f t="shared" si="69"/>
        <v>1</v>
      </c>
    </row>
    <row r="849" spans="1:9">
      <c r="A849">
        <f t="shared" si="70"/>
        <v>848</v>
      </c>
      <c r="B849">
        <v>14</v>
      </c>
      <c r="C849">
        <v>9000</v>
      </c>
      <c r="D849">
        <v>8685</v>
      </c>
      <c r="E849" s="5">
        <f t="shared" si="66"/>
        <v>315</v>
      </c>
      <c r="F849" s="5">
        <f t="shared" si="67"/>
        <v>99225</v>
      </c>
      <c r="G849" s="6">
        <f>SQRT(SUM($F$2:F849)/A849)</f>
        <v>1249.0296927411521</v>
      </c>
      <c r="H849" s="5">
        <f t="shared" si="68"/>
        <v>1</v>
      </c>
      <c r="I849" s="5">
        <f t="shared" si="69"/>
        <v>1</v>
      </c>
    </row>
    <row r="850" spans="1:9">
      <c r="A850">
        <f t="shared" si="70"/>
        <v>849</v>
      </c>
      <c r="B850">
        <v>15</v>
      </c>
      <c r="C850">
        <v>9000</v>
      </c>
      <c r="D850">
        <v>9169</v>
      </c>
      <c r="E850" s="5">
        <f t="shared" si="66"/>
        <v>169</v>
      </c>
      <c r="F850" s="5">
        <f t="shared" si="67"/>
        <v>28561</v>
      </c>
      <c r="G850" s="6">
        <f>SQRT(SUM($F$2:F850)/A850)</f>
        <v>1248.3073618821179</v>
      </c>
      <c r="H850" s="5">
        <f t="shared" si="68"/>
        <v>1</v>
      </c>
      <c r="I850" s="5">
        <f t="shared" si="69"/>
        <v>1</v>
      </c>
    </row>
    <row r="851" spans="1:9">
      <c r="A851">
        <f t="shared" si="70"/>
        <v>850</v>
      </c>
      <c r="B851">
        <v>15</v>
      </c>
      <c r="C851">
        <v>9000</v>
      </c>
      <c r="D851">
        <v>9649</v>
      </c>
      <c r="E851" s="5">
        <f t="shared" si="66"/>
        <v>649</v>
      </c>
      <c r="F851" s="5">
        <f t="shared" si="67"/>
        <v>421201</v>
      </c>
      <c r="G851" s="6">
        <f>SQRT(SUM($F$2:F851)/A851)</f>
        <v>1247.7714293892132</v>
      </c>
      <c r="H851" s="5">
        <f t="shared" si="68"/>
        <v>1</v>
      </c>
      <c r="I851" s="5">
        <f t="shared" si="69"/>
        <v>1</v>
      </c>
    </row>
    <row r="852" spans="1:9">
      <c r="A852">
        <f t="shared" si="70"/>
        <v>851</v>
      </c>
      <c r="B852">
        <v>14</v>
      </c>
      <c r="C852">
        <v>9000</v>
      </c>
      <c r="D852">
        <v>8434</v>
      </c>
      <c r="E852" s="5">
        <f t="shared" si="66"/>
        <v>566</v>
      </c>
      <c r="F852" s="5">
        <f t="shared" si="67"/>
        <v>320356</v>
      </c>
      <c r="G852" s="6">
        <f>SQRT(SUM($F$2:F852)/A852)</f>
        <v>1247.1890203208698</v>
      </c>
      <c r="H852" s="5">
        <f t="shared" si="68"/>
        <v>1</v>
      </c>
      <c r="I852" s="5">
        <f t="shared" si="69"/>
        <v>1</v>
      </c>
    </row>
    <row r="853" spans="1:9">
      <c r="A853">
        <f t="shared" si="70"/>
        <v>852</v>
      </c>
      <c r="B853">
        <v>15</v>
      </c>
      <c r="C853">
        <v>9000</v>
      </c>
      <c r="D853">
        <v>7982</v>
      </c>
      <c r="E853" s="5">
        <f t="shared" si="66"/>
        <v>1018</v>
      </c>
      <c r="F853" s="5">
        <f t="shared" si="67"/>
        <v>1036324</v>
      </c>
      <c r="G853" s="6">
        <f>SQRT(SUM($F$2:F853)/A853)</f>
        <v>1246.9447116250844</v>
      </c>
      <c r="H853" s="5">
        <f t="shared" si="68"/>
        <v>1</v>
      </c>
      <c r="I853" s="5">
        <f t="shared" si="69"/>
        <v>0</v>
      </c>
    </row>
    <row r="854" spans="1:9">
      <c r="A854">
        <f t="shared" si="70"/>
        <v>853</v>
      </c>
      <c r="B854">
        <v>16</v>
      </c>
      <c r="C854">
        <v>9000</v>
      </c>
      <c r="D854">
        <v>8961</v>
      </c>
      <c r="E854" s="5">
        <f t="shared" si="66"/>
        <v>39</v>
      </c>
      <c r="F854" s="5">
        <f t="shared" si="67"/>
        <v>1521</v>
      </c>
      <c r="G854" s="6">
        <f>SQRT(SUM($F$2:F854)/A854)</f>
        <v>1246.2142955126042</v>
      </c>
      <c r="H854" s="5">
        <f t="shared" si="68"/>
        <v>1</v>
      </c>
      <c r="I854" s="5">
        <f t="shared" si="69"/>
        <v>1</v>
      </c>
    </row>
    <row r="855" spans="1:9">
      <c r="A855">
        <f t="shared" si="70"/>
        <v>854</v>
      </c>
      <c r="B855">
        <v>15</v>
      </c>
      <c r="C855">
        <v>9000</v>
      </c>
      <c r="D855">
        <v>9186</v>
      </c>
      <c r="E855" s="5">
        <f t="shared" si="66"/>
        <v>186</v>
      </c>
      <c r="F855" s="5">
        <f t="shared" si="67"/>
        <v>34596</v>
      </c>
      <c r="G855" s="6">
        <f>SQRT(SUM($F$2:F855)/A855)</f>
        <v>1245.5007109902763</v>
      </c>
      <c r="H855" s="5">
        <f t="shared" si="68"/>
        <v>1</v>
      </c>
      <c r="I855" s="5">
        <f t="shared" si="69"/>
        <v>1</v>
      </c>
    </row>
    <row r="856" spans="1:9">
      <c r="A856">
        <f t="shared" si="70"/>
        <v>855</v>
      </c>
      <c r="B856">
        <v>15</v>
      </c>
      <c r="C856">
        <v>9000</v>
      </c>
      <c r="D856">
        <v>9341</v>
      </c>
      <c r="E856" s="5">
        <f t="shared" si="66"/>
        <v>341</v>
      </c>
      <c r="F856" s="5">
        <f t="shared" si="67"/>
        <v>116281</v>
      </c>
      <c r="G856" s="6">
        <f>SQRT(SUM($F$2:F856)/A856)</f>
        <v>1244.826762648461</v>
      </c>
      <c r="H856" s="5">
        <f t="shared" si="68"/>
        <v>1</v>
      </c>
      <c r="I856" s="5">
        <f t="shared" si="69"/>
        <v>1</v>
      </c>
    </row>
    <row r="857" spans="1:9">
      <c r="A857">
        <f t="shared" si="70"/>
        <v>856</v>
      </c>
      <c r="B857">
        <v>15</v>
      </c>
      <c r="C857">
        <v>9000</v>
      </c>
      <c r="D857">
        <v>9313</v>
      </c>
      <c r="E857" s="5">
        <f t="shared" si="66"/>
        <v>313</v>
      </c>
      <c r="F857" s="5">
        <f t="shared" si="67"/>
        <v>97969</v>
      </c>
      <c r="G857" s="6">
        <f>SQRT(SUM($F$2:F857)/A857)</f>
        <v>1244.1454279120237</v>
      </c>
      <c r="H857" s="5">
        <f t="shared" si="68"/>
        <v>1</v>
      </c>
      <c r="I857" s="5">
        <f t="shared" si="69"/>
        <v>1</v>
      </c>
    </row>
    <row r="858" spans="1:9">
      <c r="A858">
        <f t="shared" si="70"/>
        <v>857</v>
      </c>
      <c r="B858">
        <v>15</v>
      </c>
      <c r="C858">
        <v>9000</v>
      </c>
      <c r="D858">
        <v>8886</v>
      </c>
      <c r="E858" s="5">
        <f t="shared" si="66"/>
        <v>114</v>
      </c>
      <c r="F858" s="5">
        <f t="shared" si="67"/>
        <v>12996</v>
      </c>
      <c r="G858" s="6">
        <f>SQRT(SUM($F$2:F858)/A858)</f>
        <v>1243.4254414605693</v>
      </c>
      <c r="H858" s="5">
        <f t="shared" si="68"/>
        <v>1</v>
      </c>
      <c r="I858" s="5">
        <f t="shared" si="69"/>
        <v>1</v>
      </c>
    </row>
    <row r="859" spans="1:9">
      <c r="A859">
        <f t="shared" si="70"/>
        <v>858</v>
      </c>
      <c r="B859">
        <v>15</v>
      </c>
      <c r="C859">
        <v>9000</v>
      </c>
      <c r="D859">
        <v>9503</v>
      </c>
      <c r="E859" s="5">
        <f t="shared" si="66"/>
        <v>503</v>
      </c>
      <c r="F859" s="5">
        <f t="shared" si="67"/>
        <v>253009</v>
      </c>
      <c r="G859" s="6">
        <f>SQRT(SUM($F$2:F859)/A859)</f>
        <v>1242.8192633867652</v>
      </c>
      <c r="H859" s="5">
        <f t="shared" si="68"/>
        <v>1</v>
      </c>
      <c r="I859" s="5">
        <f t="shared" si="69"/>
        <v>1</v>
      </c>
    </row>
    <row r="860" spans="1:9">
      <c r="A860">
        <f t="shared" si="70"/>
        <v>859</v>
      </c>
      <c r="B860">
        <v>14</v>
      </c>
      <c r="C860">
        <v>9000</v>
      </c>
      <c r="D860">
        <v>8346</v>
      </c>
      <c r="E860" s="5">
        <f t="shared" si="66"/>
        <v>654</v>
      </c>
      <c r="F860" s="5">
        <f t="shared" si="67"/>
        <v>427716</v>
      </c>
      <c r="G860" s="6">
        <f>SQRT(SUM($F$2:F860)/A860)</f>
        <v>1242.2960627672207</v>
      </c>
      <c r="H860" s="5">
        <f t="shared" si="68"/>
        <v>1</v>
      </c>
      <c r="I860" s="5">
        <f t="shared" si="69"/>
        <v>1</v>
      </c>
    </row>
    <row r="861" spans="1:9">
      <c r="A861">
        <f t="shared" si="70"/>
        <v>860</v>
      </c>
      <c r="B861">
        <v>16</v>
      </c>
      <c r="C861">
        <v>9000</v>
      </c>
      <c r="D861">
        <v>11599</v>
      </c>
      <c r="E861" s="5">
        <f t="shared" si="66"/>
        <v>2599</v>
      </c>
      <c r="F861" s="5">
        <f t="shared" si="67"/>
        <v>6754801</v>
      </c>
      <c r="G861" s="6">
        <f>SQRT(SUM($F$2:F861)/A861)</f>
        <v>1244.732659257905</v>
      </c>
      <c r="H861" s="5">
        <f t="shared" si="68"/>
        <v>0</v>
      </c>
      <c r="I861" s="5">
        <f t="shared" si="69"/>
        <v>0</v>
      </c>
    </row>
    <row r="862" spans="1:9">
      <c r="A862">
        <f t="shared" si="70"/>
        <v>861</v>
      </c>
      <c r="B862">
        <v>12</v>
      </c>
      <c r="C862">
        <v>9000</v>
      </c>
      <c r="D862">
        <v>8969</v>
      </c>
      <c r="E862" s="5">
        <f t="shared" si="66"/>
        <v>31</v>
      </c>
      <c r="F862" s="5">
        <f t="shared" si="67"/>
        <v>961</v>
      </c>
      <c r="G862" s="6">
        <f>SQRT(SUM($F$2:F862)/A862)</f>
        <v>1244.0100565935645</v>
      </c>
      <c r="H862" s="5">
        <f t="shared" si="68"/>
        <v>1</v>
      </c>
      <c r="I862" s="5">
        <f t="shared" si="69"/>
        <v>1</v>
      </c>
    </row>
    <row r="863" spans="1:9">
      <c r="A863">
        <f t="shared" si="70"/>
        <v>862</v>
      </c>
      <c r="B863">
        <v>14</v>
      </c>
      <c r="C863">
        <v>9000</v>
      </c>
      <c r="D863">
        <v>9571</v>
      </c>
      <c r="E863" s="5">
        <f t="shared" si="66"/>
        <v>571</v>
      </c>
      <c r="F863" s="5">
        <f t="shared" si="67"/>
        <v>326041</v>
      </c>
      <c r="G863" s="6">
        <f>SQRT(SUM($F$2:F863)/A863)</f>
        <v>1243.4403662080242</v>
      </c>
      <c r="H863" s="5">
        <f t="shared" si="68"/>
        <v>1</v>
      </c>
      <c r="I863" s="5">
        <f t="shared" si="69"/>
        <v>1</v>
      </c>
    </row>
    <row r="864" spans="1:9">
      <c r="A864">
        <f t="shared" si="70"/>
        <v>863</v>
      </c>
      <c r="B864">
        <v>14</v>
      </c>
      <c r="C864">
        <v>9000</v>
      </c>
      <c r="D864">
        <v>8384</v>
      </c>
      <c r="E864" s="5">
        <f t="shared" si="66"/>
        <v>616</v>
      </c>
      <c r="F864" s="5">
        <f t="shared" si="67"/>
        <v>379456</v>
      </c>
      <c r="G864" s="6">
        <f>SQRT(SUM($F$2:F864)/A864)</f>
        <v>1242.8966354246606</v>
      </c>
      <c r="H864" s="5">
        <f t="shared" si="68"/>
        <v>1</v>
      </c>
      <c r="I864" s="5">
        <f t="shared" si="69"/>
        <v>1</v>
      </c>
    </row>
    <row r="865" spans="1:9">
      <c r="A865">
        <f t="shared" si="70"/>
        <v>864</v>
      </c>
      <c r="B865">
        <v>15</v>
      </c>
      <c r="C865">
        <v>9000</v>
      </c>
      <c r="D865">
        <v>9633</v>
      </c>
      <c r="E865" s="5">
        <f t="shared" si="66"/>
        <v>633</v>
      </c>
      <c r="F865" s="5">
        <f t="shared" si="67"/>
        <v>400689</v>
      </c>
      <c r="G865" s="6">
        <f>SQRT(SUM($F$2:F865)/A865)</f>
        <v>1242.3638166854585</v>
      </c>
      <c r="H865" s="5">
        <f t="shared" si="68"/>
        <v>1</v>
      </c>
      <c r="I865" s="5">
        <f t="shared" si="69"/>
        <v>1</v>
      </c>
    </row>
    <row r="866" spans="1:9">
      <c r="A866">
        <f t="shared" si="70"/>
        <v>865</v>
      </c>
      <c r="B866">
        <v>13</v>
      </c>
      <c r="C866">
        <v>9000</v>
      </c>
      <c r="D866">
        <v>8047</v>
      </c>
      <c r="E866" s="5">
        <f t="shared" si="66"/>
        <v>953</v>
      </c>
      <c r="F866" s="5">
        <f t="shared" si="67"/>
        <v>908209</v>
      </c>
      <c r="G866" s="6">
        <f>SQRT(SUM($F$2:F866)/A866)</f>
        <v>1242.0682145965184</v>
      </c>
      <c r="H866" s="5">
        <f t="shared" si="68"/>
        <v>1</v>
      </c>
      <c r="I866" s="5">
        <f t="shared" si="69"/>
        <v>0</v>
      </c>
    </row>
    <row r="867" spans="1:9">
      <c r="A867">
        <f t="shared" si="70"/>
        <v>866</v>
      </c>
      <c r="B867">
        <v>15</v>
      </c>
      <c r="C867">
        <v>9000</v>
      </c>
      <c r="D867">
        <v>9420</v>
      </c>
      <c r="E867" s="5">
        <f t="shared" si="66"/>
        <v>420</v>
      </c>
      <c r="F867" s="5">
        <f t="shared" si="67"/>
        <v>176400</v>
      </c>
      <c r="G867" s="6">
        <f>SQRT(SUM($F$2:F867)/A867)</f>
        <v>1241.4329210471199</v>
      </c>
      <c r="H867" s="5">
        <f t="shared" si="68"/>
        <v>1</v>
      </c>
      <c r="I867" s="5">
        <f t="shared" si="69"/>
        <v>1</v>
      </c>
    </row>
    <row r="868" spans="1:9">
      <c r="A868">
        <f t="shared" si="70"/>
        <v>867</v>
      </c>
      <c r="B868">
        <v>14</v>
      </c>
      <c r="C868">
        <v>9000</v>
      </c>
      <c r="D868">
        <v>9218</v>
      </c>
      <c r="E868" s="5">
        <f t="shared" si="66"/>
        <v>218</v>
      </c>
      <c r="F868" s="5">
        <f t="shared" si="67"/>
        <v>47524</v>
      </c>
      <c r="G868" s="6">
        <f>SQRT(SUM($F$2:F868)/A868)</f>
        <v>1240.7388681224045</v>
      </c>
      <c r="H868" s="5">
        <f t="shared" si="68"/>
        <v>1</v>
      </c>
      <c r="I868" s="5">
        <f t="shared" si="69"/>
        <v>1</v>
      </c>
    </row>
    <row r="869" spans="1:9">
      <c r="A869">
        <f t="shared" si="70"/>
        <v>868</v>
      </c>
      <c r="B869">
        <v>14</v>
      </c>
      <c r="C869">
        <v>9000</v>
      </c>
      <c r="D869">
        <v>8630</v>
      </c>
      <c r="E869" s="5">
        <f t="shared" si="66"/>
        <v>370</v>
      </c>
      <c r="F869" s="5">
        <f t="shared" si="67"/>
        <v>136900</v>
      </c>
      <c r="G869" s="6">
        <f>SQRT(SUM($F$2:F869)/A869)</f>
        <v>1240.0875442933539</v>
      </c>
      <c r="H869" s="5">
        <f t="shared" si="68"/>
        <v>1</v>
      </c>
      <c r="I869" s="5">
        <f t="shared" si="69"/>
        <v>1</v>
      </c>
    </row>
    <row r="870" spans="1:9">
      <c r="A870">
        <f t="shared" si="70"/>
        <v>869</v>
      </c>
      <c r="B870">
        <v>15</v>
      </c>
      <c r="C870">
        <v>9000</v>
      </c>
      <c r="D870">
        <v>9622</v>
      </c>
      <c r="E870" s="5">
        <f t="shared" si="66"/>
        <v>622</v>
      </c>
      <c r="F870" s="5">
        <f t="shared" si="67"/>
        <v>386884</v>
      </c>
      <c r="G870" s="6">
        <f>SQRT(SUM($F$2:F870)/A870)</f>
        <v>1239.5534210127064</v>
      </c>
      <c r="H870" s="5">
        <f t="shared" si="68"/>
        <v>1</v>
      </c>
      <c r="I870" s="5">
        <f t="shared" si="69"/>
        <v>1</v>
      </c>
    </row>
    <row r="871" spans="1:9">
      <c r="A871">
        <f t="shared" si="70"/>
        <v>870</v>
      </c>
      <c r="B871">
        <v>13</v>
      </c>
      <c r="C871">
        <v>9000</v>
      </c>
      <c r="D871">
        <v>8633</v>
      </c>
      <c r="E871" s="5">
        <f t="shared" si="66"/>
        <v>367</v>
      </c>
      <c r="F871" s="5">
        <f t="shared" si="67"/>
        <v>134689</v>
      </c>
      <c r="G871" s="6">
        <f>SQRT(SUM($F$2:F871)/A871)</f>
        <v>1238.9033113776591</v>
      </c>
      <c r="H871" s="5">
        <f t="shared" si="68"/>
        <v>1</v>
      </c>
      <c r="I871" s="5">
        <f t="shared" si="69"/>
        <v>1</v>
      </c>
    </row>
    <row r="872" spans="1:9">
      <c r="A872">
        <f t="shared" si="70"/>
        <v>871</v>
      </c>
      <c r="B872">
        <v>15</v>
      </c>
      <c r="C872">
        <v>9000</v>
      </c>
      <c r="D872">
        <v>9368</v>
      </c>
      <c r="E872" s="5">
        <f t="shared" si="66"/>
        <v>368</v>
      </c>
      <c r="F872" s="5">
        <f t="shared" si="67"/>
        <v>135424</v>
      </c>
      <c r="G872" s="6">
        <f>SQRT(SUM($F$2:F872)/A872)</f>
        <v>1238.2546951299967</v>
      </c>
      <c r="H872" s="5">
        <f t="shared" si="68"/>
        <v>1</v>
      </c>
      <c r="I872" s="5">
        <f t="shared" si="69"/>
        <v>1</v>
      </c>
    </row>
    <row r="873" spans="1:9">
      <c r="A873">
        <f t="shared" si="70"/>
        <v>872</v>
      </c>
      <c r="B873">
        <v>14</v>
      </c>
      <c r="C873">
        <v>9000</v>
      </c>
      <c r="D873">
        <v>8567</v>
      </c>
      <c r="E873" s="5">
        <f t="shared" si="66"/>
        <v>433</v>
      </c>
      <c r="F873" s="5">
        <f t="shared" si="67"/>
        <v>187489</v>
      </c>
      <c r="G873" s="6">
        <f>SQRT(SUM($F$2:F873)/A873)</f>
        <v>1237.6313497153201</v>
      </c>
      <c r="H873" s="5">
        <f t="shared" si="68"/>
        <v>1</v>
      </c>
      <c r="I873" s="5">
        <f t="shared" si="69"/>
        <v>1</v>
      </c>
    </row>
    <row r="874" spans="1:9">
      <c r="A874">
        <f t="shared" si="70"/>
        <v>873</v>
      </c>
      <c r="B874">
        <v>15</v>
      </c>
      <c r="C874">
        <v>9000</v>
      </c>
      <c r="D874">
        <v>9090</v>
      </c>
      <c r="E874" s="5">
        <f t="shared" si="66"/>
        <v>90</v>
      </c>
      <c r="F874" s="5">
        <f t="shared" si="67"/>
        <v>8100</v>
      </c>
      <c r="G874" s="6">
        <f>SQRT(SUM($F$2:F874)/A874)</f>
        <v>1236.9260590679519</v>
      </c>
      <c r="H874" s="5">
        <f t="shared" si="68"/>
        <v>1</v>
      </c>
      <c r="I874" s="5">
        <f t="shared" si="69"/>
        <v>1</v>
      </c>
    </row>
    <row r="875" spans="1:9">
      <c r="A875">
        <f t="shared" si="70"/>
        <v>874</v>
      </c>
      <c r="B875">
        <v>14</v>
      </c>
      <c r="C875">
        <v>9000</v>
      </c>
      <c r="D875">
        <v>8980</v>
      </c>
      <c r="E875" s="5">
        <f t="shared" si="66"/>
        <v>20</v>
      </c>
      <c r="F875" s="5">
        <f t="shared" si="67"/>
        <v>400</v>
      </c>
      <c r="G875" s="6">
        <f>SQRT(SUM($F$2:F875)/A875)</f>
        <v>1236.2184180462225</v>
      </c>
      <c r="H875" s="5">
        <f t="shared" si="68"/>
        <v>1</v>
      </c>
      <c r="I875" s="5">
        <f t="shared" si="69"/>
        <v>1</v>
      </c>
    </row>
    <row r="876" spans="1:9">
      <c r="A876">
        <f t="shared" si="70"/>
        <v>875</v>
      </c>
      <c r="B876">
        <v>14</v>
      </c>
      <c r="C876">
        <v>9000</v>
      </c>
      <c r="D876">
        <v>8451</v>
      </c>
      <c r="E876" s="5">
        <f t="shared" si="66"/>
        <v>549</v>
      </c>
      <c r="F876" s="5">
        <f t="shared" si="67"/>
        <v>301401</v>
      </c>
      <c r="G876" s="6">
        <f>SQRT(SUM($F$2:F876)/A876)</f>
        <v>1235.651196737979</v>
      </c>
      <c r="H876" s="5">
        <f t="shared" si="68"/>
        <v>1</v>
      </c>
      <c r="I876" s="5">
        <f t="shared" si="69"/>
        <v>1</v>
      </c>
    </row>
    <row r="877" spans="1:9">
      <c r="A877">
        <f t="shared" si="70"/>
        <v>876</v>
      </c>
      <c r="B877">
        <v>15</v>
      </c>
      <c r="C877">
        <v>9000</v>
      </c>
      <c r="D877">
        <v>8756</v>
      </c>
      <c r="E877" s="5">
        <f t="shared" si="66"/>
        <v>244</v>
      </c>
      <c r="F877" s="5">
        <f t="shared" si="67"/>
        <v>59536</v>
      </c>
      <c r="G877" s="6">
        <f>SQRT(SUM($F$2:F877)/A877)</f>
        <v>1234.9732314589216</v>
      </c>
      <c r="H877" s="5">
        <f t="shared" si="68"/>
        <v>1</v>
      </c>
      <c r="I877" s="5">
        <f t="shared" si="69"/>
        <v>1</v>
      </c>
    </row>
    <row r="878" spans="1:9">
      <c r="A878">
        <f t="shared" si="70"/>
        <v>877</v>
      </c>
      <c r="B878">
        <v>15</v>
      </c>
      <c r="C878">
        <v>9000</v>
      </c>
      <c r="D878">
        <v>9862</v>
      </c>
      <c r="E878" s="5">
        <f t="shared" si="66"/>
        <v>862</v>
      </c>
      <c r="F878" s="5">
        <f t="shared" si="67"/>
        <v>743044</v>
      </c>
      <c r="G878" s="6">
        <f>SQRT(SUM($F$2:F878)/A878)</f>
        <v>1234.6121153044612</v>
      </c>
      <c r="H878" s="5">
        <f t="shared" si="68"/>
        <v>1</v>
      </c>
      <c r="I878" s="5">
        <f t="shared" si="69"/>
        <v>1</v>
      </c>
    </row>
    <row r="879" spans="1:9">
      <c r="A879">
        <f t="shared" si="70"/>
        <v>878</v>
      </c>
      <c r="B879">
        <v>13</v>
      </c>
      <c r="C879">
        <v>9000</v>
      </c>
      <c r="D879">
        <v>7328</v>
      </c>
      <c r="E879" s="5">
        <f t="shared" si="66"/>
        <v>1672</v>
      </c>
      <c r="F879" s="5">
        <f t="shared" si="67"/>
        <v>2795584</v>
      </c>
      <c r="G879" s="6">
        <f>SQRT(SUM($F$2:F879)/A879)</f>
        <v>1235.1983826167902</v>
      </c>
      <c r="H879" s="5">
        <f t="shared" si="68"/>
        <v>1</v>
      </c>
      <c r="I879" s="5">
        <f t="shared" si="69"/>
        <v>0</v>
      </c>
    </row>
    <row r="880" spans="1:9">
      <c r="A880">
        <f t="shared" si="70"/>
        <v>879</v>
      </c>
      <c r="B880">
        <v>16</v>
      </c>
      <c r="C880">
        <v>9000</v>
      </c>
      <c r="D880">
        <v>9875</v>
      </c>
      <c r="E880" s="5">
        <f t="shared" si="66"/>
        <v>875</v>
      </c>
      <c r="F880" s="5">
        <f t="shared" si="67"/>
        <v>765625</v>
      </c>
      <c r="G880" s="6">
        <f>SQRT(SUM($F$2:F880)/A880)</f>
        <v>1234.8482996281064</v>
      </c>
      <c r="H880" s="5">
        <f t="shared" si="68"/>
        <v>1</v>
      </c>
      <c r="I880" s="5">
        <f t="shared" si="69"/>
        <v>1</v>
      </c>
    </row>
    <row r="881" spans="1:9">
      <c r="A881">
        <f t="shared" si="70"/>
        <v>880</v>
      </c>
      <c r="B881">
        <v>14</v>
      </c>
      <c r="C881">
        <v>9000</v>
      </c>
      <c r="D881">
        <v>8296</v>
      </c>
      <c r="E881" s="5">
        <f t="shared" si="66"/>
        <v>704</v>
      </c>
      <c r="F881" s="5">
        <f t="shared" si="67"/>
        <v>495616</v>
      </c>
      <c r="G881" s="6">
        <f>SQRT(SUM($F$2:F881)/A881)</f>
        <v>1234.3746346374603</v>
      </c>
      <c r="H881" s="5">
        <f t="shared" si="68"/>
        <v>1</v>
      </c>
      <c r="I881" s="5">
        <f t="shared" si="69"/>
        <v>1</v>
      </c>
    </row>
    <row r="882" spans="1:9">
      <c r="A882">
        <f t="shared" si="70"/>
        <v>881</v>
      </c>
      <c r="B882">
        <v>15</v>
      </c>
      <c r="C882">
        <v>9000</v>
      </c>
      <c r="D882">
        <v>8749</v>
      </c>
      <c r="E882" s="5">
        <f t="shared" si="66"/>
        <v>251</v>
      </c>
      <c r="F882" s="5">
        <f t="shared" si="67"/>
        <v>63001</v>
      </c>
      <c r="G882" s="6">
        <f>SQRT(SUM($F$2:F882)/A882)</f>
        <v>1233.7028651034084</v>
      </c>
      <c r="H882" s="5">
        <f t="shared" si="68"/>
        <v>1</v>
      </c>
      <c r="I882" s="5">
        <f t="shared" si="69"/>
        <v>1</v>
      </c>
    </row>
    <row r="883" spans="1:9">
      <c r="A883">
        <f t="shared" si="70"/>
        <v>882</v>
      </c>
      <c r="B883">
        <v>15</v>
      </c>
      <c r="C883">
        <v>9000</v>
      </c>
      <c r="D883">
        <v>9379</v>
      </c>
      <c r="E883" s="5">
        <f t="shared" si="66"/>
        <v>379</v>
      </c>
      <c r="F883" s="5">
        <f t="shared" si="67"/>
        <v>143641</v>
      </c>
      <c r="G883" s="6">
        <f>SQRT(SUM($F$2:F883)/A883)</f>
        <v>1233.0693282431318</v>
      </c>
      <c r="H883" s="5">
        <f t="shared" si="68"/>
        <v>1</v>
      </c>
      <c r="I883" s="5">
        <f t="shared" si="69"/>
        <v>1</v>
      </c>
    </row>
    <row r="884" spans="1:9">
      <c r="A884">
        <f t="shared" si="70"/>
        <v>883</v>
      </c>
      <c r="B884">
        <v>14</v>
      </c>
      <c r="C884">
        <v>9000</v>
      </c>
      <c r="D884">
        <v>8997</v>
      </c>
      <c r="E884" s="5">
        <f t="shared" si="66"/>
        <v>3</v>
      </c>
      <c r="F884" s="5">
        <f t="shared" si="67"/>
        <v>9</v>
      </c>
      <c r="G884" s="6">
        <f>SQRT(SUM($F$2:F884)/A884)</f>
        <v>1232.3709073276734</v>
      </c>
      <c r="H884" s="5">
        <f t="shared" si="68"/>
        <v>1</v>
      </c>
      <c r="I884" s="5">
        <f t="shared" si="69"/>
        <v>1</v>
      </c>
    </row>
    <row r="885" spans="1:9">
      <c r="A885">
        <f t="shared" si="70"/>
        <v>884</v>
      </c>
      <c r="B885">
        <v>15</v>
      </c>
      <c r="C885">
        <v>9000</v>
      </c>
      <c r="D885">
        <v>7884</v>
      </c>
      <c r="E885" s="5">
        <f t="shared" si="66"/>
        <v>1116</v>
      </c>
      <c r="F885" s="5">
        <f t="shared" si="67"/>
        <v>1245456</v>
      </c>
      <c r="G885" s="6">
        <f>SQRT(SUM($F$2:F885)/A885)</f>
        <v>1232.2454749900623</v>
      </c>
      <c r="H885" s="5">
        <f t="shared" si="68"/>
        <v>1</v>
      </c>
      <c r="I885" s="5">
        <f t="shared" si="69"/>
        <v>0</v>
      </c>
    </row>
    <row r="886" spans="1:9">
      <c r="A886">
        <f t="shared" si="70"/>
        <v>885</v>
      </c>
      <c r="B886">
        <v>16</v>
      </c>
      <c r="C886">
        <v>9000</v>
      </c>
      <c r="D886">
        <v>4886</v>
      </c>
      <c r="E886" s="5">
        <f t="shared" si="66"/>
        <v>4114</v>
      </c>
      <c r="F886" s="5">
        <f t="shared" si="67"/>
        <v>16924996</v>
      </c>
      <c r="G886" s="6">
        <f>SQRT(SUM($F$2:F886)/A886)</f>
        <v>1239.2890950125193</v>
      </c>
      <c r="H886" s="5">
        <f t="shared" si="68"/>
        <v>0</v>
      </c>
      <c r="I886" s="5">
        <f t="shared" si="69"/>
        <v>0</v>
      </c>
    </row>
    <row r="887" spans="1:9">
      <c r="A887">
        <f t="shared" si="70"/>
        <v>886</v>
      </c>
      <c r="B887">
        <v>20</v>
      </c>
      <c r="C887">
        <v>9000</v>
      </c>
      <c r="D887">
        <v>6589</v>
      </c>
      <c r="E887" s="5">
        <f t="shared" si="66"/>
        <v>2411</v>
      </c>
      <c r="F887" s="5">
        <f t="shared" si="67"/>
        <v>5812921</v>
      </c>
      <c r="G887" s="6">
        <f>SQRT(SUM($F$2:F887)/A887)</f>
        <v>1241.2352190759382</v>
      </c>
      <c r="H887" s="5">
        <f t="shared" si="68"/>
        <v>0</v>
      </c>
      <c r="I887" s="5">
        <f t="shared" si="69"/>
        <v>0</v>
      </c>
    </row>
    <row r="888" spans="1:9">
      <c r="A888">
        <f t="shared" si="70"/>
        <v>887</v>
      </c>
      <c r="B888">
        <v>19</v>
      </c>
      <c r="C888">
        <v>9000</v>
      </c>
      <c r="D888">
        <v>11074</v>
      </c>
      <c r="E888" s="5">
        <f t="shared" si="66"/>
        <v>2074</v>
      </c>
      <c r="F888" s="5">
        <f t="shared" si="67"/>
        <v>4301476</v>
      </c>
      <c r="G888" s="6">
        <f>SQRT(SUM($F$2:F888)/A888)</f>
        <v>1242.4883885638112</v>
      </c>
      <c r="H888" s="5">
        <f t="shared" si="68"/>
        <v>0</v>
      </c>
      <c r="I888" s="5">
        <f t="shared" si="69"/>
        <v>0</v>
      </c>
    </row>
    <row r="889" spans="1:9">
      <c r="A889">
        <f t="shared" si="70"/>
        <v>888</v>
      </c>
      <c r="B889">
        <v>14</v>
      </c>
      <c r="C889">
        <v>9000</v>
      </c>
      <c r="D889">
        <v>8283</v>
      </c>
      <c r="E889" s="5">
        <f t="shared" si="66"/>
        <v>717</v>
      </c>
      <c r="F889" s="5">
        <f t="shared" si="67"/>
        <v>514089</v>
      </c>
      <c r="G889" s="6">
        <f>SQRT(SUM($F$2:F889)/A889)</f>
        <v>1242.0216732053075</v>
      </c>
      <c r="H889" s="5">
        <f t="shared" si="68"/>
        <v>1</v>
      </c>
      <c r="I889" s="5">
        <f t="shared" si="69"/>
        <v>1</v>
      </c>
    </row>
    <row r="890" spans="1:9">
      <c r="A890">
        <f t="shared" si="70"/>
        <v>889</v>
      </c>
      <c r="B890">
        <v>17</v>
      </c>
      <c r="C890">
        <v>9000</v>
      </c>
      <c r="D890">
        <v>9941</v>
      </c>
      <c r="E890" s="5">
        <f t="shared" si="66"/>
        <v>941</v>
      </c>
      <c r="F890" s="5">
        <f t="shared" si="67"/>
        <v>885481</v>
      </c>
      <c r="G890" s="6">
        <f>SQRT(SUM($F$2:F890)/A890)</f>
        <v>1241.7240636182939</v>
      </c>
      <c r="H890" s="5">
        <f t="shared" si="68"/>
        <v>1</v>
      </c>
      <c r="I890" s="5">
        <f t="shared" si="69"/>
        <v>0</v>
      </c>
    </row>
    <row r="891" spans="1:9">
      <c r="A891">
        <f t="shared" si="70"/>
        <v>890</v>
      </c>
      <c r="B891">
        <v>15</v>
      </c>
      <c r="C891">
        <v>9000</v>
      </c>
      <c r="D891">
        <v>8577</v>
      </c>
      <c r="E891" s="5">
        <f t="shared" si="66"/>
        <v>423</v>
      </c>
      <c r="F891" s="5">
        <f t="shared" si="67"/>
        <v>178929</v>
      </c>
      <c r="G891" s="6">
        <f>SQRT(SUM($F$2:F891)/A891)</f>
        <v>1241.1072661407698</v>
      </c>
      <c r="H891" s="5">
        <f t="shared" si="68"/>
        <v>1</v>
      </c>
      <c r="I891" s="5">
        <f t="shared" si="69"/>
        <v>1</v>
      </c>
    </row>
    <row r="892" spans="1:9">
      <c r="A892">
        <f t="shared" si="70"/>
        <v>891</v>
      </c>
      <c r="B892">
        <v>17</v>
      </c>
      <c r="C892">
        <v>9000</v>
      </c>
      <c r="D892">
        <v>9873</v>
      </c>
      <c r="E892" s="5">
        <f t="shared" si="66"/>
        <v>873</v>
      </c>
      <c r="F892" s="5">
        <f t="shared" si="67"/>
        <v>762129</v>
      </c>
      <c r="G892" s="6">
        <f>SQRT(SUM($F$2:F892)/A892)</f>
        <v>1240.7553445042358</v>
      </c>
      <c r="H892" s="5">
        <f t="shared" si="68"/>
        <v>1</v>
      </c>
      <c r="I892" s="5">
        <f t="shared" si="69"/>
        <v>1</v>
      </c>
    </row>
    <row r="893" spans="1:9">
      <c r="A893">
        <f t="shared" si="70"/>
        <v>892</v>
      </c>
      <c r="B893">
        <v>15</v>
      </c>
      <c r="C893">
        <v>9000</v>
      </c>
      <c r="D893">
        <v>8887</v>
      </c>
      <c r="E893" s="5">
        <f t="shared" si="66"/>
        <v>113</v>
      </c>
      <c r="F893" s="5">
        <f t="shared" si="67"/>
        <v>12769</v>
      </c>
      <c r="G893" s="6">
        <f>SQRT(SUM($F$2:F893)/A893)</f>
        <v>1240.0654307017533</v>
      </c>
      <c r="H893" s="5">
        <f t="shared" si="68"/>
        <v>1</v>
      </c>
      <c r="I893" s="5">
        <f t="shared" si="69"/>
        <v>1</v>
      </c>
    </row>
    <row r="894" spans="1:9">
      <c r="A894">
        <f t="shared" si="70"/>
        <v>893</v>
      </c>
      <c r="B894">
        <v>16</v>
      </c>
      <c r="C894">
        <v>9000</v>
      </c>
      <c r="D894">
        <v>9130</v>
      </c>
      <c r="E894" s="5">
        <f t="shared" si="66"/>
        <v>130</v>
      </c>
      <c r="F894" s="5">
        <f t="shared" si="67"/>
        <v>16900</v>
      </c>
      <c r="G894" s="6">
        <f>SQRT(SUM($F$2:F894)/A894)</f>
        <v>1239.3785455506854</v>
      </c>
      <c r="H894" s="5">
        <f t="shared" si="68"/>
        <v>1</v>
      </c>
      <c r="I894" s="5">
        <f t="shared" si="69"/>
        <v>1</v>
      </c>
    </row>
    <row r="895" spans="1:9">
      <c r="A895">
        <f t="shared" si="70"/>
        <v>894</v>
      </c>
      <c r="B895">
        <v>16</v>
      </c>
      <c r="C895">
        <v>9000</v>
      </c>
      <c r="D895">
        <v>9241</v>
      </c>
      <c r="E895" s="5">
        <f t="shared" si="66"/>
        <v>241</v>
      </c>
      <c r="F895" s="5">
        <f t="shared" si="67"/>
        <v>58081</v>
      </c>
      <c r="G895" s="6">
        <f>SQRT(SUM($F$2:F895)/A895)</f>
        <v>1238.7114109959364</v>
      </c>
      <c r="H895" s="5">
        <f t="shared" si="68"/>
        <v>1</v>
      </c>
      <c r="I895" s="5">
        <f t="shared" si="69"/>
        <v>1</v>
      </c>
    </row>
    <row r="896" spans="1:9">
      <c r="A896">
        <f t="shared" si="70"/>
        <v>895</v>
      </c>
      <c r="B896">
        <v>16</v>
      </c>
      <c r="C896">
        <v>9000</v>
      </c>
      <c r="D896">
        <v>9483</v>
      </c>
      <c r="E896" s="5">
        <f t="shared" si="66"/>
        <v>483</v>
      </c>
      <c r="F896" s="5">
        <f t="shared" si="67"/>
        <v>233289</v>
      </c>
      <c r="G896" s="6">
        <f>SQRT(SUM($F$2:F896)/A896)</f>
        <v>1238.1244678001333</v>
      </c>
      <c r="H896" s="5">
        <f t="shared" si="68"/>
        <v>1</v>
      </c>
      <c r="I896" s="5">
        <f t="shared" si="69"/>
        <v>1</v>
      </c>
    </row>
    <row r="897" spans="1:9">
      <c r="A897">
        <f t="shared" si="70"/>
        <v>896</v>
      </c>
      <c r="B897">
        <v>15</v>
      </c>
      <c r="C897">
        <v>9000</v>
      </c>
      <c r="D897">
        <v>8568</v>
      </c>
      <c r="E897" s="5">
        <f t="shared" si="66"/>
        <v>432</v>
      </c>
      <c r="F897" s="5">
        <f t="shared" si="67"/>
        <v>186624</v>
      </c>
      <c r="G897" s="6">
        <f>SQRT(SUM($F$2:F897)/A897)</f>
        <v>1237.5175147570062</v>
      </c>
      <c r="H897" s="5">
        <f t="shared" si="68"/>
        <v>1</v>
      </c>
      <c r="I897" s="5">
        <f t="shared" si="69"/>
        <v>1</v>
      </c>
    </row>
    <row r="898" spans="1:9">
      <c r="A898">
        <f t="shared" si="70"/>
        <v>897</v>
      </c>
      <c r="B898">
        <v>16</v>
      </c>
      <c r="C898">
        <v>9000</v>
      </c>
      <c r="D898">
        <v>9551</v>
      </c>
      <c r="E898" s="5">
        <f t="shared" si="66"/>
        <v>551</v>
      </c>
      <c r="F898" s="5">
        <f t="shared" si="67"/>
        <v>303601</v>
      </c>
      <c r="G898" s="6">
        <f>SQRT(SUM($F$2:F898)/A898)</f>
        <v>1236.964332675826</v>
      </c>
      <c r="H898" s="5">
        <f t="shared" si="68"/>
        <v>1</v>
      </c>
      <c r="I898" s="5">
        <f t="shared" si="69"/>
        <v>1</v>
      </c>
    </row>
    <row r="899" spans="1:9">
      <c r="A899">
        <f t="shared" si="70"/>
        <v>898</v>
      </c>
      <c r="B899">
        <v>15</v>
      </c>
      <c r="C899">
        <v>9000</v>
      </c>
      <c r="D899">
        <v>9094</v>
      </c>
      <c r="E899" s="5">
        <f t="shared" ref="E899:E962" si="71">ABS(C899-D899)</f>
        <v>94</v>
      </c>
      <c r="F899" s="5">
        <f t="shared" ref="F899:F962" si="72">POWER(E899,2)</f>
        <v>8836</v>
      </c>
      <c r="G899" s="6">
        <f>SQRT(SUM($F$2:F899)/A899)</f>
        <v>1236.2793874487818</v>
      </c>
      <c r="H899" s="5">
        <f t="shared" ref="H899:H962" si="73">IF(ABS(E899)/C899&gt;0.2,0,1)</f>
        <v>1</v>
      </c>
      <c r="I899" s="5">
        <f t="shared" ref="I899:I962" si="74">IF(ABS(E899)/C899&gt;0.1,0,1)</f>
        <v>1</v>
      </c>
    </row>
    <row r="900" spans="1:9">
      <c r="A900">
        <f t="shared" ref="A900:A963" si="75">A899+1</f>
        <v>899</v>
      </c>
      <c r="B900">
        <v>16</v>
      </c>
      <c r="C900">
        <v>9000</v>
      </c>
      <c r="D900">
        <v>9814</v>
      </c>
      <c r="E900" s="5">
        <f t="shared" si="71"/>
        <v>814</v>
      </c>
      <c r="F900" s="5">
        <f t="shared" si="72"/>
        <v>662596</v>
      </c>
      <c r="G900" s="6">
        <f>SQRT(SUM($F$2:F900)/A900)</f>
        <v>1235.8898268337637</v>
      </c>
      <c r="H900" s="5">
        <f t="shared" si="73"/>
        <v>1</v>
      </c>
      <c r="I900" s="5">
        <f t="shared" si="74"/>
        <v>1</v>
      </c>
    </row>
    <row r="901" spans="1:9">
      <c r="A901">
        <f t="shared" si="75"/>
        <v>900</v>
      </c>
      <c r="B901">
        <v>15</v>
      </c>
      <c r="C901">
        <v>9000</v>
      </c>
      <c r="D901">
        <v>8528</v>
      </c>
      <c r="E901" s="5">
        <f t="shared" si="71"/>
        <v>472</v>
      </c>
      <c r="F901" s="5">
        <f t="shared" si="72"/>
        <v>222784</v>
      </c>
      <c r="G901" s="6">
        <f>SQRT(SUM($F$2:F901)/A901)</f>
        <v>1235.3032277317357</v>
      </c>
      <c r="H901" s="5">
        <f t="shared" si="73"/>
        <v>1</v>
      </c>
      <c r="I901" s="5">
        <f t="shared" si="74"/>
        <v>1</v>
      </c>
    </row>
    <row r="902" spans="1:9">
      <c r="A902">
        <f t="shared" si="75"/>
        <v>901</v>
      </c>
      <c r="B902">
        <v>16</v>
      </c>
      <c r="C902">
        <v>5000</v>
      </c>
      <c r="D902">
        <v>9584</v>
      </c>
      <c r="E902" s="5">
        <f t="shared" si="71"/>
        <v>4584</v>
      </c>
      <c r="F902" s="5">
        <f t="shared" si="72"/>
        <v>21013056</v>
      </c>
      <c r="G902" s="6">
        <f>SQRT(SUM($F$2:F902)/A902)</f>
        <v>1244.0266662262143</v>
      </c>
      <c r="H902" s="5">
        <f t="shared" si="73"/>
        <v>0</v>
      </c>
      <c r="I902" s="5">
        <f t="shared" si="74"/>
        <v>0</v>
      </c>
    </row>
    <row r="903" spans="1:9">
      <c r="A903">
        <f t="shared" si="75"/>
        <v>902</v>
      </c>
      <c r="B903">
        <v>10</v>
      </c>
      <c r="C903">
        <v>5000</v>
      </c>
      <c r="D903">
        <v>6488</v>
      </c>
      <c r="E903" s="5">
        <f t="shared" si="71"/>
        <v>1488</v>
      </c>
      <c r="F903" s="5">
        <f t="shared" si="72"/>
        <v>2214144</v>
      </c>
      <c r="G903" s="6">
        <f>SQRT(SUM($F$2:F903)/A903)</f>
        <v>1244.3236339420289</v>
      </c>
      <c r="H903" s="5">
        <f t="shared" si="73"/>
        <v>0</v>
      </c>
      <c r="I903" s="5">
        <f t="shared" si="74"/>
        <v>0</v>
      </c>
    </row>
    <row r="904" spans="1:9">
      <c r="A904">
        <f t="shared" si="75"/>
        <v>903</v>
      </c>
      <c r="B904">
        <v>12</v>
      </c>
      <c r="C904">
        <v>5000</v>
      </c>
      <c r="D904">
        <v>6822</v>
      </c>
      <c r="E904" s="5">
        <f t="shared" si="71"/>
        <v>1822</v>
      </c>
      <c r="F904" s="5">
        <f t="shared" si="72"/>
        <v>3319684</v>
      </c>
      <c r="G904" s="6">
        <f>SQRT(SUM($F$2:F904)/A904)</f>
        <v>1245.1116117854172</v>
      </c>
      <c r="H904" s="5">
        <f t="shared" si="73"/>
        <v>0</v>
      </c>
      <c r="I904" s="5">
        <f t="shared" si="74"/>
        <v>0</v>
      </c>
    </row>
    <row r="905" spans="1:9">
      <c r="A905">
        <f t="shared" si="75"/>
        <v>904</v>
      </c>
      <c r="B905">
        <v>12</v>
      </c>
      <c r="C905">
        <v>5000</v>
      </c>
      <c r="D905">
        <v>6355</v>
      </c>
      <c r="E905" s="5">
        <f t="shared" si="71"/>
        <v>1355</v>
      </c>
      <c r="F905" s="5">
        <f t="shared" si="72"/>
        <v>1836025</v>
      </c>
      <c r="G905" s="6">
        <f>SQRT(SUM($F$2:F905)/A905)</f>
        <v>1245.2385273690529</v>
      </c>
      <c r="H905" s="5">
        <f t="shared" si="73"/>
        <v>0</v>
      </c>
      <c r="I905" s="5">
        <f t="shared" si="74"/>
        <v>0</v>
      </c>
    </row>
    <row r="906" spans="1:9">
      <c r="A906">
        <f t="shared" si="75"/>
        <v>905</v>
      </c>
      <c r="B906">
        <v>12</v>
      </c>
      <c r="C906">
        <v>5000</v>
      </c>
      <c r="D906">
        <v>7275</v>
      </c>
      <c r="E906" s="5">
        <f t="shared" si="71"/>
        <v>2275</v>
      </c>
      <c r="F906" s="5">
        <f t="shared" si="72"/>
        <v>5175625</v>
      </c>
      <c r="G906" s="6">
        <f>SQRT(SUM($F$2:F906)/A906)</f>
        <v>1246.8458291011609</v>
      </c>
      <c r="H906" s="5">
        <f t="shared" si="73"/>
        <v>0</v>
      </c>
      <c r="I906" s="5">
        <f t="shared" si="74"/>
        <v>0</v>
      </c>
    </row>
    <row r="907" spans="1:9">
      <c r="A907">
        <f t="shared" si="75"/>
        <v>906</v>
      </c>
      <c r="B907">
        <v>10</v>
      </c>
      <c r="C907">
        <v>5000</v>
      </c>
      <c r="D907">
        <v>6189</v>
      </c>
      <c r="E907" s="5">
        <f t="shared" si="71"/>
        <v>1189</v>
      </c>
      <c r="F907" s="5">
        <f t="shared" si="72"/>
        <v>1413721</v>
      </c>
      <c r="G907" s="6">
        <f>SQRT(SUM($F$2:F907)/A907)</f>
        <v>1246.7834611095254</v>
      </c>
      <c r="H907" s="5">
        <f t="shared" si="73"/>
        <v>0</v>
      </c>
      <c r="I907" s="5">
        <f t="shared" si="74"/>
        <v>0</v>
      </c>
    </row>
    <row r="908" spans="1:9">
      <c r="A908">
        <f t="shared" si="75"/>
        <v>907</v>
      </c>
      <c r="B908">
        <v>11</v>
      </c>
      <c r="C908">
        <v>5000</v>
      </c>
      <c r="D908">
        <v>7162</v>
      </c>
      <c r="E908" s="5">
        <f t="shared" si="71"/>
        <v>2162</v>
      </c>
      <c r="F908" s="5">
        <f t="shared" si="72"/>
        <v>4674244</v>
      </c>
      <c r="G908" s="6">
        <f>SQRT(SUM($F$2:F908)/A908)</f>
        <v>1248.1621139195161</v>
      </c>
      <c r="H908" s="5">
        <f t="shared" si="73"/>
        <v>0</v>
      </c>
      <c r="I908" s="5">
        <f t="shared" si="74"/>
        <v>0</v>
      </c>
    </row>
    <row r="909" spans="1:9">
      <c r="A909">
        <f t="shared" si="75"/>
        <v>908</v>
      </c>
      <c r="B909">
        <v>9</v>
      </c>
      <c r="C909">
        <v>5000</v>
      </c>
      <c r="D909">
        <v>5214</v>
      </c>
      <c r="E909" s="5">
        <f t="shared" si="71"/>
        <v>214</v>
      </c>
      <c r="F909" s="5">
        <f t="shared" si="72"/>
        <v>45796</v>
      </c>
      <c r="G909" s="6">
        <f>SQRT(SUM($F$2:F909)/A909)</f>
        <v>1247.4948257641672</v>
      </c>
      <c r="H909" s="5">
        <f t="shared" si="73"/>
        <v>1</v>
      </c>
      <c r="I909" s="5">
        <f t="shared" si="74"/>
        <v>1</v>
      </c>
    </row>
    <row r="910" spans="1:9">
      <c r="A910">
        <f t="shared" si="75"/>
        <v>909</v>
      </c>
      <c r="B910">
        <v>11</v>
      </c>
      <c r="C910">
        <v>5000</v>
      </c>
      <c r="D910">
        <v>6266</v>
      </c>
      <c r="E910" s="5">
        <f t="shared" si="71"/>
        <v>1266</v>
      </c>
      <c r="F910" s="5">
        <f t="shared" si="72"/>
        <v>1602756</v>
      </c>
      <c r="G910" s="6">
        <f>SQRT(SUM($F$2:F910)/A910)</f>
        <v>1247.5153343149475</v>
      </c>
      <c r="H910" s="5">
        <f t="shared" si="73"/>
        <v>0</v>
      </c>
      <c r="I910" s="5">
        <f t="shared" si="74"/>
        <v>0</v>
      </c>
    </row>
    <row r="911" spans="1:9">
      <c r="A911">
        <f t="shared" si="75"/>
        <v>910</v>
      </c>
      <c r="B911">
        <v>10</v>
      </c>
      <c r="C911">
        <v>5000</v>
      </c>
      <c r="D911">
        <v>5464</v>
      </c>
      <c r="E911" s="5">
        <f t="shared" si="71"/>
        <v>464</v>
      </c>
      <c r="F911" s="5">
        <f t="shared" si="72"/>
        <v>215296</v>
      </c>
      <c r="G911" s="6">
        <f>SQRT(SUM($F$2:F911)/A911)</f>
        <v>1246.9245705396074</v>
      </c>
      <c r="H911" s="5">
        <f t="shared" si="73"/>
        <v>1</v>
      </c>
      <c r="I911" s="5">
        <f t="shared" si="74"/>
        <v>1</v>
      </c>
    </row>
    <row r="912" spans="1:9">
      <c r="A912">
        <f t="shared" si="75"/>
        <v>911</v>
      </c>
      <c r="B912">
        <v>10</v>
      </c>
      <c r="C912">
        <v>5000</v>
      </c>
      <c r="D912">
        <v>6003</v>
      </c>
      <c r="E912" s="5">
        <f t="shared" si="71"/>
        <v>1003</v>
      </c>
      <c r="F912" s="5">
        <f t="shared" si="72"/>
        <v>1006009</v>
      </c>
      <c r="G912" s="6">
        <f>SQRT(SUM($F$2:F912)/A912)</f>
        <v>1246.6829816120271</v>
      </c>
      <c r="H912" s="5">
        <f t="shared" si="73"/>
        <v>0</v>
      </c>
      <c r="I912" s="5">
        <f t="shared" si="74"/>
        <v>0</v>
      </c>
    </row>
    <row r="913" spans="1:9">
      <c r="A913">
        <f t="shared" si="75"/>
        <v>912</v>
      </c>
      <c r="B913">
        <v>10</v>
      </c>
      <c r="C913">
        <v>5000</v>
      </c>
      <c r="D913">
        <v>6510</v>
      </c>
      <c r="E913" s="5">
        <f t="shared" si="71"/>
        <v>1510</v>
      </c>
      <c r="F913" s="5">
        <f t="shared" si="72"/>
        <v>2280100</v>
      </c>
      <c r="G913" s="6">
        <f>SQRT(SUM($F$2:F913)/A913)</f>
        <v>1247.002156929155</v>
      </c>
      <c r="H913" s="5">
        <f t="shared" si="73"/>
        <v>0</v>
      </c>
      <c r="I913" s="5">
        <f t="shared" si="74"/>
        <v>0</v>
      </c>
    </row>
    <row r="914" spans="1:9">
      <c r="A914">
        <f t="shared" si="75"/>
        <v>913</v>
      </c>
      <c r="B914">
        <v>9</v>
      </c>
      <c r="C914">
        <v>5000</v>
      </c>
      <c r="D914">
        <v>6123</v>
      </c>
      <c r="E914" s="5">
        <f t="shared" si="71"/>
        <v>1123</v>
      </c>
      <c r="F914" s="5">
        <f t="shared" si="72"/>
        <v>1261129</v>
      </c>
      <c r="G914" s="6">
        <f>SQRT(SUM($F$2:F914)/A914)</f>
        <v>1246.8730847984259</v>
      </c>
      <c r="H914" s="5">
        <f t="shared" si="73"/>
        <v>0</v>
      </c>
      <c r="I914" s="5">
        <f t="shared" si="74"/>
        <v>0</v>
      </c>
    </row>
    <row r="915" spans="1:9">
      <c r="A915">
        <f t="shared" si="75"/>
        <v>914</v>
      </c>
      <c r="B915">
        <v>9</v>
      </c>
      <c r="C915">
        <v>5000</v>
      </c>
      <c r="D915">
        <v>5798</v>
      </c>
      <c r="E915" s="5">
        <f t="shared" si="71"/>
        <v>798</v>
      </c>
      <c r="F915" s="5">
        <f t="shared" si="72"/>
        <v>636804</v>
      </c>
      <c r="G915" s="6">
        <f>SQRT(SUM($F$2:F915)/A915)</f>
        <v>1246.4703106090251</v>
      </c>
      <c r="H915" s="5">
        <f t="shared" si="73"/>
        <v>1</v>
      </c>
      <c r="I915" s="5">
        <f t="shared" si="74"/>
        <v>0</v>
      </c>
    </row>
    <row r="916" spans="1:9">
      <c r="A916">
        <f t="shared" si="75"/>
        <v>915</v>
      </c>
      <c r="B916">
        <v>9</v>
      </c>
      <c r="C916">
        <v>5000</v>
      </c>
      <c r="D916">
        <v>5758</v>
      </c>
      <c r="E916" s="5">
        <f t="shared" si="71"/>
        <v>758</v>
      </c>
      <c r="F916" s="5">
        <f t="shared" si="72"/>
        <v>574564</v>
      </c>
      <c r="G916" s="6">
        <f>SQRT(SUM($F$2:F916)/A916)</f>
        <v>1246.0409921420564</v>
      </c>
      <c r="H916" s="5">
        <f t="shared" si="73"/>
        <v>1</v>
      </c>
      <c r="I916" s="5">
        <f t="shared" si="74"/>
        <v>0</v>
      </c>
    </row>
    <row r="917" spans="1:9">
      <c r="A917">
        <f t="shared" si="75"/>
        <v>916</v>
      </c>
      <c r="B917">
        <v>9</v>
      </c>
      <c r="C917">
        <v>5000</v>
      </c>
      <c r="D917">
        <v>5390</v>
      </c>
      <c r="E917" s="5">
        <f t="shared" si="71"/>
        <v>390</v>
      </c>
      <c r="F917" s="5">
        <f t="shared" si="72"/>
        <v>152100</v>
      </c>
      <c r="G917" s="6">
        <f>SQRT(SUM($F$2:F917)/A917)</f>
        <v>1245.4273178907197</v>
      </c>
      <c r="H917" s="5">
        <f t="shared" si="73"/>
        <v>1</v>
      </c>
      <c r="I917" s="5">
        <f t="shared" si="74"/>
        <v>1</v>
      </c>
    </row>
    <row r="918" spans="1:9">
      <c r="A918">
        <f t="shared" si="75"/>
        <v>917</v>
      </c>
      <c r="B918">
        <v>9</v>
      </c>
      <c r="C918">
        <v>5000</v>
      </c>
      <c r="D918">
        <v>5541</v>
      </c>
      <c r="E918" s="5">
        <f t="shared" si="71"/>
        <v>541</v>
      </c>
      <c r="F918" s="5">
        <f t="shared" si="72"/>
        <v>292681</v>
      </c>
      <c r="G918" s="6">
        <f>SQRT(SUM($F$2:F918)/A918)</f>
        <v>1244.8762565894988</v>
      </c>
      <c r="H918" s="5">
        <f t="shared" si="73"/>
        <v>1</v>
      </c>
      <c r="I918" s="5">
        <f t="shared" si="74"/>
        <v>0</v>
      </c>
    </row>
    <row r="919" spans="1:9">
      <c r="A919">
        <f t="shared" si="75"/>
        <v>918</v>
      </c>
      <c r="B919">
        <v>9</v>
      </c>
      <c r="C919">
        <v>5000</v>
      </c>
      <c r="D919">
        <v>5496</v>
      </c>
      <c r="E919" s="5">
        <f t="shared" si="71"/>
        <v>496</v>
      </c>
      <c r="F919" s="5">
        <f t="shared" si="72"/>
        <v>246016</v>
      </c>
      <c r="G919" s="6">
        <f>SQRT(SUM($F$2:F919)/A919)</f>
        <v>1244.3057263955434</v>
      </c>
      <c r="H919" s="5">
        <f t="shared" si="73"/>
        <v>1</v>
      </c>
      <c r="I919" s="5">
        <f t="shared" si="74"/>
        <v>1</v>
      </c>
    </row>
    <row r="920" spans="1:9">
      <c r="A920">
        <f t="shared" si="75"/>
        <v>919</v>
      </c>
      <c r="B920">
        <v>8</v>
      </c>
      <c r="C920">
        <v>5000</v>
      </c>
      <c r="D920">
        <v>5738</v>
      </c>
      <c r="E920" s="5">
        <f t="shared" si="71"/>
        <v>738</v>
      </c>
      <c r="F920" s="5">
        <f t="shared" si="72"/>
        <v>544644</v>
      </c>
      <c r="G920" s="6">
        <f>SQRT(SUM($F$2:F920)/A920)</f>
        <v>1243.8668042713521</v>
      </c>
      <c r="H920" s="5">
        <f t="shared" si="73"/>
        <v>1</v>
      </c>
      <c r="I920" s="5">
        <f t="shared" si="74"/>
        <v>0</v>
      </c>
    </row>
    <row r="921" spans="1:9">
      <c r="A921">
        <f t="shared" si="75"/>
        <v>920</v>
      </c>
      <c r="B921">
        <v>8</v>
      </c>
      <c r="C921">
        <v>5000</v>
      </c>
      <c r="D921">
        <v>5361</v>
      </c>
      <c r="E921" s="5">
        <f t="shared" si="71"/>
        <v>361</v>
      </c>
      <c r="F921" s="5">
        <f t="shared" si="72"/>
        <v>130321</v>
      </c>
      <c r="G921" s="6">
        <f>SQRT(SUM($F$2:F921)/A921)</f>
        <v>1243.2475762572656</v>
      </c>
      <c r="H921" s="5">
        <f t="shared" si="73"/>
        <v>1</v>
      </c>
      <c r="I921" s="5">
        <f t="shared" si="74"/>
        <v>1</v>
      </c>
    </row>
    <row r="922" spans="1:9">
      <c r="A922">
        <f t="shared" si="75"/>
        <v>921</v>
      </c>
      <c r="B922">
        <v>8</v>
      </c>
      <c r="C922">
        <v>5000</v>
      </c>
      <c r="D922">
        <v>6211</v>
      </c>
      <c r="E922" s="5">
        <f t="shared" si="71"/>
        <v>1211</v>
      </c>
      <c r="F922" s="5">
        <f t="shared" si="72"/>
        <v>1466521</v>
      </c>
      <c r="G922" s="6">
        <f>SQRT(SUM($F$2:F922)/A922)</f>
        <v>1243.2130162171081</v>
      </c>
      <c r="H922" s="5">
        <f t="shared" si="73"/>
        <v>0</v>
      </c>
      <c r="I922" s="5">
        <f t="shared" si="74"/>
        <v>0</v>
      </c>
    </row>
    <row r="923" spans="1:9">
      <c r="A923">
        <f t="shared" si="75"/>
        <v>922</v>
      </c>
      <c r="B923">
        <v>7</v>
      </c>
      <c r="C923">
        <v>5000</v>
      </c>
      <c r="D923">
        <v>4348</v>
      </c>
      <c r="E923" s="5">
        <f t="shared" si="71"/>
        <v>652</v>
      </c>
      <c r="F923" s="5">
        <f t="shared" si="72"/>
        <v>425104</v>
      </c>
      <c r="G923" s="6">
        <f>SQRT(SUM($F$2:F923)/A923)</f>
        <v>1242.7241602201166</v>
      </c>
      <c r="H923" s="5">
        <f t="shared" si="73"/>
        <v>1</v>
      </c>
      <c r="I923" s="5">
        <f t="shared" si="74"/>
        <v>0</v>
      </c>
    </row>
    <row r="924" spans="1:9">
      <c r="A924">
        <f t="shared" si="75"/>
        <v>923</v>
      </c>
      <c r="B924">
        <v>9</v>
      </c>
      <c r="C924">
        <v>5000</v>
      </c>
      <c r="D924">
        <v>6755</v>
      </c>
      <c r="E924" s="5">
        <f t="shared" si="71"/>
        <v>1755</v>
      </c>
      <c r="F924" s="5">
        <f t="shared" si="72"/>
        <v>3080025</v>
      </c>
      <c r="G924" s="6">
        <f>SQRT(SUM($F$2:F924)/A924)</f>
        <v>1243.3933852603564</v>
      </c>
      <c r="H924" s="5">
        <f t="shared" si="73"/>
        <v>0</v>
      </c>
      <c r="I924" s="5">
        <f t="shared" si="74"/>
        <v>0</v>
      </c>
    </row>
    <row r="925" spans="1:9">
      <c r="A925">
        <f t="shared" si="75"/>
        <v>924</v>
      </c>
      <c r="B925">
        <v>6</v>
      </c>
      <c r="C925">
        <v>5000</v>
      </c>
      <c r="D925">
        <v>4340</v>
      </c>
      <c r="E925" s="5">
        <f t="shared" si="71"/>
        <v>660</v>
      </c>
      <c r="F925" s="5">
        <f t="shared" si="72"/>
        <v>435600</v>
      </c>
      <c r="G925" s="6">
        <f>SQRT(SUM($F$2:F925)/A925)</f>
        <v>1242.9100327727263</v>
      </c>
      <c r="H925" s="5">
        <f t="shared" si="73"/>
        <v>1</v>
      </c>
      <c r="I925" s="5">
        <f t="shared" si="74"/>
        <v>0</v>
      </c>
    </row>
    <row r="926" spans="1:9">
      <c r="A926">
        <f t="shared" si="75"/>
        <v>925</v>
      </c>
      <c r="B926">
        <v>9</v>
      </c>
      <c r="C926">
        <v>5000</v>
      </c>
      <c r="D926">
        <v>6196</v>
      </c>
      <c r="E926" s="5">
        <f t="shared" si="71"/>
        <v>1196</v>
      </c>
      <c r="F926" s="5">
        <f t="shared" si="72"/>
        <v>1430416</v>
      </c>
      <c r="G926" s="6">
        <f>SQRT(SUM($F$2:F926)/A926)</f>
        <v>1242.8602752456866</v>
      </c>
      <c r="H926" s="5">
        <f t="shared" si="73"/>
        <v>0</v>
      </c>
      <c r="I926" s="5">
        <f t="shared" si="74"/>
        <v>0</v>
      </c>
    </row>
    <row r="927" spans="1:9">
      <c r="A927">
        <f t="shared" si="75"/>
        <v>926</v>
      </c>
      <c r="B927">
        <v>7</v>
      </c>
      <c r="C927">
        <v>5000</v>
      </c>
      <c r="D927">
        <v>4961</v>
      </c>
      <c r="E927" s="5">
        <f t="shared" si="71"/>
        <v>39</v>
      </c>
      <c r="F927" s="5">
        <f t="shared" si="72"/>
        <v>1521</v>
      </c>
      <c r="G927" s="6">
        <f>SQRT(SUM($F$2:F927)/A927)</f>
        <v>1242.1896642570493</v>
      </c>
      <c r="H927" s="5">
        <f t="shared" si="73"/>
        <v>1</v>
      </c>
      <c r="I927" s="5">
        <f t="shared" si="74"/>
        <v>1</v>
      </c>
    </row>
    <row r="928" spans="1:9">
      <c r="A928">
        <f t="shared" si="75"/>
        <v>927</v>
      </c>
      <c r="B928">
        <v>8</v>
      </c>
      <c r="C928">
        <v>5000</v>
      </c>
      <c r="D928">
        <v>5634</v>
      </c>
      <c r="E928" s="5">
        <f t="shared" si="71"/>
        <v>634</v>
      </c>
      <c r="F928" s="5">
        <f t="shared" si="72"/>
        <v>401956</v>
      </c>
      <c r="G928" s="6">
        <f>SQRT(SUM($F$2:F928)/A928)</f>
        <v>1241.6940945255878</v>
      </c>
      <c r="H928" s="5">
        <f t="shared" si="73"/>
        <v>1</v>
      </c>
      <c r="I928" s="5">
        <f t="shared" si="74"/>
        <v>0</v>
      </c>
    </row>
    <row r="929" spans="1:9">
      <c r="A929">
        <f t="shared" si="75"/>
        <v>928</v>
      </c>
      <c r="B929">
        <v>7</v>
      </c>
      <c r="C929">
        <v>5000</v>
      </c>
      <c r="D929">
        <v>5494</v>
      </c>
      <c r="E929" s="5">
        <f t="shared" si="71"/>
        <v>494</v>
      </c>
      <c r="F929" s="5">
        <f t="shared" si="72"/>
        <v>244036</v>
      </c>
      <c r="G929" s="6">
        <f>SQRT(SUM($F$2:F929)/A929)</f>
        <v>1241.130842111894</v>
      </c>
      <c r="H929" s="5">
        <f t="shared" si="73"/>
        <v>1</v>
      </c>
      <c r="I929" s="5">
        <f t="shared" si="74"/>
        <v>1</v>
      </c>
    </row>
    <row r="930" spans="1:9">
      <c r="A930">
        <f t="shared" si="75"/>
        <v>929</v>
      </c>
      <c r="B930">
        <v>7</v>
      </c>
      <c r="C930">
        <v>5000</v>
      </c>
      <c r="D930">
        <v>4725</v>
      </c>
      <c r="E930" s="5">
        <f t="shared" si="71"/>
        <v>275</v>
      </c>
      <c r="F930" s="5">
        <f t="shared" si="72"/>
        <v>75625</v>
      </c>
      <c r="G930" s="6">
        <f>SQRT(SUM($F$2:F930)/A930)</f>
        <v>1240.4954811491034</v>
      </c>
      <c r="H930" s="5">
        <f t="shared" si="73"/>
        <v>1</v>
      </c>
      <c r="I930" s="5">
        <f t="shared" si="74"/>
        <v>1</v>
      </c>
    </row>
    <row r="931" spans="1:9">
      <c r="A931">
        <f t="shared" si="75"/>
        <v>930</v>
      </c>
      <c r="B931">
        <v>8</v>
      </c>
      <c r="C931">
        <v>5000</v>
      </c>
      <c r="D931">
        <v>5562</v>
      </c>
      <c r="E931" s="5">
        <f t="shared" si="71"/>
        <v>562</v>
      </c>
      <c r="F931" s="5">
        <f t="shared" si="72"/>
        <v>315844</v>
      </c>
      <c r="G931" s="6">
        <f>SQRT(SUM($F$2:F931)/A931)</f>
        <v>1239.9653225293314</v>
      </c>
      <c r="H931" s="5">
        <f t="shared" si="73"/>
        <v>1</v>
      </c>
      <c r="I931" s="5">
        <f t="shared" si="74"/>
        <v>0</v>
      </c>
    </row>
    <row r="932" spans="1:9">
      <c r="A932">
        <f t="shared" si="75"/>
        <v>931</v>
      </c>
      <c r="B932">
        <v>7</v>
      </c>
      <c r="C932">
        <v>5000</v>
      </c>
      <c r="D932">
        <v>4753</v>
      </c>
      <c r="E932" s="5">
        <f t="shared" si="71"/>
        <v>247</v>
      </c>
      <c r="F932" s="5">
        <f t="shared" si="72"/>
        <v>61009</v>
      </c>
      <c r="G932" s="6">
        <f>SQRT(SUM($F$2:F932)/A932)</f>
        <v>1239.3256499383281</v>
      </c>
      <c r="H932" s="5">
        <f t="shared" si="73"/>
        <v>1</v>
      </c>
      <c r="I932" s="5">
        <f t="shared" si="74"/>
        <v>1</v>
      </c>
    </row>
    <row r="933" spans="1:9">
      <c r="A933">
        <f t="shared" si="75"/>
        <v>932</v>
      </c>
      <c r="B933">
        <v>8</v>
      </c>
      <c r="C933">
        <v>5000</v>
      </c>
      <c r="D933">
        <v>5908</v>
      </c>
      <c r="E933" s="5">
        <f t="shared" si="71"/>
        <v>908</v>
      </c>
      <c r="F933" s="5">
        <f t="shared" si="72"/>
        <v>824464</v>
      </c>
      <c r="G933" s="6">
        <f>SQRT(SUM($F$2:F933)/A933)</f>
        <v>1239.0176322930386</v>
      </c>
      <c r="H933" s="5">
        <f t="shared" si="73"/>
        <v>1</v>
      </c>
      <c r="I933" s="5">
        <f t="shared" si="74"/>
        <v>0</v>
      </c>
    </row>
    <row r="934" spans="1:9">
      <c r="A934">
        <f t="shared" si="75"/>
        <v>933</v>
      </c>
      <c r="B934">
        <v>6</v>
      </c>
      <c r="C934">
        <v>5000</v>
      </c>
      <c r="D934">
        <v>4329</v>
      </c>
      <c r="E934" s="5">
        <f t="shared" si="71"/>
        <v>671</v>
      </c>
      <c r="F934" s="5">
        <f t="shared" si="72"/>
        <v>450241</v>
      </c>
      <c r="G934" s="6">
        <f>SQRT(SUM($F$2:F934)/A934)</f>
        <v>1238.5482871461702</v>
      </c>
      <c r="H934" s="5">
        <f t="shared" si="73"/>
        <v>1</v>
      </c>
      <c r="I934" s="5">
        <f t="shared" si="74"/>
        <v>0</v>
      </c>
    </row>
    <row r="935" spans="1:9">
      <c r="A935">
        <f t="shared" si="75"/>
        <v>934</v>
      </c>
      <c r="B935">
        <v>8</v>
      </c>
      <c r="C935">
        <v>5000</v>
      </c>
      <c r="D935">
        <v>5472</v>
      </c>
      <c r="E935" s="5">
        <f t="shared" si="71"/>
        <v>472</v>
      </c>
      <c r="F935" s="5">
        <f t="shared" si="72"/>
        <v>222784</v>
      </c>
      <c r="G935" s="6">
        <f>SQRT(SUM($F$2:F935)/A935)</f>
        <v>1237.9814158869149</v>
      </c>
      <c r="H935" s="5">
        <f t="shared" si="73"/>
        <v>1</v>
      </c>
      <c r="I935" s="5">
        <f t="shared" si="74"/>
        <v>1</v>
      </c>
    </row>
    <row r="936" spans="1:9">
      <c r="A936">
        <f t="shared" si="75"/>
        <v>935</v>
      </c>
      <c r="B936">
        <v>7</v>
      </c>
      <c r="C936">
        <v>5000</v>
      </c>
      <c r="D936">
        <v>4650</v>
      </c>
      <c r="E936" s="5">
        <f t="shared" si="71"/>
        <v>350</v>
      </c>
      <c r="F936" s="5">
        <f t="shared" si="72"/>
        <v>122500</v>
      </c>
      <c r="G936" s="6">
        <f>SQRT(SUM($F$2:F936)/A936)</f>
        <v>1237.3721590099917</v>
      </c>
      <c r="H936" s="5">
        <f t="shared" si="73"/>
        <v>1</v>
      </c>
      <c r="I936" s="5">
        <f t="shared" si="74"/>
        <v>1</v>
      </c>
    </row>
    <row r="937" spans="1:9">
      <c r="A937">
        <f t="shared" si="75"/>
        <v>936</v>
      </c>
      <c r="B937">
        <v>8</v>
      </c>
      <c r="C937">
        <v>5000</v>
      </c>
      <c r="D937">
        <v>4833</v>
      </c>
      <c r="E937" s="5">
        <f t="shared" si="71"/>
        <v>167</v>
      </c>
      <c r="F937" s="5">
        <f t="shared" si="72"/>
        <v>27889</v>
      </c>
      <c r="G937" s="6">
        <f>SQRT(SUM($F$2:F937)/A937)</f>
        <v>1236.7230393537495</v>
      </c>
      <c r="H937" s="5">
        <f t="shared" si="73"/>
        <v>1</v>
      </c>
      <c r="I937" s="5">
        <f t="shared" si="74"/>
        <v>1</v>
      </c>
    </row>
    <row r="938" spans="1:9">
      <c r="A938">
        <f t="shared" si="75"/>
        <v>937</v>
      </c>
      <c r="B938">
        <v>8</v>
      </c>
      <c r="C938">
        <v>5000</v>
      </c>
      <c r="D938">
        <v>6180</v>
      </c>
      <c r="E938" s="5">
        <f t="shared" si="71"/>
        <v>1180</v>
      </c>
      <c r="F938" s="5">
        <f t="shared" si="72"/>
        <v>1392400</v>
      </c>
      <c r="G938" s="6">
        <f>SQRT(SUM($F$2:F938)/A938)</f>
        <v>1236.6638893572206</v>
      </c>
      <c r="H938" s="5">
        <f t="shared" si="73"/>
        <v>0</v>
      </c>
      <c r="I938" s="5">
        <f t="shared" si="74"/>
        <v>0</v>
      </c>
    </row>
    <row r="939" spans="1:9">
      <c r="A939">
        <f t="shared" si="75"/>
        <v>938</v>
      </c>
      <c r="B939">
        <v>6</v>
      </c>
      <c r="C939">
        <v>5000</v>
      </c>
      <c r="D939">
        <v>4444</v>
      </c>
      <c r="E939" s="5">
        <f t="shared" si="71"/>
        <v>556</v>
      </c>
      <c r="F939" s="5">
        <f t="shared" si="72"/>
        <v>309136</v>
      </c>
      <c r="G939" s="6">
        <f>SQRT(SUM($F$2:F939)/A939)</f>
        <v>1236.137824306943</v>
      </c>
      <c r="H939" s="5">
        <f t="shared" si="73"/>
        <v>1</v>
      </c>
      <c r="I939" s="5">
        <f t="shared" si="74"/>
        <v>0</v>
      </c>
    </row>
    <row r="940" spans="1:9">
      <c r="A940">
        <f t="shared" si="75"/>
        <v>939</v>
      </c>
      <c r="B940">
        <v>8</v>
      </c>
      <c r="C940">
        <v>5000</v>
      </c>
      <c r="D940">
        <v>5287</v>
      </c>
      <c r="E940" s="5">
        <f t="shared" si="71"/>
        <v>287</v>
      </c>
      <c r="F940" s="5">
        <f t="shared" si="72"/>
        <v>82369</v>
      </c>
      <c r="G940" s="6">
        <f>SQRT(SUM($F$2:F940)/A940)</f>
        <v>1235.5149284590432</v>
      </c>
      <c r="H940" s="5">
        <f t="shared" si="73"/>
        <v>1</v>
      </c>
      <c r="I940" s="5">
        <f t="shared" si="74"/>
        <v>1</v>
      </c>
    </row>
    <row r="941" spans="1:9">
      <c r="A941">
        <f t="shared" si="75"/>
        <v>940</v>
      </c>
      <c r="B941">
        <v>7</v>
      </c>
      <c r="C941">
        <v>5000</v>
      </c>
      <c r="D941">
        <v>4637</v>
      </c>
      <c r="E941" s="5">
        <f t="shared" si="71"/>
        <v>363</v>
      </c>
      <c r="F941" s="5">
        <f t="shared" si="72"/>
        <v>131769</v>
      </c>
      <c r="G941" s="6">
        <f>SQRT(SUM($F$2:F941)/A941)</f>
        <v>1234.9143229821179</v>
      </c>
      <c r="H941" s="5">
        <f t="shared" si="73"/>
        <v>1</v>
      </c>
      <c r="I941" s="5">
        <f t="shared" si="74"/>
        <v>1</v>
      </c>
    </row>
    <row r="942" spans="1:9">
      <c r="A942">
        <f t="shared" si="75"/>
        <v>941</v>
      </c>
      <c r="B942">
        <v>8</v>
      </c>
      <c r="C942">
        <v>5000</v>
      </c>
      <c r="D942">
        <v>5329</v>
      </c>
      <c r="E942" s="5">
        <f t="shared" si="71"/>
        <v>329</v>
      </c>
      <c r="F942" s="5">
        <f t="shared" si="72"/>
        <v>108241</v>
      </c>
      <c r="G942" s="6">
        <f>SQRT(SUM($F$2:F942)/A942)</f>
        <v>1234.3045743035439</v>
      </c>
      <c r="H942" s="5">
        <f t="shared" si="73"/>
        <v>1</v>
      </c>
      <c r="I942" s="5">
        <f t="shared" si="74"/>
        <v>1</v>
      </c>
    </row>
    <row r="943" spans="1:9">
      <c r="A943">
        <f t="shared" si="75"/>
        <v>942</v>
      </c>
      <c r="B943">
        <v>7</v>
      </c>
      <c r="C943">
        <v>5000</v>
      </c>
      <c r="D943">
        <v>4272</v>
      </c>
      <c r="E943" s="5">
        <f t="shared" si="71"/>
        <v>728</v>
      </c>
      <c r="F943" s="5">
        <f t="shared" si="72"/>
        <v>529984</v>
      </c>
      <c r="G943" s="6">
        <f>SQRT(SUM($F$2:F943)/A943)</f>
        <v>1233.8772572615401</v>
      </c>
      <c r="H943" s="5">
        <f t="shared" si="73"/>
        <v>1</v>
      </c>
      <c r="I943" s="5">
        <f t="shared" si="74"/>
        <v>0</v>
      </c>
    </row>
    <row r="944" spans="1:9">
      <c r="A944">
        <f t="shared" si="75"/>
        <v>943</v>
      </c>
      <c r="B944">
        <v>8</v>
      </c>
      <c r="C944">
        <v>5000</v>
      </c>
      <c r="D944">
        <v>5438</v>
      </c>
      <c r="E944" s="5">
        <f t="shared" si="71"/>
        <v>438</v>
      </c>
      <c r="F944" s="5">
        <f t="shared" si="72"/>
        <v>191844</v>
      </c>
      <c r="G944" s="6">
        <f>SQRT(SUM($F$2:F944)/A944)</f>
        <v>1233.3053343434635</v>
      </c>
      <c r="H944" s="5">
        <f t="shared" si="73"/>
        <v>1</v>
      </c>
      <c r="I944" s="5">
        <f t="shared" si="74"/>
        <v>1</v>
      </c>
    </row>
    <row r="945" spans="1:9">
      <c r="A945">
        <f t="shared" si="75"/>
        <v>944</v>
      </c>
      <c r="B945">
        <v>7</v>
      </c>
      <c r="C945">
        <v>5000</v>
      </c>
      <c r="D945">
        <v>3746</v>
      </c>
      <c r="E945" s="5">
        <f t="shared" si="71"/>
        <v>1254</v>
      </c>
      <c r="F945" s="5">
        <f t="shared" si="72"/>
        <v>1572516</v>
      </c>
      <c r="G945" s="6">
        <f>SQRT(SUM($F$2:F945)/A945)</f>
        <v>1233.3274403871278</v>
      </c>
      <c r="H945" s="5">
        <f t="shared" si="73"/>
        <v>0</v>
      </c>
      <c r="I945" s="5">
        <f t="shared" si="74"/>
        <v>0</v>
      </c>
    </row>
    <row r="946" spans="1:9">
      <c r="A946">
        <f t="shared" si="75"/>
        <v>945</v>
      </c>
      <c r="B946">
        <v>9</v>
      </c>
      <c r="C946">
        <v>5000</v>
      </c>
      <c r="D946">
        <v>2268</v>
      </c>
      <c r="E946" s="5">
        <f t="shared" si="71"/>
        <v>2732</v>
      </c>
      <c r="F946" s="5">
        <f t="shared" si="72"/>
        <v>7463824</v>
      </c>
      <c r="G946" s="6">
        <f>SQRT(SUM($F$2:F946)/A946)</f>
        <v>1235.8742556026384</v>
      </c>
      <c r="H946" s="5">
        <f t="shared" si="73"/>
        <v>0</v>
      </c>
      <c r="I946" s="5">
        <f t="shared" si="74"/>
        <v>0</v>
      </c>
    </row>
    <row r="947" spans="1:9">
      <c r="A947">
        <f t="shared" si="75"/>
        <v>946</v>
      </c>
      <c r="B947">
        <v>11</v>
      </c>
      <c r="C947">
        <v>5000</v>
      </c>
      <c r="D947">
        <v>1516</v>
      </c>
      <c r="E947" s="5">
        <f t="shared" si="71"/>
        <v>3484</v>
      </c>
      <c r="F947" s="5">
        <f t="shared" si="72"/>
        <v>12138256</v>
      </c>
      <c r="G947" s="6">
        <f>SQRT(SUM($F$2:F947)/A947)</f>
        <v>1240.4038620605786</v>
      </c>
      <c r="H947" s="5">
        <f t="shared" si="73"/>
        <v>0</v>
      </c>
      <c r="I947" s="5">
        <f t="shared" si="74"/>
        <v>0</v>
      </c>
    </row>
    <row r="948" spans="1:9">
      <c r="A948">
        <f t="shared" si="75"/>
        <v>947</v>
      </c>
      <c r="B948">
        <v>13</v>
      </c>
      <c r="C948">
        <v>5000</v>
      </c>
      <c r="D948">
        <v>4107</v>
      </c>
      <c r="E948" s="5">
        <f t="shared" si="71"/>
        <v>893</v>
      </c>
      <c r="F948" s="5">
        <f t="shared" si="72"/>
        <v>797449</v>
      </c>
      <c r="G948" s="6">
        <f>SQRT(SUM($F$2:F948)/A948)</f>
        <v>1240.0883471610075</v>
      </c>
      <c r="H948" s="5">
        <f t="shared" si="73"/>
        <v>1</v>
      </c>
      <c r="I948" s="5">
        <f t="shared" si="74"/>
        <v>0</v>
      </c>
    </row>
    <row r="949" spans="1:9">
      <c r="A949">
        <f t="shared" si="75"/>
        <v>948</v>
      </c>
      <c r="B949">
        <v>11</v>
      </c>
      <c r="C949">
        <v>5000</v>
      </c>
      <c r="D949">
        <v>5967</v>
      </c>
      <c r="E949" s="5">
        <f t="shared" si="71"/>
        <v>967</v>
      </c>
      <c r="F949" s="5">
        <f t="shared" si="72"/>
        <v>935089</v>
      </c>
      <c r="G949" s="6">
        <f>SQRT(SUM($F$2:F949)/A949)</f>
        <v>1239.8319714826475</v>
      </c>
      <c r="H949" s="5">
        <f t="shared" si="73"/>
        <v>1</v>
      </c>
      <c r="I949" s="5">
        <f t="shared" si="74"/>
        <v>0</v>
      </c>
    </row>
    <row r="950" spans="1:9">
      <c r="A950">
        <f t="shared" si="75"/>
        <v>949</v>
      </c>
      <c r="B950">
        <v>8</v>
      </c>
      <c r="C950">
        <v>5000</v>
      </c>
      <c r="D950">
        <v>4648</v>
      </c>
      <c r="E950" s="5">
        <f t="shared" si="71"/>
        <v>352</v>
      </c>
      <c r="F950" s="5">
        <f t="shared" si="72"/>
        <v>123904</v>
      </c>
      <c r="G950" s="6">
        <f>SQRT(SUM($F$2:F950)/A950)</f>
        <v>1239.2312485813472</v>
      </c>
      <c r="H950" s="5">
        <f t="shared" si="73"/>
        <v>1</v>
      </c>
      <c r="I950" s="5">
        <f t="shared" si="74"/>
        <v>1</v>
      </c>
    </row>
    <row r="951" spans="1:9">
      <c r="A951">
        <f t="shared" si="75"/>
        <v>950</v>
      </c>
      <c r="B951">
        <v>10</v>
      </c>
      <c r="C951">
        <v>5000</v>
      </c>
      <c r="D951">
        <v>5757</v>
      </c>
      <c r="E951" s="5">
        <f t="shared" si="71"/>
        <v>757</v>
      </c>
      <c r="F951" s="5">
        <f t="shared" si="72"/>
        <v>573049</v>
      </c>
      <c r="G951" s="6">
        <f>SQRT(SUM($F$2:F951)/A951)</f>
        <v>1238.8223346558236</v>
      </c>
      <c r="H951" s="5">
        <f t="shared" si="73"/>
        <v>1</v>
      </c>
      <c r="I951" s="5">
        <f t="shared" si="74"/>
        <v>0</v>
      </c>
    </row>
    <row r="952" spans="1:9">
      <c r="A952">
        <f t="shared" si="75"/>
        <v>951</v>
      </c>
      <c r="B952">
        <v>9</v>
      </c>
      <c r="C952">
        <v>5000</v>
      </c>
      <c r="D952">
        <v>5464</v>
      </c>
      <c r="E952" s="5">
        <f t="shared" si="71"/>
        <v>464</v>
      </c>
      <c r="F952" s="5">
        <f t="shared" si="72"/>
        <v>215296</v>
      </c>
      <c r="G952" s="6">
        <f>SQRT(SUM($F$2:F952)/A952)</f>
        <v>1238.2622545915553</v>
      </c>
      <c r="H952" s="5">
        <f t="shared" si="73"/>
        <v>1</v>
      </c>
      <c r="I952" s="5">
        <f t="shared" si="74"/>
        <v>1</v>
      </c>
    </row>
    <row r="953" spans="1:9">
      <c r="A953">
        <f t="shared" si="75"/>
        <v>952</v>
      </c>
      <c r="B953">
        <v>9</v>
      </c>
      <c r="C953">
        <v>5000</v>
      </c>
      <c r="D953">
        <v>5317</v>
      </c>
      <c r="E953" s="5">
        <f t="shared" si="71"/>
        <v>317</v>
      </c>
      <c r="F953" s="5">
        <f t="shared" si="72"/>
        <v>100489</v>
      </c>
      <c r="G953" s="6">
        <f>SQRT(SUM($F$2:F953)/A953)</f>
        <v>1237.6543800656943</v>
      </c>
      <c r="H953" s="5">
        <f t="shared" si="73"/>
        <v>1</v>
      </c>
      <c r="I953" s="5">
        <f t="shared" si="74"/>
        <v>1</v>
      </c>
    </row>
    <row r="954" spans="1:9">
      <c r="A954">
        <f t="shared" si="75"/>
        <v>953</v>
      </c>
      <c r="B954">
        <v>9</v>
      </c>
      <c r="C954">
        <v>5000</v>
      </c>
      <c r="D954">
        <v>5133</v>
      </c>
      <c r="E954" s="5">
        <f t="shared" si="71"/>
        <v>133</v>
      </c>
      <c r="F954" s="5">
        <f t="shared" si="72"/>
        <v>17689</v>
      </c>
      <c r="G954" s="6">
        <f>SQRT(SUM($F$2:F954)/A954)</f>
        <v>1237.0123656878447</v>
      </c>
      <c r="H954" s="5">
        <f t="shared" si="73"/>
        <v>1</v>
      </c>
      <c r="I954" s="5">
        <f t="shared" si="74"/>
        <v>1</v>
      </c>
    </row>
    <row r="955" spans="1:9">
      <c r="A955">
        <f t="shared" si="75"/>
        <v>954</v>
      </c>
      <c r="B955">
        <v>9</v>
      </c>
      <c r="C955">
        <v>5000</v>
      </c>
      <c r="D955">
        <v>5359</v>
      </c>
      <c r="E955" s="5">
        <f t="shared" si="71"/>
        <v>359</v>
      </c>
      <c r="F955" s="5">
        <f t="shared" si="72"/>
        <v>128881</v>
      </c>
      <c r="G955" s="6">
        <f>SQRT(SUM($F$2:F955)/A955)</f>
        <v>1236.4184993159613</v>
      </c>
      <c r="H955" s="5">
        <f t="shared" si="73"/>
        <v>1</v>
      </c>
      <c r="I955" s="5">
        <f t="shared" si="74"/>
        <v>1</v>
      </c>
    </row>
    <row r="956" spans="1:9">
      <c r="A956">
        <f t="shared" si="75"/>
        <v>955</v>
      </c>
      <c r="B956">
        <v>9</v>
      </c>
      <c r="C956">
        <v>5000</v>
      </c>
      <c r="D956">
        <v>5704</v>
      </c>
      <c r="E956" s="5">
        <f t="shared" si="71"/>
        <v>704</v>
      </c>
      <c r="F956" s="5">
        <f t="shared" si="72"/>
        <v>495616</v>
      </c>
      <c r="G956" s="6">
        <f>SQRT(SUM($F$2:F956)/A956)</f>
        <v>1235.9809504792718</v>
      </c>
      <c r="H956" s="5">
        <f t="shared" si="73"/>
        <v>1</v>
      </c>
      <c r="I956" s="5">
        <f t="shared" si="74"/>
        <v>0</v>
      </c>
    </row>
    <row r="957" spans="1:9">
      <c r="A957">
        <f t="shared" si="75"/>
        <v>956</v>
      </c>
      <c r="B957">
        <v>8</v>
      </c>
      <c r="C957">
        <v>5000</v>
      </c>
      <c r="D957">
        <v>4802</v>
      </c>
      <c r="E957" s="5">
        <f t="shared" si="71"/>
        <v>198</v>
      </c>
      <c r="F957" s="5">
        <f t="shared" si="72"/>
        <v>39204</v>
      </c>
      <c r="G957" s="6">
        <f>SQRT(SUM($F$2:F957)/A957)</f>
        <v>1235.3509457660284</v>
      </c>
      <c r="H957" s="5">
        <f t="shared" si="73"/>
        <v>1</v>
      </c>
      <c r="I957" s="5">
        <f t="shared" si="74"/>
        <v>1</v>
      </c>
    </row>
    <row r="958" spans="1:9">
      <c r="A958">
        <f t="shared" si="75"/>
        <v>957</v>
      </c>
      <c r="B958">
        <v>9</v>
      </c>
      <c r="C958">
        <v>5000</v>
      </c>
      <c r="D958">
        <v>6038</v>
      </c>
      <c r="E958" s="5">
        <f t="shared" si="71"/>
        <v>1038</v>
      </c>
      <c r="F958" s="5">
        <f t="shared" si="72"/>
        <v>1077444</v>
      </c>
      <c r="G958" s="6">
        <f>SQRT(SUM($F$2:F958)/A958)</f>
        <v>1235.1611848500113</v>
      </c>
      <c r="H958" s="5">
        <f t="shared" si="73"/>
        <v>0</v>
      </c>
      <c r="I958" s="5">
        <f t="shared" si="74"/>
        <v>0</v>
      </c>
    </row>
    <row r="959" spans="1:9">
      <c r="A959">
        <f t="shared" si="75"/>
        <v>958</v>
      </c>
      <c r="B959">
        <v>7</v>
      </c>
      <c r="C959">
        <v>5000</v>
      </c>
      <c r="D959">
        <v>4420</v>
      </c>
      <c r="E959" s="5">
        <f t="shared" si="71"/>
        <v>580</v>
      </c>
      <c r="F959" s="5">
        <f t="shared" si="72"/>
        <v>336400</v>
      </c>
      <c r="G959" s="6">
        <f>SQRT(SUM($F$2:F959)/A959)</f>
        <v>1234.6585731592254</v>
      </c>
      <c r="H959" s="5">
        <f t="shared" si="73"/>
        <v>1</v>
      </c>
      <c r="I959" s="5">
        <f t="shared" si="74"/>
        <v>0</v>
      </c>
    </row>
    <row r="960" spans="1:9">
      <c r="A960">
        <f t="shared" si="75"/>
        <v>959</v>
      </c>
      <c r="B960">
        <v>9</v>
      </c>
      <c r="C960">
        <v>5000</v>
      </c>
      <c r="D960">
        <v>6181</v>
      </c>
      <c r="E960" s="5">
        <f t="shared" si="71"/>
        <v>1181</v>
      </c>
      <c r="F960" s="5">
        <f t="shared" si="72"/>
        <v>1394761</v>
      </c>
      <c r="G960" s="6">
        <f>SQRT(SUM($F$2:F960)/A960)</f>
        <v>1234.6038351725349</v>
      </c>
      <c r="H960" s="5">
        <f t="shared" si="73"/>
        <v>0</v>
      </c>
      <c r="I960" s="5">
        <f t="shared" si="74"/>
        <v>0</v>
      </c>
    </row>
    <row r="961" spans="1:9">
      <c r="A961">
        <f t="shared" si="75"/>
        <v>960</v>
      </c>
      <c r="B961">
        <v>7</v>
      </c>
      <c r="C961">
        <v>5000</v>
      </c>
      <c r="D961">
        <v>5074</v>
      </c>
      <c r="E961" s="5">
        <f t="shared" si="71"/>
        <v>74</v>
      </c>
      <c r="F961" s="5">
        <f t="shared" si="72"/>
        <v>5476</v>
      </c>
      <c r="G961" s="6">
        <f>SQRT(SUM($F$2:F961)/A961)</f>
        <v>1233.9629561228057</v>
      </c>
      <c r="H961" s="5">
        <f t="shared" si="73"/>
        <v>1</v>
      </c>
      <c r="I961" s="5">
        <f t="shared" si="74"/>
        <v>1</v>
      </c>
    </row>
    <row r="962" spans="1:9">
      <c r="A962">
        <f t="shared" si="75"/>
        <v>961</v>
      </c>
      <c r="B962">
        <v>8</v>
      </c>
      <c r="C962">
        <v>5000</v>
      </c>
      <c r="D962">
        <v>5282</v>
      </c>
      <c r="E962" s="5">
        <f t="shared" si="71"/>
        <v>282</v>
      </c>
      <c r="F962" s="5">
        <f t="shared" si="72"/>
        <v>79524</v>
      </c>
      <c r="G962" s="6">
        <f>SQRT(SUM($F$2:F962)/A962)</f>
        <v>1233.3543164586401</v>
      </c>
      <c r="H962" s="5">
        <f t="shared" si="73"/>
        <v>1</v>
      </c>
      <c r="I962" s="5">
        <f t="shared" si="74"/>
        <v>1</v>
      </c>
    </row>
    <row r="963" spans="1:9">
      <c r="A963">
        <f t="shared" si="75"/>
        <v>962</v>
      </c>
      <c r="B963">
        <v>8</v>
      </c>
      <c r="C963">
        <v>5000</v>
      </c>
      <c r="D963">
        <v>5984</v>
      </c>
      <c r="E963" s="5">
        <f t="shared" ref="E963:E1001" si="76">ABS(C963-D963)</f>
        <v>984</v>
      </c>
      <c r="F963" s="5">
        <f t="shared" ref="F963:F1001" si="77">POWER(E963,2)</f>
        <v>968256</v>
      </c>
      <c r="G963" s="6">
        <f>SQRT(SUM($F$2:F963)/A963)</f>
        <v>1233.1212927612282</v>
      </c>
      <c r="H963" s="5">
        <f t="shared" ref="H963:H1001" si="78">IF(ABS(E963)/C963&gt;0.2,0,1)</f>
        <v>1</v>
      </c>
      <c r="I963" s="5">
        <f t="shared" ref="I963:I1001" si="79">IF(ABS(E963)/C963&gt;0.1,0,1)</f>
        <v>0</v>
      </c>
    </row>
    <row r="964" spans="1:9">
      <c r="A964">
        <f t="shared" ref="A964:A1001" si="80">A963+1</f>
        <v>963</v>
      </c>
      <c r="B964">
        <v>7</v>
      </c>
      <c r="C964">
        <v>5000</v>
      </c>
      <c r="D964">
        <v>5803</v>
      </c>
      <c r="E964" s="5">
        <f t="shared" si="76"/>
        <v>803</v>
      </c>
      <c r="F964" s="5">
        <f t="shared" si="77"/>
        <v>644809</v>
      </c>
      <c r="G964" s="6">
        <f>SQRT(SUM($F$2:F964)/A964)</f>
        <v>1232.7524872025406</v>
      </c>
      <c r="H964" s="5">
        <f t="shared" si="78"/>
        <v>1</v>
      </c>
      <c r="I964" s="5">
        <f t="shared" si="79"/>
        <v>0</v>
      </c>
    </row>
    <row r="965" spans="1:9">
      <c r="A965">
        <f t="shared" si="80"/>
        <v>964</v>
      </c>
      <c r="B965">
        <v>7</v>
      </c>
      <c r="C965">
        <v>5000</v>
      </c>
      <c r="D965">
        <v>5091</v>
      </c>
      <c r="E965" s="5">
        <f t="shared" si="76"/>
        <v>91</v>
      </c>
      <c r="F965" s="5">
        <f t="shared" si="77"/>
        <v>8281</v>
      </c>
      <c r="G965" s="6">
        <f>SQRT(SUM($F$2:F965)/A965)</f>
        <v>1232.1164128327259</v>
      </c>
      <c r="H965" s="5">
        <f t="shared" si="78"/>
        <v>1</v>
      </c>
      <c r="I965" s="5">
        <f t="shared" si="79"/>
        <v>1</v>
      </c>
    </row>
    <row r="966" spans="1:9">
      <c r="A966">
        <f t="shared" si="80"/>
        <v>965</v>
      </c>
      <c r="B966">
        <v>8</v>
      </c>
      <c r="C966">
        <v>5000</v>
      </c>
      <c r="D966">
        <v>6301</v>
      </c>
      <c r="E966" s="5">
        <f t="shared" si="76"/>
        <v>1301</v>
      </c>
      <c r="F966" s="5">
        <f t="shared" si="77"/>
        <v>1692601</v>
      </c>
      <c r="G966" s="6">
        <f>SQRT(SUM($F$2:F966)/A966)</f>
        <v>1232.1897879690164</v>
      </c>
      <c r="H966" s="5">
        <f t="shared" si="78"/>
        <v>0</v>
      </c>
      <c r="I966" s="5">
        <f t="shared" si="79"/>
        <v>0</v>
      </c>
    </row>
    <row r="967" spans="1:9">
      <c r="A967">
        <f t="shared" si="80"/>
        <v>966</v>
      </c>
      <c r="B967">
        <v>6</v>
      </c>
      <c r="C967">
        <v>5000</v>
      </c>
      <c r="D967">
        <v>6404</v>
      </c>
      <c r="E967" s="5">
        <f t="shared" si="76"/>
        <v>1404</v>
      </c>
      <c r="F967" s="5">
        <f t="shared" si="77"/>
        <v>1971216</v>
      </c>
      <c r="G967" s="6">
        <f>SQRT(SUM($F$2:F967)/A967)</f>
        <v>1232.3800304035578</v>
      </c>
      <c r="H967" s="5">
        <f t="shared" si="78"/>
        <v>0</v>
      </c>
      <c r="I967" s="5">
        <f t="shared" si="79"/>
        <v>0</v>
      </c>
    </row>
    <row r="968" spans="1:9">
      <c r="A968">
        <f t="shared" si="80"/>
        <v>967</v>
      </c>
      <c r="B968">
        <v>6</v>
      </c>
      <c r="C968">
        <v>5000</v>
      </c>
      <c r="D968">
        <v>5565</v>
      </c>
      <c r="E968" s="5">
        <f t="shared" si="76"/>
        <v>565</v>
      </c>
      <c r="F968" s="5">
        <f t="shared" si="77"/>
        <v>319225</v>
      </c>
      <c r="G968" s="6">
        <f>SQRT(SUM($F$2:F968)/A968)</f>
        <v>1231.8766449009115</v>
      </c>
      <c r="H968" s="5">
        <f t="shared" si="78"/>
        <v>1</v>
      </c>
      <c r="I968" s="5">
        <f t="shared" si="79"/>
        <v>0</v>
      </c>
    </row>
    <row r="969" spans="1:9">
      <c r="A969">
        <f t="shared" si="80"/>
        <v>968</v>
      </c>
      <c r="B969">
        <v>6</v>
      </c>
      <c r="C969">
        <v>5000</v>
      </c>
      <c r="D969">
        <v>6528</v>
      </c>
      <c r="E969" s="5">
        <f t="shared" si="76"/>
        <v>1528</v>
      </c>
      <c r="F969" s="5">
        <f t="shared" si="77"/>
        <v>2334784</v>
      </c>
      <c r="G969" s="6">
        <f>SQRT(SUM($F$2:F969)/A969)</f>
        <v>1232.2192780400549</v>
      </c>
      <c r="H969" s="5">
        <f t="shared" si="78"/>
        <v>0</v>
      </c>
      <c r="I969" s="5">
        <f t="shared" si="79"/>
        <v>0</v>
      </c>
    </row>
    <row r="970" spans="1:9">
      <c r="A970">
        <f t="shared" si="80"/>
        <v>969</v>
      </c>
      <c r="B970">
        <v>5</v>
      </c>
      <c r="C970">
        <v>5000</v>
      </c>
      <c r="D970">
        <v>4902</v>
      </c>
      <c r="E970" s="5">
        <f t="shared" si="76"/>
        <v>98</v>
      </c>
      <c r="F970" s="5">
        <f t="shared" si="77"/>
        <v>9604</v>
      </c>
      <c r="G970" s="6">
        <f>SQRT(SUM($F$2:F970)/A970)</f>
        <v>1231.5873176309638</v>
      </c>
      <c r="H970" s="5">
        <f t="shared" si="78"/>
        <v>1</v>
      </c>
      <c r="I970" s="5">
        <f t="shared" si="79"/>
        <v>1</v>
      </c>
    </row>
    <row r="971" spans="1:9">
      <c r="A971">
        <f t="shared" si="80"/>
        <v>970</v>
      </c>
      <c r="B971">
        <v>6</v>
      </c>
      <c r="C971">
        <v>5000</v>
      </c>
      <c r="D971">
        <v>5717</v>
      </c>
      <c r="E971" s="5">
        <f t="shared" si="76"/>
        <v>717</v>
      </c>
      <c r="F971" s="5">
        <f t="shared" si="77"/>
        <v>514089</v>
      </c>
      <c r="G971" s="6">
        <f>SQRT(SUM($F$2:F971)/A971)</f>
        <v>1231.1675721532181</v>
      </c>
      <c r="H971" s="5">
        <f t="shared" si="78"/>
        <v>1</v>
      </c>
      <c r="I971" s="5">
        <f t="shared" si="79"/>
        <v>0</v>
      </c>
    </row>
    <row r="972" spans="1:9">
      <c r="A972">
        <f t="shared" si="80"/>
        <v>971</v>
      </c>
      <c r="B972">
        <v>5</v>
      </c>
      <c r="C972">
        <v>5000</v>
      </c>
      <c r="D972">
        <v>4853</v>
      </c>
      <c r="E972" s="5">
        <f t="shared" si="76"/>
        <v>147</v>
      </c>
      <c r="F972" s="5">
        <f t="shared" si="77"/>
        <v>21609</v>
      </c>
      <c r="G972" s="6">
        <f>SQRT(SUM($F$2:F972)/A972)</f>
        <v>1230.5424824994216</v>
      </c>
      <c r="H972" s="5">
        <f t="shared" si="78"/>
        <v>1</v>
      </c>
      <c r="I972" s="5">
        <f t="shared" si="79"/>
        <v>1</v>
      </c>
    </row>
    <row r="973" spans="1:9">
      <c r="A973">
        <f t="shared" si="80"/>
        <v>972</v>
      </c>
      <c r="B973">
        <v>6</v>
      </c>
      <c r="C973">
        <v>5000</v>
      </c>
      <c r="D973">
        <v>5645</v>
      </c>
      <c r="E973" s="5">
        <f t="shared" si="76"/>
        <v>645</v>
      </c>
      <c r="F973" s="5">
        <f t="shared" si="77"/>
        <v>416025</v>
      </c>
      <c r="G973" s="6">
        <f>SQRT(SUM($F$2:F973)/A973)</f>
        <v>1230.0833125285933</v>
      </c>
      <c r="H973" s="5">
        <f t="shared" si="78"/>
        <v>1</v>
      </c>
      <c r="I973" s="5">
        <f t="shared" si="79"/>
        <v>0</v>
      </c>
    </row>
    <row r="974" spans="1:9">
      <c r="A974">
        <f t="shared" si="80"/>
        <v>973</v>
      </c>
      <c r="B974">
        <v>5</v>
      </c>
      <c r="C974">
        <v>5000</v>
      </c>
      <c r="D974">
        <v>4910</v>
      </c>
      <c r="E974" s="5">
        <f t="shared" si="76"/>
        <v>90</v>
      </c>
      <c r="F974" s="5">
        <f t="shared" si="77"/>
        <v>8100</v>
      </c>
      <c r="G974" s="6">
        <f>SQRT(SUM($F$2:F974)/A974)</f>
        <v>1229.4544270033391</v>
      </c>
      <c r="H974" s="5">
        <f t="shared" si="78"/>
        <v>1</v>
      </c>
      <c r="I974" s="5">
        <f t="shared" si="79"/>
        <v>1</v>
      </c>
    </row>
    <row r="975" spans="1:9">
      <c r="A975">
        <f t="shared" si="80"/>
        <v>974</v>
      </c>
      <c r="B975">
        <v>6</v>
      </c>
      <c r="C975">
        <v>5000</v>
      </c>
      <c r="D975">
        <v>6477</v>
      </c>
      <c r="E975" s="5">
        <f t="shared" si="76"/>
        <v>1477</v>
      </c>
      <c r="F975" s="5">
        <f t="shared" si="77"/>
        <v>2181529</v>
      </c>
      <c r="G975" s="6">
        <f>SQRT(SUM($F$2:F975)/A975)</f>
        <v>1229.7341351370019</v>
      </c>
      <c r="H975" s="5">
        <f t="shared" si="78"/>
        <v>0</v>
      </c>
      <c r="I975" s="5">
        <f t="shared" si="79"/>
        <v>0</v>
      </c>
    </row>
    <row r="976" spans="1:9">
      <c r="A976">
        <f t="shared" si="80"/>
        <v>975</v>
      </c>
      <c r="B976">
        <v>4</v>
      </c>
      <c r="C976">
        <v>5000</v>
      </c>
      <c r="D976">
        <v>4381</v>
      </c>
      <c r="E976" s="5">
        <f t="shared" si="76"/>
        <v>619</v>
      </c>
      <c r="F976" s="5">
        <f t="shared" si="77"/>
        <v>383161</v>
      </c>
      <c r="G976" s="6">
        <f>SQRT(SUM($F$2:F976)/A976)</f>
        <v>1229.2631968701769</v>
      </c>
      <c r="H976" s="5">
        <f t="shared" si="78"/>
        <v>1</v>
      </c>
      <c r="I976" s="5">
        <f t="shared" si="79"/>
        <v>0</v>
      </c>
    </row>
    <row r="977" spans="1:9">
      <c r="A977">
        <f t="shared" si="80"/>
        <v>976</v>
      </c>
      <c r="B977">
        <v>6</v>
      </c>
      <c r="C977">
        <v>5000</v>
      </c>
      <c r="D977">
        <v>6425</v>
      </c>
      <c r="E977" s="5">
        <f t="shared" si="76"/>
        <v>1425</v>
      </c>
      <c r="F977" s="5">
        <f t="shared" si="77"/>
        <v>2030625</v>
      </c>
      <c r="G977" s="6">
        <f>SQRT(SUM($F$2:F977)/A977)</f>
        <v>1229.4796946969605</v>
      </c>
      <c r="H977" s="5">
        <f t="shared" si="78"/>
        <v>0</v>
      </c>
      <c r="I977" s="5">
        <f t="shared" si="79"/>
        <v>0</v>
      </c>
    </row>
    <row r="978" spans="1:9">
      <c r="A978">
        <f t="shared" si="80"/>
        <v>977</v>
      </c>
      <c r="B978">
        <v>4</v>
      </c>
      <c r="C978">
        <v>5000</v>
      </c>
      <c r="D978">
        <v>3672</v>
      </c>
      <c r="E978" s="5">
        <f t="shared" si="76"/>
        <v>1328</v>
      </c>
      <c r="F978" s="5">
        <f t="shared" si="77"/>
        <v>1763584</v>
      </c>
      <c r="G978" s="6">
        <f>SQRT(SUM($F$2:F978)/A978)</f>
        <v>1229.5845700657214</v>
      </c>
      <c r="H978" s="5">
        <f t="shared" si="78"/>
        <v>0</v>
      </c>
      <c r="I978" s="5">
        <f t="shared" si="79"/>
        <v>0</v>
      </c>
    </row>
    <row r="979" spans="1:9">
      <c r="A979">
        <f t="shared" si="80"/>
        <v>978</v>
      </c>
      <c r="B979">
        <v>7</v>
      </c>
      <c r="C979">
        <v>5000</v>
      </c>
      <c r="D979">
        <v>6931</v>
      </c>
      <c r="E979" s="5">
        <f t="shared" si="76"/>
        <v>1931</v>
      </c>
      <c r="F979" s="5">
        <f t="shared" si="77"/>
        <v>3728761</v>
      </c>
      <c r="G979" s="6">
        <f>SQRT(SUM($F$2:F979)/A979)</f>
        <v>1230.5059797732267</v>
      </c>
      <c r="H979" s="5">
        <f t="shared" si="78"/>
        <v>0</v>
      </c>
      <c r="I979" s="5">
        <f t="shared" si="79"/>
        <v>0</v>
      </c>
    </row>
    <row r="980" spans="1:9">
      <c r="A980">
        <f t="shared" si="80"/>
        <v>979</v>
      </c>
      <c r="B980">
        <v>3</v>
      </c>
      <c r="C980">
        <v>5000</v>
      </c>
      <c r="D980">
        <v>3086</v>
      </c>
      <c r="E980" s="5">
        <f t="shared" si="76"/>
        <v>1914</v>
      </c>
      <c r="F980" s="5">
        <f t="shared" si="77"/>
        <v>3663396</v>
      </c>
      <c r="G980" s="6">
        <f>SQRT(SUM($F$2:F980)/A980)</f>
        <v>1231.397709805404</v>
      </c>
      <c r="H980" s="5">
        <f t="shared" si="78"/>
        <v>0</v>
      </c>
      <c r="I980" s="5">
        <f t="shared" si="79"/>
        <v>0</v>
      </c>
    </row>
    <row r="981" spans="1:9">
      <c r="A981">
        <f t="shared" si="80"/>
        <v>980</v>
      </c>
      <c r="B981">
        <v>8</v>
      </c>
      <c r="C981">
        <v>5000</v>
      </c>
      <c r="D981">
        <v>7111</v>
      </c>
      <c r="E981" s="5">
        <f t="shared" si="76"/>
        <v>2111</v>
      </c>
      <c r="F981" s="5">
        <f t="shared" si="77"/>
        <v>4456321</v>
      </c>
      <c r="G981" s="6">
        <f>SQRT(SUM($F$2:F981)/A981)</f>
        <v>1232.6152278793249</v>
      </c>
      <c r="H981" s="5">
        <f t="shared" si="78"/>
        <v>0</v>
      </c>
      <c r="I981" s="5">
        <f t="shared" si="79"/>
        <v>0</v>
      </c>
    </row>
    <row r="982" spans="1:9">
      <c r="A982">
        <f t="shared" si="80"/>
        <v>981</v>
      </c>
      <c r="B982">
        <v>3</v>
      </c>
      <c r="C982">
        <v>5000</v>
      </c>
      <c r="D982">
        <v>3412</v>
      </c>
      <c r="E982" s="5">
        <f t="shared" si="76"/>
        <v>1588</v>
      </c>
      <c r="F982" s="5">
        <f t="shared" si="77"/>
        <v>2521744</v>
      </c>
      <c r="G982" s="6">
        <f>SQRT(SUM($F$2:F982)/A982)</f>
        <v>1233.0296501895998</v>
      </c>
      <c r="H982" s="5">
        <f t="shared" si="78"/>
        <v>0</v>
      </c>
      <c r="I982" s="5">
        <f t="shared" si="79"/>
        <v>0</v>
      </c>
    </row>
    <row r="983" spans="1:9">
      <c r="A983">
        <f t="shared" si="80"/>
        <v>982</v>
      </c>
      <c r="B983">
        <v>7</v>
      </c>
      <c r="C983">
        <v>5000</v>
      </c>
      <c r="D983">
        <v>6705</v>
      </c>
      <c r="E983" s="5">
        <f t="shared" si="76"/>
        <v>1705</v>
      </c>
      <c r="F983" s="5">
        <f t="shared" si="77"/>
        <v>2907025</v>
      </c>
      <c r="G983" s="6">
        <f>SQRT(SUM($F$2:F983)/A983)</f>
        <v>1233.6021232854368</v>
      </c>
      <c r="H983" s="5">
        <f t="shared" si="78"/>
        <v>0</v>
      </c>
      <c r="I983" s="5">
        <f t="shared" si="79"/>
        <v>0</v>
      </c>
    </row>
    <row r="984" spans="1:9">
      <c r="A984">
        <f t="shared" si="80"/>
        <v>983</v>
      </c>
      <c r="B984">
        <v>4</v>
      </c>
      <c r="C984">
        <v>5000</v>
      </c>
      <c r="D984">
        <v>3794</v>
      </c>
      <c r="E984" s="5">
        <f t="shared" si="76"/>
        <v>1206</v>
      </c>
      <c r="F984" s="5">
        <f t="shared" si="77"/>
        <v>1454436</v>
      </c>
      <c r="G984" s="6">
        <f>SQRT(SUM($F$2:F984)/A984)</f>
        <v>1233.5743576408738</v>
      </c>
      <c r="H984" s="5">
        <f t="shared" si="78"/>
        <v>0</v>
      </c>
      <c r="I984" s="5">
        <f t="shared" si="79"/>
        <v>0</v>
      </c>
    </row>
    <row r="985" spans="1:9">
      <c r="A985">
        <f t="shared" si="80"/>
        <v>984</v>
      </c>
      <c r="B985">
        <v>7</v>
      </c>
      <c r="C985">
        <v>5000</v>
      </c>
      <c r="D985">
        <v>5955</v>
      </c>
      <c r="E985" s="5">
        <f t="shared" si="76"/>
        <v>955</v>
      </c>
      <c r="F985" s="5">
        <f t="shared" si="77"/>
        <v>912025</v>
      </c>
      <c r="G985" s="6">
        <f>SQRT(SUM($F$2:F985)/A985)</f>
        <v>1233.3231943112139</v>
      </c>
      <c r="H985" s="5">
        <f t="shared" si="78"/>
        <v>1</v>
      </c>
      <c r="I985" s="5">
        <f t="shared" si="79"/>
        <v>0</v>
      </c>
    </row>
    <row r="986" spans="1:9">
      <c r="A986">
        <f t="shared" si="80"/>
        <v>985</v>
      </c>
      <c r="B986">
        <v>4</v>
      </c>
      <c r="C986">
        <v>5000</v>
      </c>
      <c r="D986">
        <v>3949</v>
      </c>
      <c r="E986" s="5">
        <f t="shared" si="76"/>
        <v>1051</v>
      </c>
      <c r="F986" s="5">
        <f t="shared" si="77"/>
        <v>1104601</v>
      </c>
      <c r="G986" s="6">
        <f>SQRT(SUM($F$2:F986)/A986)</f>
        <v>1233.1517644279131</v>
      </c>
      <c r="H986" s="5">
        <f t="shared" si="78"/>
        <v>0</v>
      </c>
      <c r="I986" s="5">
        <f t="shared" si="79"/>
        <v>0</v>
      </c>
    </row>
    <row r="987" spans="1:9">
      <c r="A987">
        <f t="shared" si="80"/>
        <v>986</v>
      </c>
      <c r="B987">
        <v>7</v>
      </c>
      <c r="C987">
        <v>5000</v>
      </c>
      <c r="D987">
        <v>6511</v>
      </c>
      <c r="E987" s="5">
        <f t="shared" si="76"/>
        <v>1511</v>
      </c>
      <c r="F987" s="5">
        <f t="shared" si="77"/>
        <v>2283121</v>
      </c>
      <c r="G987" s="6">
        <f>SQRT(SUM($F$2:F987)/A987)</f>
        <v>1233.4652641275841</v>
      </c>
      <c r="H987" s="5">
        <f t="shared" si="78"/>
        <v>0</v>
      </c>
      <c r="I987" s="5">
        <f t="shared" si="79"/>
        <v>0</v>
      </c>
    </row>
    <row r="988" spans="1:9">
      <c r="A988">
        <f t="shared" si="80"/>
        <v>987</v>
      </c>
      <c r="B988">
        <v>4</v>
      </c>
      <c r="C988">
        <v>5000</v>
      </c>
      <c r="D988">
        <v>3882</v>
      </c>
      <c r="E988" s="5">
        <f t="shared" si="76"/>
        <v>1118</v>
      </c>
      <c r="F988" s="5">
        <f t="shared" si="77"/>
        <v>1249924</v>
      </c>
      <c r="G988" s="6">
        <f>SQRT(SUM($F$2:F988)/A988)</f>
        <v>1233.3537485645704</v>
      </c>
      <c r="H988" s="5">
        <f t="shared" si="78"/>
        <v>0</v>
      </c>
      <c r="I988" s="5">
        <f t="shared" si="79"/>
        <v>0</v>
      </c>
    </row>
    <row r="989" spans="1:9">
      <c r="A989">
        <f t="shared" si="80"/>
        <v>988</v>
      </c>
      <c r="B989">
        <v>7</v>
      </c>
      <c r="C989">
        <v>5000</v>
      </c>
      <c r="D989">
        <v>7120</v>
      </c>
      <c r="E989" s="5">
        <f t="shared" si="76"/>
        <v>2120</v>
      </c>
      <c r="F989" s="5">
        <f t="shared" si="77"/>
        <v>4494400</v>
      </c>
      <c r="G989" s="6">
        <f>SQRT(SUM($F$2:F989)/A989)</f>
        <v>1234.573132640613</v>
      </c>
      <c r="H989" s="5">
        <f t="shared" si="78"/>
        <v>0</v>
      </c>
      <c r="I989" s="5">
        <f t="shared" si="79"/>
        <v>0</v>
      </c>
    </row>
    <row r="990" spans="1:9">
      <c r="A990">
        <f t="shared" si="80"/>
        <v>989</v>
      </c>
      <c r="B990">
        <v>3</v>
      </c>
      <c r="C990">
        <v>5000</v>
      </c>
      <c r="D990">
        <v>2785</v>
      </c>
      <c r="E990" s="5">
        <f t="shared" si="76"/>
        <v>2215</v>
      </c>
      <c r="F990" s="5">
        <f t="shared" si="77"/>
        <v>4906225</v>
      </c>
      <c r="G990" s="6">
        <f>SQRT(SUM($F$2:F990)/A990)</f>
        <v>1235.9573173837105</v>
      </c>
      <c r="H990" s="5">
        <f t="shared" si="78"/>
        <v>0</v>
      </c>
      <c r="I990" s="5">
        <f t="shared" si="79"/>
        <v>0</v>
      </c>
    </row>
    <row r="991" spans="1:9">
      <c r="A991">
        <f t="shared" si="80"/>
        <v>990</v>
      </c>
      <c r="B991">
        <v>8</v>
      </c>
      <c r="C991">
        <v>5000</v>
      </c>
      <c r="D991">
        <v>6888</v>
      </c>
      <c r="E991" s="5">
        <f t="shared" si="76"/>
        <v>1888</v>
      </c>
      <c r="F991" s="5">
        <f t="shared" si="77"/>
        <v>3564544</v>
      </c>
      <c r="G991" s="6">
        <f>SQRT(SUM($F$2:F991)/A991)</f>
        <v>1236.7893996925745</v>
      </c>
      <c r="H991" s="5">
        <f t="shared" si="78"/>
        <v>0</v>
      </c>
      <c r="I991" s="5">
        <f t="shared" si="79"/>
        <v>0</v>
      </c>
    </row>
    <row r="992" spans="1:9">
      <c r="A992">
        <f t="shared" si="80"/>
        <v>991</v>
      </c>
      <c r="B992">
        <v>3</v>
      </c>
      <c r="C992">
        <v>5000</v>
      </c>
      <c r="D992">
        <v>2502</v>
      </c>
      <c r="E992" s="5">
        <f t="shared" si="76"/>
        <v>2498</v>
      </c>
      <c r="F992" s="5">
        <f t="shared" si="77"/>
        <v>6240004</v>
      </c>
      <c r="G992" s="6">
        <f>SQRT(SUM($F$2:F992)/A992)</f>
        <v>1238.7094709335292</v>
      </c>
      <c r="H992" s="5">
        <f t="shared" si="78"/>
        <v>0</v>
      </c>
      <c r="I992" s="5">
        <f t="shared" si="79"/>
        <v>0</v>
      </c>
    </row>
    <row r="993" spans="1:9">
      <c r="A993">
        <f t="shared" si="80"/>
        <v>992</v>
      </c>
      <c r="B993">
        <v>8</v>
      </c>
      <c r="C993">
        <v>5000</v>
      </c>
      <c r="D993">
        <v>5801</v>
      </c>
      <c r="E993" s="5">
        <f t="shared" si="76"/>
        <v>801</v>
      </c>
      <c r="F993" s="5">
        <f t="shared" si="77"/>
        <v>641601</v>
      </c>
      <c r="G993" s="6">
        <f>SQRT(SUM($F$2:F993)/A993)</f>
        <v>1238.346136274429</v>
      </c>
      <c r="H993" s="5">
        <f t="shared" si="78"/>
        <v>1</v>
      </c>
      <c r="I993" s="5">
        <f t="shared" si="79"/>
        <v>0</v>
      </c>
    </row>
    <row r="994" spans="1:9">
      <c r="A994">
        <f t="shared" si="80"/>
        <v>993</v>
      </c>
      <c r="B994">
        <v>5</v>
      </c>
      <c r="C994">
        <v>5000</v>
      </c>
      <c r="D994">
        <v>4144</v>
      </c>
      <c r="E994" s="5">
        <f t="shared" si="76"/>
        <v>856</v>
      </c>
      <c r="F994" s="5">
        <f t="shared" si="77"/>
        <v>732736</v>
      </c>
      <c r="G994" s="6">
        <f>SQRT(SUM($F$2:F994)/A994)</f>
        <v>1238.0204938539657</v>
      </c>
      <c r="H994" s="5">
        <f t="shared" si="78"/>
        <v>1</v>
      </c>
      <c r="I994" s="5">
        <f t="shared" si="79"/>
        <v>0</v>
      </c>
    </row>
    <row r="995" spans="1:9">
      <c r="A995">
        <f t="shared" si="80"/>
        <v>994</v>
      </c>
      <c r="B995">
        <v>6</v>
      </c>
      <c r="C995">
        <v>5000</v>
      </c>
      <c r="D995">
        <v>4094</v>
      </c>
      <c r="E995" s="5">
        <f t="shared" si="76"/>
        <v>906</v>
      </c>
      <c r="F995" s="5">
        <f t="shared" si="77"/>
        <v>820836</v>
      </c>
      <c r="G995" s="6">
        <f>SQRT(SUM($F$2:F995)/A995)</f>
        <v>1237.7312258827242</v>
      </c>
      <c r="H995" s="5">
        <f t="shared" si="78"/>
        <v>1</v>
      </c>
      <c r="I995" s="5">
        <f t="shared" si="79"/>
        <v>0</v>
      </c>
    </row>
    <row r="996" spans="1:9">
      <c r="A996">
        <f t="shared" si="80"/>
        <v>995</v>
      </c>
      <c r="B996">
        <v>7</v>
      </c>
      <c r="C996">
        <v>5000</v>
      </c>
      <c r="D996">
        <v>4557</v>
      </c>
      <c r="E996" s="5">
        <f t="shared" si="76"/>
        <v>443</v>
      </c>
      <c r="F996" s="5">
        <f t="shared" si="77"/>
        <v>196249</v>
      </c>
      <c r="G996" s="6">
        <f>SQRT(SUM($F$2:F996)/A996)</f>
        <v>1237.1888076314963</v>
      </c>
      <c r="H996" s="5">
        <f t="shared" si="78"/>
        <v>1</v>
      </c>
      <c r="I996" s="5">
        <f t="shared" si="79"/>
        <v>1</v>
      </c>
    </row>
    <row r="997" spans="1:9">
      <c r="A997">
        <f t="shared" si="80"/>
        <v>996</v>
      </c>
      <c r="B997">
        <v>6</v>
      </c>
      <c r="C997">
        <v>5000</v>
      </c>
      <c r="D997">
        <v>3743</v>
      </c>
      <c r="E997" s="5">
        <f t="shared" si="76"/>
        <v>1257</v>
      </c>
      <c r="F997" s="5">
        <f t="shared" si="77"/>
        <v>1580049</v>
      </c>
      <c r="G997" s="6">
        <f>SQRT(SUM($F$2:F997)/A997)</f>
        <v>1237.2088574804629</v>
      </c>
      <c r="H997" s="5">
        <f t="shared" si="78"/>
        <v>0</v>
      </c>
      <c r="I997" s="5">
        <f t="shared" si="79"/>
        <v>0</v>
      </c>
    </row>
    <row r="998" spans="1:9">
      <c r="A998">
        <f t="shared" si="80"/>
        <v>997</v>
      </c>
      <c r="B998">
        <v>8</v>
      </c>
      <c r="C998">
        <v>5000</v>
      </c>
      <c r="D998">
        <v>4679</v>
      </c>
      <c r="E998" s="5">
        <f t="shared" si="76"/>
        <v>321</v>
      </c>
      <c r="F998" s="5">
        <f t="shared" si="77"/>
        <v>103041</v>
      </c>
      <c r="G998" s="6">
        <f>SQRT(SUM($F$2:F998)/A998)</f>
        <v>1236.6300240772696</v>
      </c>
      <c r="H998" s="5">
        <f t="shared" si="78"/>
        <v>1</v>
      </c>
      <c r="I998" s="5">
        <f t="shared" si="79"/>
        <v>1</v>
      </c>
    </row>
    <row r="999" spans="1:9">
      <c r="A999">
        <f t="shared" si="80"/>
        <v>998</v>
      </c>
      <c r="B999">
        <v>7</v>
      </c>
      <c r="C999">
        <v>5000</v>
      </c>
      <c r="D999">
        <v>4912</v>
      </c>
      <c r="E999" s="5">
        <f t="shared" si="76"/>
        <v>88</v>
      </c>
      <c r="F999" s="5">
        <f t="shared" si="77"/>
        <v>7744</v>
      </c>
      <c r="G999" s="6">
        <f>SQRT(SUM($F$2:F999)/A999)</f>
        <v>1236.0134536140899</v>
      </c>
      <c r="H999" s="5">
        <f t="shared" si="78"/>
        <v>1</v>
      </c>
      <c r="I999" s="5">
        <f t="shared" si="79"/>
        <v>1</v>
      </c>
    </row>
    <row r="1000" spans="1:9">
      <c r="A1000">
        <f t="shared" si="80"/>
        <v>999</v>
      </c>
      <c r="B1000">
        <v>7</v>
      </c>
      <c r="C1000">
        <v>5000</v>
      </c>
      <c r="D1000">
        <v>5614</v>
      </c>
      <c r="E1000" s="5">
        <f t="shared" si="76"/>
        <v>614</v>
      </c>
      <c r="F1000" s="5">
        <f t="shared" si="77"/>
        <v>376996</v>
      </c>
      <c r="G1000" s="6">
        <f>SQRT(SUM($F$2:F1000)/A1000)</f>
        <v>1235.5473978655664</v>
      </c>
      <c r="H1000" s="5">
        <f t="shared" si="78"/>
        <v>1</v>
      </c>
      <c r="I1000" s="5">
        <f t="shared" si="79"/>
        <v>0</v>
      </c>
    </row>
    <row r="1001" spans="1:9">
      <c r="A1001">
        <f t="shared" si="80"/>
        <v>1000</v>
      </c>
      <c r="B1001">
        <v>6</v>
      </c>
      <c r="C1001">
        <v>5000</v>
      </c>
      <c r="D1001">
        <v>5252</v>
      </c>
      <c r="E1001" s="5">
        <f t="shared" si="76"/>
        <v>252</v>
      </c>
      <c r="F1001" s="5">
        <f t="shared" si="77"/>
        <v>63504</v>
      </c>
      <c r="G1001" s="6">
        <f>SQRT(SUM($F$2:F1001)/A1001)</f>
        <v>1234.9551809681193</v>
      </c>
      <c r="H1001" s="5">
        <f t="shared" si="78"/>
        <v>1</v>
      </c>
      <c r="I1001" s="5">
        <f t="shared" si="79"/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>
      <selection activeCell="C10" sqref="C10"/>
    </sheetView>
  </sheetViews>
  <sheetFormatPr defaultRowHeight="14.5"/>
  <cols>
    <col min="1" max="1" width="17.54296875" bestFit="1" customWidth="1"/>
    <col min="3" max="3" width="15.7265625" bestFit="1" customWidth="1"/>
    <col min="7" max="7" width="17.08984375" bestFit="1" customWidth="1"/>
  </cols>
  <sheetData>
    <row r="1" spans="1:7">
      <c r="A1" s="7" t="s">
        <v>13</v>
      </c>
      <c r="B1" s="7" t="s">
        <v>10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</row>
    <row r="2" spans="1:7">
      <c r="A2" s="8" t="s">
        <v>19</v>
      </c>
      <c r="B2" s="9">
        <f>optuna!$G$1001</f>
        <v>1155.8877168652673</v>
      </c>
      <c r="C2" s="10">
        <f>B2/(LARGE(optuna!$D$2:$D$1001,1)-SMALL(optuna!$D$1:$D$1001,1))</f>
        <v>0.11287965985012376</v>
      </c>
      <c r="D2" s="10">
        <f>SUM(optuna!$E$2:$E$1001)/$B$15</f>
        <v>754.41800000000001</v>
      </c>
      <c r="E2" s="11">
        <f>COUNTIF(optuna!$H$2:$H$1001,1)/$B$15</f>
        <v>0.82599999999999996</v>
      </c>
      <c r="F2" s="11">
        <f>COUNTIF(optuna!$I$2:$I$1001,1)/$B$15</f>
        <v>0.57599999999999996</v>
      </c>
      <c r="G2" s="12">
        <f>(MAX(optuna!$D$2:$D$1001)-AVERAGE(optuna!$C$2:$C$1001))/AVERAGE(optuna!$C$2:$C$1001)*100</f>
        <v>70.369230769230768</v>
      </c>
    </row>
    <row r="3" spans="1:7">
      <c r="A3" s="8" t="s">
        <v>20</v>
      </c>
      <c r="B3" s="9">
        <f>rl!$G$1000</f>
        <v>1286.297542704785</v>
      </c>
      <c r="C3" s="10">
        <f>B3/(LARGE(rl!$D$2:$D$1001,1)-SMALL(rl!$D$1:$D$1001,1))</f>
        <v>0.11600807564076343</v>
      </c>
      <c r="D3" s="10">
        <f>SUM(rl!$E$2:$E$1001)/$B$15</f>
        <v>828.38099999999997</v>
      </c>
      <c r="E3" s="11">
        <f>COUNTIF(rl!$H$2:$H$1001,1)/$B$15</f>
        <v>0.80800000000000005</v>
      </c>
      <c r="F3" s="11">
        <f>COUNTIF(rl!$I$2:$I$1001,1)/$B$15</f>
        <v>0.56599999999999995</v>
      </c>
      <c r="G3" s="12">
        <f>(MAX(rl!$D$2:$D$1001)-AVERAGE(rl!$C$2:$C$1001))/AVERAGE(rl!$C$2:$C$1001)*100</f>
        <v>74.8</v>
      </c>
    </row>
    <row r="4" spans="1:7">
      <c r="A4" s="13" t="s">
        <v>21</v>
      </c>
      <c r="B4" s="9">
        <f>spsa!$G$1001</f>
        <v>1177.3308995350458</v>
      </c>
      <c r="C4" s="10">
        <f>B4/(LARGE(spsa!$D$2:$D$1001,1)-SMALL(spsa!$D$1:$D$1001,1))</f>
        <v>0.10705927976130269</v>
      </c>
      <c r="D4" s="10">
        <f>SUM(spsa!$E$2:$E$1001)/$B$15</f>
        <v>752.06899999999996</v>
      </c>
      <c r="E4" s="11">
        <f>COUNTIF(spsa!$H$2:$H$1001,1)/$B$15</f>
        <v>0.83699999999999997</v>
      </c>
      <c r="F4" s="11">
        <f>COUNTIF(spsa!$I$2:$I$1001,1)/$B$15</f>
        <v>0.60099999999999998</v>
      </c>
      <c r="G4" s="12">
        <f>(MAX(spsa!$D$2:$D$1001)-AVERAGE(spsa!$C$2:$C$1001))/AVERAGE(spsa!$C$2:$C$1001)*100</f>
        <v>78.476923076923072</v>
      </c>
    </row>
    <row r="5" spans="1:7">
      <c r="A5" s="13" t="s">
        <v>22</v>
      </c>
      <c r="B5" s="9">
        <f>bayes!$G$1001</f>
        <v>1110.699903214185</v>
      </c>
      <c r="C5" s="10">
        <f>B5/(LARGE(bayes!$D$2:$D$1001,1)-SMALL(bayes!$D$1:$D$1001,1))</f>
        <v>0.11356849726116411</v>
      </c>
      <c r="D5" s="10">
        <f>SUM(bayes!$E$2:$E$1001)/$B$15</f>
        <v>729.49300000000005</v>
      </c>
      <c r="E5" s="11">
        <f>COUNTIF(bayes!$H$2:$H$1001,1)/$B$15</f>
        <v>0.83799999999999997</v>
      </c>
      <c r="F5" s="11">
        <f>COUNTIF(bayes!$I$2:$I$1001,1)/$B$15</f>
        <v>0.58899999999999997</v>
      </c>
      <c r="G5" s="12">
        <f>(MAX(bayes!$D$2:$D$1001)-AVERAGE(bayes!$C$2:$C$1001))/AVERAGE(bayes!$C$2:$C$1001)*100</f>
        <v>63.230769230769234</v>
      </c>
    </row>
    <row r="6" spans="1:7">
      <c r="A6" s="13" t="s">
        <v>23</v>
      </c>
      <c r="B6" s="9">
        <f>evolution!$G$1001</f>
        <v>1113.1237181912888</v>
      </c>
      <c r="C6" s="10">
        <f>B6/(LARGE(evolution!$D$2:$D$1001,1)-SMALL(evolution!$D$1:$D$1001,1))</f>
        <v>0.11715858522169129</v>
      </c>
      <c r="D6" s="10">
        <f>SUM(evolution!$E$2:$E$1001)/$B$15</f>
        <v>697.22199999999998</v>
      </c>
      <c r="E6" s="11">
        <f>COUNTIF(evolution!$H$2:$H$1001,1)/$B$15</f>
        <v>0.85699999999999998</v>
      </c>
      <c r="F6" s="11">
        <f>COUNTIF(evolution!$I$2:$I$1001,1)/$B$15</f>
        <v>0.627</v>
      </c>
      <c r="G6" s="12">
        <f>(MAX(evolution!$D$2:$D$1001)-AVERAGE(evolution!$C$2:$C$1001))/AVERAGE(evolution!$C$2:$C$1001)*100</f>
        <v>59</v>
      </c>
    </row>
    <row r="7" spans="1:7">
      <c r="A7" s="13" t="s">
        <v>24</v>
      </c>
      <c r="B7" s="9">
        <f>pso!$G$1001</f>
        <v>1143.0460515657276</v>
      </c>
      <c r="C7" s="10">
        <f>B7/(LARGE(pso!$D$2:$D$1001,1)-SMALL(pso!$D$1:$D$1001,1))</f>
        <v>0.10444499740183914</v>
      </c>
      <c r="D7" s="10">
        <f>SUM(pso!$E$2:$E$1001)/$B$15</f>
        <v>742.86199999999997</v>
      </c>
      <c r="E7" s="11">
        <f>COUNTIF(pso!$H$2:$H$1001,1)/$B$15</f>
        <v>0.83199999999999996</v>
      </c>
      <c r="F7" s="11">
        <f>COUNTIF(pso!$I$2:$I$1001,1)/$B$15</f>
        <v>0.59499999999999997</v>
      </c>
      <c r="G7" s="12">
        <f>(MAX(pso!$D$2:$D$1001)-AVERAGE(pso!$C$2:$C$1001))/AVERAGE(pso!$C$2:$C$1001)*100</f>
        <v>69.84615384615384</v>
      </c>
    </row>
    <row r="8" spans="1:7">
      <c r="A8" s="13" t="s">
        <v>25</v>
      </c>
      <c r="B8" s="9">
        <f>static!$G$1001</f>
        <v>1234.9551809681193</v>
      </c>
      <c r="C8" s="10">
        <f>B8/(LARGE(static!$D$2:$D$1001,1)-SMALL(static!$D$1:$D$1001,1))</f>
        <v>0.11315330593440712</v>
      </c>
      <c r="D8" s="10">
        <f>SUM(static!$E$2:$E$1001)/$B$15</f>
        <v>820.23900000000003</v>
      </c>
      <c r="E8" s="11">
        <f>COUNTIF(static!$H$2:$H$1001,1)/$B$15</f>
        <v>0.80200000000000005</v>
      </c>
      <c r="F8" s="11">
        <f>COUNTIF(static!$I$2:$I$1001,1)/$B$15</f>
        <v>0.57699999999999996</v>
      </c>
      <c r="G8" s="12">
        <f>(MAX(static!$D$2:$D$1001)-AVERAGE(static!$C$2:$C$1001))/AVERAGE(static!$C$2:$C$1001)*100</f>
        <v>82.738461538461536</v>
      </c>
    </row>
    <row r="10" spans="1:7">
      <c r="C10" s="15">
        <f>(B5-B8)/B5</f>
        <v>-0.11187115204958573</v>
      </c>
    </row>
    <row r="12" spans="1:7">
      <c r="A12" s="3" t="s">
        <v>0</v>
      </c>
      <c r="B12" s="14">
        <v>100</v>
      </c>
    </row>
    <row r="13" spans="1:7">
      <c r="A13" s="3" t="s">
        <v>1</v>
      </c>
      <c r="B13" s="14">
        <v>200</v>
      </c>
    </row>
    <row r="14" spans="1:7">
      <c r="A14" s="3" t="s">
        <v>2</v>
      </c>
      <c r="B14" s="14" t="s">
        <v>3</v>
      </c>
    </row>
    <row r="15" spans="1:7">
      <c r="A15" s="3" t="s">
        <v>26</v>
      </c>
      <c r="B15" s="14">
        <v>1000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optuna</vt:lpstr>
      <vt:lpstr>rl</vt:lpstr>
      <vt:lpstr>bayes</vt:lpstr>
      <vt:lpstr>spsa</vt:lpstr>
      <vt:lpstr>evolution</vt:lpstr>
      <vt:lpstr>pso</vt:lpstr>
      <vt:lpstr>static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2025-12-16T17:07:49Z</dcterms:created>
  <dcterms:modified xsi:type="dcterms:W3CDTF">2025-12-16T22:44:57Z</dcterms:modified>
</cp:coreProperties>
</file>